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 state="visible" name="QUEUE" sheetId="2" r:id="rId5"/>
    <sheet state="visible" name="Recertification Process " sheetId="3" r:id="rId6"/>
    <sheet state="visible" name="Waitlisted" sheetId="4" r:id="rId7"/>
    <sheet state="visible" name="Approved" sheetId="5" r:id="rId8"/>
    <sheet state="visible" name="Caseworker Emails" sheetId="6"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T86">
      <text>
        <t xml:space="preserve">Responder updated this value.</t>
      </text>
    </comment>
    <comment authorId="0" ref="N132">
      <text>
        <t xml:space="preserve">Responder updated this value.</t>
      </text>
    </comment>
    <comment authorId="0" ref="O132">
      <text>
        <t xml:space="preserve">Responder updated this value.</t>
      </text>
    </comment>
    <comment authorId="0" ref="P132">
      <text>
        <t xml:space="preserve">Responder updated this value.</t>
      </text>
    </comment>
    <comment authorId="0" ref="Q132">
      <text>
        <t xml:space="preserve">Responder updated this value.</t>
      </text>
    </comment>
    <comment authorId="0" ref="R132">
      <text>
        <t xml:space="preserve">Responder updated this value.</t>
      </text>
    </comment>
    <comment authorId="0" ref="T132">
      <text>
        <t xml:space="preserve">Responder updated this value.</t>
      </text>
    </comment>
    <comment authorId="0" ref="V132">
      <text>
        <t xml:space="preserve">Responder updated this value.</t>
      </text>
    </comment>
    <comment authorId="0" ref="AA132">
      <text>
        <t xml:space="preserve">Responder updated this value.</t>
      </text>
    </comment>
    <comment authorId="0" ref="AD132">
      <text>
        <t xml:space="preserve">Responder updated this value.</t>
      </text>
    </comment>
    <comment authorId="0" ref="N155">
      <text>
        <t xml:space="preserve">Responder updated this value.</t>
      </text>
    </comment>
    <comment authorId="0" ref="O155">
      <text>
        <t xml:space="preserve">Responder updated this value.</t>
      </text>
    </comment>
    <comment authorId="0" ref="P155">
      <text>
        <t xml:space="preserve">Responder updated this value.</t>
      </text>
    </comment>
    <comment authorId="0" ref="Q155">
      <text>
        <t xml:space="preserve">Responder updated this value.</t>
      </text>
    </comment>
    <comment authorId="0" ref="R155">
      <text>
        <t xml:space="preserve">Responder updated this value.</t>
      </text>
    </comment>
    <comment authorId="0" ref="S155">
      <text>
        <t xml:space="preserve">Responder updated this value.</t>
      </text>
    </comment>
    <comment authorId="0" ref="U155">
      <text>
        <t xml:space="preserve">Responder updated this value.</t>
      </text>
    </comment>
    <comment authorId="0" ref="V155">
      <text>
        <t xml:space="preserve">Responder updated this value.</t>
      </text>
    </comment>
    <comment authorId="0" ref="Y155">
      <text>
        <t xml:space="preserve">Responder updated this value.</t>
      </text>
    </comment>
    <comment authorId="0" ref="Z155">
      <text>
        <t xml:space="preserve">Responder updated this value.</t>
      </text>
    </comment>
    <comment authorId="0" ref="AA155">
      <text>
        <t xml:space="preserve">Responder updated this value.</t>
      </text>
    </comment>
    <comment authorId="0" ref="AD155">
      <text>
        <t xml:space="preserve">Responder updated this value.</t>
      </text>
    </comment>
    <comment authorId="0" ref="N220">
      <text>
        <t xml:space="preserve">Responder updated this value.</t>
      </text>
    </comment>
    <comment authorId="0" ref="O220">
      <text>
        <t xml:space="preserve">Responder updated this value.</t>
      </text>
    </comment>
    <comment authorId="0" ref="P220">
      <text>
        <t xml:space="preserve">Responder updated this value.</t>
      </text>
    </comment>
    <comment authorId="0" ref="Q220">
      <text>
        <t xml:space="preserve">Responder updated this value.</t>
      </text>
    </comment>
    <comment authorId="0" ref="R220">
      <text>
        <t xml:space="preserve">Responder updated this value.</t>
      </text>
    </comment>
    <comment authorId="0" ref="S220">
      <text>
        <t xml:space="preserve">Responder updated this value.</t>
      </text>
    </comment>
    <comment authorId="0" ref="T220">
      <text>
        <t xml:space="preserve">Responder updated this value.</t>
      </text>
    </comment>
    <comment authorId="0" ref="V220">
      <text>
        <t xml:space="preserve">Responder updated this value.</t>
      </text>
    </comment>
    <comment authorId="0" ref="X220">
      <text>
        <t xml:space="preserve">Responder updated this value.</t>
      </text>
    </comment>
    <comment authorId="0" ref="Z220">
      <text>
        <t xml:space="preserve">Responder updated this value.</t>
      </text>
    </comment>
    <comment authorId="0" ref="AA220">
      <text>
        <t xml:space="preserve">Responder updated this value.</t>
      </text>
    </comment>
    <comment authorId="0" ref="AD220">
      <text>
        <t xml:space="preserve">Responder updated this value.</t>
      </text>
    </comment>
    <comment authorId="0" ref="T224">
      <text>
        <t xml:space="preserve">Responder updated this value.</t>
      </text>
    </comment>
    <comment authorId="0" ref="N249">
      <text>
        <t xml:space="preserve">Responder updated this value.</t>
      </text>
    </comment>
    <comment authorId="0" ref="T249">
      <text>
        <t xml:space="preserve">Responder updated this value.</t>
      </text>
    </comment>
    <comment authorId="0" ref="X249">
      <text>
        <t xml:space="preserve">Responder updated this value.</t>
      </text>
    </comment>
    <comment authorId="0" ref="J314">
      <text>
        <t xml:space="preserve">Responder updated this value.</t>
      </text>
    </comment>
    <comment authorId="0" ref="K314">
      <text>
        <t xml:space="preserve">Responder updated this value.</t>
      </text>
    </comment>
    <comment authorId="0" ref="L314">
      <text>
        <t xml:space="preserve">Responder updated this value.</t>
      </text>
    </comment>
    <comment authorId="0" ref="N314">
      <text>
        <t xml:space="preserve">Responder updated this value.</t>
      </text>
    </comment>
    <comment authorId="0" ref="O314">
      <text>
        <t xml:space="preserve">Responder updated this value.</t>
      </text>
    </comment>
    <comment authorId="0" ref="P314">
      <text>
        <t xml:space="preserve">Responder updated this value.</t>
      </text>
    </comment>
    <comment authorId="0" ref="Q314">
      <text>
        <t xml:space="preserve">Responder updated this value.</t>
      </text>
    </comment>
    <comment authorId="0" ref="R314">
      <text>
        <t xml:space="preserve">Responder updated this value.</t>
      </text>
    </comment>
    <comment authorId="0" ref="S314">
      <text>
        <t xml:space="preserve">Responder updated this value.</t>
      </text>
    </comment>
    <comment authorId="0" ref="T314">
      <text>
        <t xml:space="preserve">Responder updated this value.</t>
      </text>
    </comment>
    <comment authorId="0" ref="U314">
      <text>
        <t xml:space="preserve">Responder updated this value.</t>
      </text>
    </comment>
    <comment authorId="0" ref="V314">
      <text>
        <t xml:space="preserve">Responder updated this value.</t>
      </text>
    </comment>
    <comment authorId="0" ref="X314">
      <text>
        <t xml:space="preserve">Responder updated this value.</t>
      </text>
    </comment>
    <comment authorId="0" ref="Y314">
      <text>
        <t xml:space="preserve">Responder updated this value.</t>
      </text>
    </comment>
    <comment authorId="0" ref="Z314">
      <text>
        <t xml:space="preserve">Responder updated this value.</t>
      </text>
    </comment>
    <comment authorId="0" ref="AA314">
      <text>
        <t xml:space="preserve">Responder updated this value.</t>
      </text>
    </comment>
    <comment authorId="0" ref="AB314">
      <text>
        <t xml:space="preserve">Responder updated this value.</t>
      </text>
    </comment>
    <comment authorId="0" ref="AD314">
      <text>
        <t xml:space="preserve">Responder updated this value.</t>
      </text>
    </comment>
    <comment authorId="0" ref="N325">
      <text>
        <t xml:space="preserve">Responder updated this value.</t>
      </text>
    </comment>
    <comment authorId="0" ref="O325">
      <text>
        <t xml:space="preserve">Responder updated this value.</t>
      </text>
    </comment>
    <comment authorId="0" ref="Q325">
      <text>
        <t xml:space="preserve">Responder updated this value.</t>
      </text>
    </comment>
    <comment authorId="0" ref="T325">
      <text>
        <t xml:space="preserve">Responder updated this value.</t>
      </text>
    </comment>
    <comment authorId="0" ref="X325">
      <text>
        <t xml:space="preserve">Responder updated this value.</t>
      </text>
    </comment>
    <comment authorId="0" ref="AD353">
      <text>
        <t xml:space="preserve">Responder updated this value.</t>
      </text>
    </comment>
  </commentList>
</comments>
</file>

<file path=xl/sharedStrings.xml><?xml version="1.0" encoding="utf-8"?>
<sst xmlns="http://schemas.openxmlformats.org/spreadsheetml/2006/main" count="12990" uniqueCount="5439">
  <si>
    <t>Timestamp</t>
  </si>
  <si>
    <t>Submission Date
Start Date</t>
  </si>
  <si>
    <t>Staff/Volunteer</t>
  </si>
  <si>
    <t>Client-ID</t>
  </si>
  <si>
    <t>Client Full Name</t>
  </si>
  <si>
    <t>Client Phone Number</t>
  </si>
  <si>
    <t>STATUS (voicemail, entered in database, scheduled) WITH DATE</t>
  </si>
  <si>
    <t>CLIENT STATUS</t>
  </si>
  <si>
    <t>Email Address</t>
  </si>
  <si>
    <t>Name (case manager)</t>
  </si>
  <si>
    <t>Agency name</t>
  </si>
  <si>
    <t>Phone contact (case manager) - Please enter phone in (xxx) xxx-xxxx format</t>
  </si>
  <si>
    <t xml:space="preserve">CONSENT
By completing this form, I acknowledge that I have received permission from my client to allow Food for All DC to use their data to provide food services. I understand that submitting this form is not a guarantee of delivery of food or services, and the final decision lies with Food for All DC. 
</t>
  </si>
  <si>
    <t>First Name</t>
  </si>
  <si>
    <t>Last Name</t>
  </si>
  <si>
    <t>Address</t>
  </si>
  <si>
    <t>Apartment Number</t>
  </si>
  <si>
    <t>ZIP code</t>
  </si>
  <si>
    <t xml:space="preserve">Quadrant </t>
  </si>
  <si>
    <t>Phone - Use format (xxx) xxx-xxxx</t>
  </si>
  <si>
    <t># Adults in household</t>
  </si>
  <si>
    <t># Children in household</t>
  </si>
  <si>
    <t>Total # in HH</t>
  </si>
  <si>
    <t>Which age group does the client belong to?</t>
  </si>
  <si>
    <t>Is the client a single parent with children?</t>
  </si>
  <si>
    <t xml:space="preserve">Eligibility </t>
  </si>
  <si>
    <t>Provide further information about client related to the above eligibility</t>
  </si>
  <si>
    <r>
      <t xml:space="preserve">Food delivery frequency </t>
    </r>
    <r>
      <rPr>
        <rFont val="Arial"/>
        <b/>
        <color theme="0"/>
        <u/>
      </rPr>
      <t>(FFA delivers monthly unless there are EXTREME circumstances that require greater frequency)</t>
    </r>
  </si>
  <si>
    <t>What is the duration (number of months) you expect that client require food assistance? (Please, enter only a whole number with no text)</t>
  </si>
  <si>
    <t>What measurable goals do you have for your client, and over which period of time, through this referral to FFA?</t>
  </si>
  <si>
    <t>If other, please specify:</t>
  </si>
  <si>
    <t>Gillian</t>
  </si>
  <si>
    <t>ID-2528</t>
  </si>
  <si>
    <t>6/5/2024 - said she no longer needs food; 05/08/2025 - says she is handicapped, but it worried that having delivery come to her is a burden due to floors in building and not wanting to waste. requested that we call back in a couple months</t>
  </si>
  <si>
    <t>NO DELIVERY NEEDED</t>
  </si>
  <si>
    <t>transome@lesdc.org</t>
  </si>
  <si>
    <t>Tiffany Ransome</t>
  </si>
  <si>
    <t>Life Enhancement Services</t>
  </si>
  <si>
    <t>(202) 818-9392</t>
  </si>
  <si>
    <t>I consent</t>
  </si>
  <si>
    <t>Tracy</t>
  </si>
  <si>
    <t>Ford</t>
  </si>
  <si>
    <t>202 WILMINGTON PLACE</t>
  </si>
  <si>
    <t>E</t>
  </si>
  <si>
    <t>SE</t>
  </si>
  <si>
    <t>(202) 210-4368</t>
  </si>
  <si>
    <t>20 - 64 years old</t>
  </si>
  <si>
    <t>No</t>
  </si>
  <si>
    <t>living with disability, poor physical health</t>
  </si>
  <si>
    <t>monthly (default)</t>
  </si>
  <si>
    <t>ID-2084</t>
  </si>
  <si>
    <t>12/3 SAYS IN THE NOTES NOT TO DELIVER TO THIS CLIENT ANYMORE; 05/08/2025 - phone # not in service</t>
  </si>
  <si>
    <t>patrick.gaitan@miriamskitchen.org</t>
  </si>
  <si>
    <t>Patrick gaitan</t>
  </si>
  <si>
    <t>Miriam’s kitchen</t>
  </si>
  <si>
    <t>(202) 875-1715</t>
  </si>
  <si>
    <t>Lily</t>
  </si>
  <si>
    <t>Foglio</t>
  </si>
  <si>
    <t>5040 New Hampshire Ave NW</t>
  </si>
  <si>
    <t>NW</t>
  </si>
  <si>
    <t>(202) 500-8805</t>
  </si>
  <si>
    <t>poor mental health, living with disability, poor physical health</t>
  </si>
  <si>
    <t>Client is diagnosed with autism spectrum disorder, major depressive disorder and has poor coordination</t>
  </si>
  <si>
    <t>weekly</t>
  </si>
  <si>
    <t>ID-1454</t>
  </si>
  <si>
    <t xml:space="preserve">07/17/25 - Said that she works most Thursday / Friday, scheduled for 07/31/25 + she said she will call back when she is not working and can recieve again  </t>
  </si>
  <si>
    <t>NEEDS NEW DELIVERY</t>
  </si>
  <si>
    <t>oakinsiku@districthealthcareservices.com</t>
  </si>
  <si>
    <t>Oluwafolajimi Akinsiku</t>
  </si>
  <si>
    <t>District Healthcare Services</t>
  </si>
  <si>
    <t>(571) 464-4372</t>
  </si>
  <si>
    <t>Lisa</t>
  </si>
  <si>
    <t>Reaves</t>
  </si>
  <si>
    <t>2 M Street NE</t>
  </si>
  <si>
    <t>NE</t>
  </si>
  <si>
    <t>(202) 718-6187</t>
  </si>
  <si>
    <t>senior citizen, living with disability</t>
  </si>
  <si>
    <t>Ms. Reaves is both a mental health service user and a physical amputee, which substantially limits her mobility. She is dependent on a wheelchair for her daily activities.</t>
  </si>
  <si>
    <t>ID-1452</t>
  </si>
  <si>
    <t>3/21/2025 - Scheduled for 4/3/2025; 05/08/2025 Set up until 07/11/25, told to call then to continue if interested</t>
  </si>
  <si>
    <t>Deloris</t>
  </si>
  <si>
    <t>McNair</t>
  </si>
  <si>
    <t>25 ATLANTIC ST</t>
  </si>
  <si>
    <t>(202) 760-8099</t>
  </si>
  <si>
    <t>65 + years old</t>
  </si>
  <si>
    <t>Yes</t>
  </si>
  <si>
    <t>senior citizen, poor mental health, living with disability, Single parent with one special need son</t>
  </si>
  <si>
    <t>Elderly Resident: Ms. McNair is a senior citizen, facing the compounded challenges that come with aging, especially after her recent injury.
Living with Disability: The broken ankle has left Ms. McNair wheelchair-bound, significantly limiting her mobility and classifying her as living with a temporary disability.
Nutritional Needs Due to Medication: Her current health condition requires a strict regimen of various medications. These medications necessitate a consistent intake of nutritious food to ensure their effectiveness and support her healing process.</t>
  </si>
  <si>
    <t>ID-2686</t>
  </si>
  <si>
    <t>5/29/2025 - Scheduled till the end of July + told to call back then to continue  - SPANISH SPEAKER</t>
  </si>
  <si>
    <t>sescamilla@briya.org</t>
  </si>
  <si>
    <t>Shiela Escamilla (Briya PCS)</t>
  </si>
  <si>
    <t>Briya PCS</t>
  </si>
  <si>
    <t>(571) 342-8676</t>
  </si>
  <si>
    <t>Lorena</t>
  </si>
  <si>
    <t>Portillo</t>
  </si>
  <si>
    <t>5819 14th St.</t>
  </si>
  <si>
    <t>#100</t>
  </si>
  <si>
    <t>(202) 840-0323</t>
  </si>
  <si>
    <t>poor mental health, living with disability, poor physical health, Lorena is currently unemployed and needs support with her basic needs.</t>
  </si>
  <si>
    <t>She has a child with special needs who also needs support with proper nutrition, the parent indicates that he is overweight for his age and makes it difficult for him to join physical movements activities. Her eldest daughter is currently working with a social worker with Mary Center for support with challenges in school and mental health. The family is having challenge with paying their electricity bill and the total cost for rernt.</t>
  </si>
  <si>
    <t>ID-0177</t>
  </si>
  <si>
    <t>3/21/2025 - Scheduled for 4/4/2025; 05/08/2025 - Set up until 07/18/25, told to call then to continue</t>
  </si>
  <si>
    <t>SCHEDULED</t>
  </si>
  <si>
    <t>bernita@can-dc.org</t>
  </si>
  <si>
    <t>Bernita Paige</t>
  </si>
  <si>
    <t>Consumer Advocate Network</t>
  </si>
  <si>
    <t>Chantel</t>
  </si>
  <si>
    <t>Upsher-Morgan</t>
  </si>
  <si>
    <t>1331 N Street</t>
  </si>
  <si>
    <t>poor mental health, Depression, Migraine Headaches, Sciatica Nerve Pain, Fibromyalgia, Osteoarthritis, and Reactive Airway Disease</t>
  </si>
  <si>
    <t>Sometimes it is hard for the client to function due to her illnesses. She has severe pain at times along with trouble breathing depending on the weather.</t>
  </si>
  <si>
    <t>ID-2056</t>
  </si>
  <si>
    <t>07/17/25 - Scheduled until 09/26/25 + told to call back in September to continue</t>
  </si>
  <si>
    <t>rbaron@cohdc.org</t>
  </si>
  <si>
    <t>Rebecca Baron</t>
  </si>
  <si>
    <t>Community of Hope</t>
  </si>
  <si>
    <t>Alice</t>
  </si>
  <si>
    <t>Adams</t>
  </si>
  <si>
    <t>2407 1st St NW</t>
  </si>
  <si>
    <t>B</t>
  </si>
  <si>
    <t>(202) 754-3325</t>
  </si>
  <si>
    <t>living with disability</t>
  </si>
  <si>
    <t>CL has very high utility and rent and cannot afford groceries at the end of the month after using benefits to pay for requirements and food earlier in the month</t>
  </si>
  <si>
    <t>ID-0853</t>
  </si>
  <si>
    <t>3/21/2025 - Scheduled for 4/4/2025; 5/8/2025 - tried calling, phone number doesn't work get in contact another way ASAP</t>
  </si>
  <si>
    <t>Jimi Akinsiku</t>
  </si>
  <si>
    <t>Allen</t>
  </si>
  <si>
    <t>Harrison</t>
  </si>
  <si>
    <t>709 24th Street NE District of Columbia</t>
  </si>
  <si>
    <t>Apt 111</t>
  </si>
  <si>
    <t>(202) 961-8193</t>
  </si>
  <si>
    <t>senior citizen, poor mental health, living with disability, weight loss due to communicable diseASE</t>
  </si>
  <si>
    <t>Client is HIV patient currently experiencing weight loss and other heart challenges which keeps him indooor most times due to fatigue and speech challenges. Mr Harrison is also currently been diagnosed for genral anxiety disorders which he is currently being treated for at District Healthcare Services.</t>
  </si>
  <si>
    <t>ID-1658</t>
  </si>
  <si>
    <t xml:space="preserve">3/21/2025 - Scheduled for 4/17/2025; 5/8/2025 set up through 07/10/25 + told to call back then to continue </t>
  </si>
  <si>
    <t>eteboh@nhh-services.com</t>
  </si>
  <si>
    <t>Emile Teboh</t>
  </si>
  <si>
    <t>New Hope Health Services</t>
  </si>
  <si>
    <t>Donna</t>
  </si>
  <si>
    <t>Gardner</t>
  </si>
  <si>
    <t>360 H St NE</t>
  </si>
  <si>
    <t>Apt 220</t>
  </si>
  <si>
    <t>(202) 468-9754</t>
  </si>
  <si>
    <t>senior citizen, poor mental health, living with disability, poor physical health</t>
  </si>
  <si>
    <t>2 x monthly</t>
  </si>
  <si>
    <t>ID-2425</t>
  </si>
  <si>
    <t>3/21/2025 - Scheduled for 4/3/2025; 5/8/2025 - Scheduled through 07/24/25 told to call then to continue on</t>
  </si>
  <si>
    <t>gromero@maryscenter.org</t>
  </si>
  <si>
    <t>Giselle Romero</t>
  </si>
  <si>
    <t>Mary's Center</t>
  </si>
  <si>
    <t>Terre</t>
  </si>
  <si>
    <t>Matthews</t>
  </si>
  <si>
    <t>16 ANACOSTIA RD</t>
  </si>
  <si>
    <t>(202) 808-6774</t>
  </si>
  <si>
    <t>Client suffers from seizures, currently unemployed</t>
  </si>
  <si>
    <t>ID-1550</t>
  </si>
  <si>
    <t>3/21/2025 - Scheduled for 4/4/2025; 5/8/2025- Scheduled through 7/10/25 told to call then to continue on</t>
  </si>
  <si>
    <t>stamukong@mbihs.com</t>
  </si>
  <si>
    <t>SIMON TAMUKONG</t>
  </si>
  <si>
    <t>MBI</t>
  </si>
  <si>
    <t>STEVEN</t>
  </si>
  <si>
    <t>TERRY</t>
  </si>
  <si>
    <t>829 Auincy St NW</t>
  </si>
  <si>
    <t>(202) 983-2852</t>
  </si>
  <si>
    <t>01</t>
  </si>
  <si>
    <t>poor mental health, poor physical health</t>
  </si>
  <si>
    <t>Mr. Steven Terry has no source of income and doesn't benefit from food stamp</t>
  </si>
  <si>
    <t>ID-1544</t>
  </si>
  <si>
    <t>3/21/2025 - Scheduled for 4/10/25; 5/8/25 - scheduled until 7/11 told to call then to continue on</t>
  </si>
  <si>
    <t>angela.m.liddie@medstar.net</t>
  </si>
  <si>
    <t>Angela Liddie</t>
  </si>
  <si>
    <t>MedStar Family Choice-DC</t>
  </si>
  <si>
    <t>Michelle</t>
  </si>
  <si>
    <t>Alexander</t>
  </si>
  <si>
    <t>131 Webster Street, NW</t>
  </si>
  <si>
    <t>#10</t>
  </si>
  <si>
    <t>(202) 726-7517</t>
  </si>
  <si>
    <t>Enrollee is home bound and unable to access local food pantries. Enrollee does          receive SNAP benefits ($165 per month). However, this does not meet her need for        food throughout the month Enrollee has no social support in the area to assist with accessing food via local pantries. Mother and sister reside out of area, adult child is currently incarcerated.</t>
  </si>
  <si>
    <t>ID-2543</t>
  </si>
  <si>
    <t>3/6/2025 - Phone is no more in service; 5/8/25 Phone still doesn't work</t>
  </si>
  <si>
    <t>tcox@cflsdc.org</t>
  </si>
  <si>
    <t>Tyrese Cox</t>
  </si>
  <si>
    <t>Community Family Life Services</t>
  </si>
  <si>
    <t>Edward</t>
  </si>
  <si>
    <t>Mitchell</t>
  </si>
  <si>
    <t>4860 Fort Totten Drive NE</t>
  </si>
  <si>
    <t>senior citizen, living with disability, poor physical health</t>
  </si>
  <si>
    <t>Client has recently been diagnosis with prostate cancer and currently not able to eat everyday due to lack of income and waiting for their SSDI to be approved.</t>
  </si>
  <si>
    <t>ID-0094</t>
  </si>
  <si>
    <t>08/07/25 - Scheduled until 10/3 + told to call back in september to continue</t>
  </si>
  <si>
    <t>mhernandez@lcdp.org</t>
  </si>
  <si>
    <t>Maria Hernandez</t>
  </si>
  <si>
    <t>La Clinica del pueblo</t>
  </si>
  <si>
    <t>Jose</t>
  </si>
  <si>
    <t>Martinez</t>
  </si>
  <si>
    <t>3033 16ST NW</t>
  </si>
  <si>
    <t>APT 2B</t>
  </si>
  <si>
    <t>(202) 341-5274</t>
  </si>
  <si>
    <t>Due to diabetes out of control client recently has been amputated and lives by himself</t>
  </si>
  <si>
    <t>ID-1253</t>
  </si>
  <si>
    <t xml:space="preserve">12/30/24: She is not an active client; 5/8/2025 - Called to ask if she still doesn't want delivery, but VM Doesn't work </t>
  </si>
  <si>
    <t>malaysia.tyree@cohdc.org</t>
  </si>
  <si>
    <t>Malaysia Tyree</t>
  </si>
  <si>
    <t>Latrelle</t>
  </si>
  <si>
    <t>McInnis</t>
  </si>
  <si>
    <t>439 Brandwine St</t>
  </si>
  <si>
    <t>Apt 2</t>
  </si>
  <si>
    <t>(202)893-6673</t>
  </si>
  <si>
    <t>poor mental health, Child with autism</t>
  </si>
  <si>
    <t>Mental health, Hypertension</t>
  </si>
  <si>
    <t>ID-1048</t>
  </si>
  <si>
    <t>3/28/25 - Scheduled 4/4/25, 5/8/25 - Scheduled until 07/10/25 + told to call then to continue on</t>
  </si>
  <si>
    <t>lamia.smith@cohdc.org</t>
  </si>
  <si>
    <t>Lamia Smith-Carr</t>
  </si>
  <si>
    <t>Shari</t>
  </si>
  <si>
    <t>McHayle</t>
  </si>
  <si>
    <t>2121 Suitland Terrace SE</t>
  </si>
  <si>
    <t>#A</t>
  </si>
  <si>
    <t>(202) 584-9763</t>
  </si>
  <si>
    <t>The client unable to go to stores due vertigo and balance issues along with the lack of transportation. Primary Care office will initiate Metro Access so pt can get to and from grocery store.</t>
  </si>
  <si>
    <t>Elena</t>
  </si>
  <si>
    <t>ID-0149</t>
  </si>
  <si>
    <t>06/16/24: Client has sadly passed</t>
  </si>
  <si>
    <t>baileydaniel@myprestigehealth.com</t>
  </si>
  <si>
    <t>Bailey N Daniel Jr.</t>
  </si>
  <si>
    <t>Prestige Healthcare Inc.</t>
  </si>
  <si>
    <t>Charles</t>
  </si>
  <si>
    <t>Willie</t>
  </si>
  <si>
    <t>3228 11th St NW</t>
  </si>
  <si>
    <t xml:space="preserve">Gillian </t>
  </si>
  <si>
    <t>ID-1978</t>
  </si>
  <si>
    <t>3/28/2025 - Scheduled 4/10/25 &amp; 5/9/25; 5/8/25 - Scheduled until 07/03/2025 + told to call back then to continue</t>
  </si>
  <si>
    <t>Deleona</t>
  </si>
  <si>
    <t>Holland</t>
  </si>
  <si>
    <t>3460 14th St.</t>
  </si>
  <si>
    <t>poor mental health</t>
  </si>
  <si>
    <t>ID-0148</t>
  </si>
  <si>
    <t>(202) 820-2187</t>
  </si>
  <si>
    <t xml:space="preserve">3/28/2025 - Already scheduled for 3/7/25; 5/8/2025 - scheduled to 7/10/25 + told to call then to continue </t>
  </si>
  <si>
    <t>Natasha</t>
  </si>
  <si>
    <t>Thomas</t>
  </si>
  <si>
    <t>3105 Naylor Rd</t>
  </si>
  <si>
    <t>ID-0335</t>
  </si>
  <si>
    <t>3/6/25 - Scheduled for 3/13/25; 05/08/2025 - Scheduled until 7/17/25 and told to call back then to continue</t>
  </si>
  <si>
    <t>Sadie</t>
  </si>
  <si>
    <t>Turner</t>
  </si>
  <si>
    <t>3416 25TH ST</t>
  </si>
  <si>
    <t>Cognitive disability</t>
  </si>
  <si>
    <t>ID-2921</t>
  </si>
  <si>
    <t>3/28/2025 -  Scheduled 4/4/25 &amp; 5/2/25; 05/08/2025 - LVM</t>
  </si>
  <si>
    <t>jscott@metroedsolutions.com</t>
  </si>
  <si>
    <t>Jesse Scott III</t>
  </si>
  <si>
    <t>Metropolitan Educational Solutions</t>
  </si>
  <si>
    <t>Andre</t>
  </si>
  <si>
    <t>Broadway</t>
  </si>
  <si>
    <t>5121 New Hampton Unit B NW Washington DC 20011</t>
  </si>
  <si>
    <t>Unit B</t>
  </si>
  <si>
    <t>(202) 500-7949</t>
  </si>
  <si>
    <t>senior citizen, poor physical health</t>
  </si>
  <si>
    <t>My client is a senior citizen who has mobility issues.</t>
  </si>
  <si>
    <t>ID-0892</t>
  </si>
  <si>
    <t xml:space="preserve">3/28/25 - Scheduled for 4/4/25 &amp; 5/2/25; 05/08/2025 - VM NOT SET UP </t>
  </si>
  <si>
    <t>jshomali@cohdc.org</t>
  </si>
  <si>
    <t>Jacob Shomali</t>
  </si>
  <si>
    <t>Sandra</t>
  </si>
  <si>
    <t>Dickerson</t>
  </si>
  <si>
    <t>1519 BENNING RD NE</t>
  </si>
  <si>
    <t>Apt G12</t>
  </si>
  <si>
    <t>(202) 308-5305</t>
  </si>
  <si>
    <t>Pt does not have enough food to eat and lacks the capacity to get more due to her disabilities. She has many medical conditions, including COPD, Htn, DM, etc. Pt also has several mental health conditions, including alcohol/cocaine/tobacco use.</t>
  </si>
  <si>
    <t>ID-2928</t>
  </si>
  <si>
    <t xml:space="preserve">3/6/25 - Not active; 05/08/2025 - LVM </t>
  </si>
  <si>
    <t>gfolasade@districthealthcareservices.com</t>
  </si>
  <si>
    <t>Folasade Gbadamosi</t>
  </si>
  <si>
    <t>District healthcare services</t>
  </si>
  <si>
    <t>David</t>
  </si>
  <si>
    <t>smith</t>
  </si>
  <si>
    <t>2107 H street NE, washington DC</t>
  </si>
  <si>
    <t>Apt 158</t>
  </si>
  <si>
    <t>(202) 650-1990</t>
  </si>
  <si>
    <t>Six</t>
  </si>
  <si>
    <t>Peter</t>
  </si>
  <si>
    <t>ID-0992</t>
  </si>
  <si>
    <t>12/22/24 Delivery period expired</t>
  </si>
  <si>
    <t>Jen.R@nvrdc.org</t>
  </si>
  <si>
    <t>Jen Ramos</t>
  </si>
  <si>
    <t>Network for Victim Recovery of DC</t>
  </si>
  <si>
    <t>Charnell</t>
  </si>
  <si>
    <t>Gant</t>
  </si>
  <si>
    <t>3538 6th Street NW</t>
  </si>
  <si>
    <t>#3</t>
  </si>
  <si>
    <t>(202) 902-3403</t>
  </si>
  <si>
    <t>Client is traumatized by incident and feels unsafe leaving the home</t>
  </si>
  <si>
    <t>Client was assaulted by an acquaintance who gained access to her home. She is working with NVRDC and CVC to possibly move or get security measures for the home but in the meantime is not feeling comfortable leaving the home to obtain groceries. She also does not have the funds to do so.</t>
  </si>
  <si>
    <t>Elizabeth</t>
  </si>
  <si>
    <t>ID-0766</t>
  </si>
  <si>
    <t>3/28/2025 - Scheduled for 4/10/25 &amp; 5/2/25</t>
  </si>
  <si>
    <t>ggaray@maryscenter.org</t>
  </si>
  <si>
    <t>Gloria Garay</t>
  </si>
  <si>
    <t>(202) 696-3604</t>
  </si>
  <si>
    <t>Eunice</t>
  </si>
  <si>
    <t>Elliot</t>
  </si>
  <si>
    <t>315 Franklin St NE</t>
  </si>
  <si>
    <t>(202) 269-0890</t>
  </si>
  <si>
    <t>senior citizen, poor mental health, living with disability</t>
  </si>
  <si>
    <t>Can be difficult to understand over the phone</t>
  </si>
  <si>
    <t>ID-0906</t>
  </si>
  <si>
    <t>3/28/25 - Scheduled for 4/10/25 &amp; 5/2/25; 05/08/2025 -  Scheduled until 07/24 + told to call back then to continue</t>
  </si>
  <si>
    <t>jasmine.moore@ccdc1.org</t>
  </si>
  <si>
    <t>Jasmine Moore</t>
  </si>
  <si>
    <t>Community Connections</t>
  </si>
  <si>
    <t>Andrea</t>
  </si>
  <si>
    <t>Woods</t>
  </si>
  <si>
    <t>1825 Maryland Ave. NE, Apt. T1</t>
  </si>
  <si>
    <t>T1</t>
  </si>
  <si>
    <t>poor physical health, single parent with baby/infants</t>
  </si>
  <si>
    <t>Client has problems with her spine that makes it extremely difficult to take steps. She also has no vehicle which makes it difficult to travel to get food and bring it back to the home for herself and children.</t>
  </si>
  <si>
    <t>ID-0663</t>
  </si>
  <si>
    <t xml:space="preserve">5/29/25 - Scheduled until 7/25/25 + told to call back then to continue </t>
  </si>
  <si>
    <t>gsanchez@damienministries.org</t>
  </si>
  <si>
    <t>Grimaldi-Francesca Sanchez</t>
  </si>
  <si>
    <t>Damien Ministries</t>
  </si>
  <si>
    <t>Fonda</t>
  </si>
  <si>
    <t>800 6th Street</t>
  </si>
  <si>
    <t>#501</t>
  </si>
  <si>
    <t>Clients disability limits her mobility to come out to get food from our food bank and currently we do not offer delivery services.</t>
  </si>
  <si>
    <t>Tarek</t>
  </si>
  <si>
    <t>ID-2262</t>
  </si>
  <si>
    <t>3/6/25 - Service not available to LVM</t>
  </si>
  <si>
    <t>Linda</t>
  </si>
  <si>
    <t>Willis</t>
  </si>
  <si>
    <t>2515 Alabama Ave</t>
  </si>
  <si>
    <t>(301) 675-1638</t>
  </si>
  <si>
    <t>ID-0854</t>
  </si>
  <si>
    <t>12/30/24: Sadly, she passed away in November.</t>
  </si>
  <si>
    <t>gekpenyong@trinity-nursing.com</t>
  </si>
  <si>
    <t>Grace Ekpenyong</t>
  </si>
  <si>
    <t>Trinity Nursing Management</t>
  </si>
  <si>
    <t>BRIANNA</t>
  </si>
  <si>
    <t>ANDERSON</t>
  </si>
  <si>
    <t>3636 16th Street NW Washington DC 20010</t>
  </si>
  <si>
    <t>A-834</t>
  </si>
  <si>
    <t>poor mental health, living with disability, poor physical health, Recent discharge from the hospital.</t>
  </si>
  <si>
    <t>1. FIRST DELIVERY FOR MAY 9TH. 
2. Recent discharge from the hospital. 
3. Wheelchair-bound and HIV positive.
4. Mental health issues.</t>
  </si>
  <si>
    <t>ID-1573</t>
  </si>
  <si>
    <t>3/28/2025 - Scheduled for 4/4/25</t>
  </si>
  <si>
    <t>Shiela Escamilla</t>
  </si>
  <si>
    <t>Gricelda</t>
  </si>
  <si>
    <t>712 Quincy St NW Washington DC 20011</t>
  </si>
  <si>
    <t>Basement</t>
  </si>
  <si>
    <t>(202) 489-3188</t>
  </si>
  <si>
    <t>poor mental health, poor physical health, single parent with baby/infants, Gricelda works full time and is not able to afford to pay for her rent and the basic needs for her child.</t>
  </si>
  <si>
    <t>Gricelda is the sole provider for her almost two year old daughter Keisy, She is recovering from an eye procedure that limits her ability to work full time. She is currently making only enough money to pay for her rent, the father of her daughter is not supporting her. Gricelda is also a continuing English language student at Briya PCS. Please contact me at 571 342 8676 if you need further information regarding Gricelda's situation.</t>
  </si>
  <si>
    <t>ID-1124</t>
  </si>
  <si>
    <t>3/6/25 - LVM</t>
  </si>
  <si>
    <t>UNRESPONSIVE - FOLLOW UP WITH CW</t>
  </si>
  <si>
    <t>Kendrick</t>
  </si>
  <si>
    <t>Jacobs</t>
  </si>
  <si>
    <t>445 Mellon Street SE</t>
  </si>
  <si>
    <t>#1</t>
  </si>
  <si>
    <t>poor physical health</t>
  </si>
  <si>
    <t>Client awaiting SNAP decision, has no food. Kidney disease, severe asthma</t>
  </si>
  <si>
    <t>ID-0587</t>
  </si>
  <si>
    <t>3/6/2025 - Scheduled for 3/13/25</t>
  </si>
  <si>
    <t>elizabeth.k.howard@medstar.net</t>
  </si>
  <si>
    <t>Elizabeth Howard</t>
  </si>
  <si>
    <t>MedStar Family Choice DC</t>
  </si>
  <si>
    <t>Doris</t>
  </si>
  <si>
    <t>Warren</t>
  </si>
  <si>
    <t>4309 3rd St SE</t>
  </si>
  <si>
    <t>(202) 733-3983</t>
  </si>
  <si>
    <t>hx cerebral palsy, has a home health aide, hearing impairment, walker</t>
  </si>
  <si>
    <t>ID-0393</t>
  </si>
  <si>
    <t>3/6/25 - Scheduled for 3/13/25</t>
  </si>
  <si>
    <t>charlene.crafton@ccdc1.org</t>
  </si>
  <si>
    <t>Charlene Crafton</t>
  </si>
  <si>
    <t>Georges</t>
  </si>
  <si>
    <t>Azubike</t>
  </si>
  <si>
    <t>733 Hobart Place</t>
  </si>
  <si>
    <t>The client Mr. Azubike, is visually impaired and in need of food assistance for the microwave he cannot really use the stove as he cannot see but will be having surgery on his eyes May 17 to correct his vision. His SSDI is pending a denied appeal, and he has no income and does not receive SNAP benefits.</t>
  </si>
  <si>
    <t>long term</t>
  </si>
  <si>
    <t>ID-2684</t>
  </si>
  <si>
    <t>07/25/25 -Scheduled till 10/3/25 + told to call back to continue</t>
  </si>
  <si>
    <t>melle.tibe@davita.com</t>
  </si>
  <si>
    <t>Melle Tibe</t>
  </si>
  <si>
    <t>davita</t>
  </si>
  <si>
    <t>Joseph</t>
  </si>
  <si>
    <t>Johnson</t>
  </si>
  <si>
    <t>4307 3RD ST SE</t>
  </si>
  <si>
    <t>apt 101</t>
  </si>
  <si>
    <t>(202) 983-8178</t>
  </si>
  <si>
    <t>senior citizen, living with disability, poor physical health, Life sustaining treatment</t>
  </si>
  <si>
    <t>Dialysis</t>
  </si>
  <si>
    <t xml:space="preserve"> Gillian </t>
  </si>
  <si>
    <t>ID-0496</t>
  </si>
  <si>
    <t>5/29/25 -Scheduled until 07/24/25 + told to call back then to continue</t>
  </si>
  <si>
    <t>dcreek@hschealth.org</t>
  </si>
  <si>
    <t>Dawn Creek-Kapfumvuti</t>
  </si>
  <si>
    <t>HSCSN</t>
  </si>
  <si>
    <t>Yvonne</t>
  </si>
  <si>
    <t>2002 SAVANNAH TERRACE SE</t>
  </si>
  <si>
    <t>Apt B</t>
  </si>
  <si>
    <t>(202) 852-2317</t>
  </si>
  <si>
    <t>living with disability, single parent with baby/infants</t>
  </si>
  <si>
    <t>The client is currently pregnant and is a single parent to a child with special needs.</t>
  </si>
  <si>
    <t>ID-2693</t>
  </si>
  <si>
    <t>3/6/25 - Not able to receive calls at this time</t>
  </si>
  <si>
    <t>zhenstrand@foodandfriends.org</t>
  </si>
  <si>
    <t>Zack Henstrand</t>
  </si>
  <si>
    <t>Food &amp; Friends</t>
  </si>
  <si>
    <t>Richard</t>
  </si>
  <si>
    <t>Carter</t>
  </si>
  <si>
    <t>433 Brandywine St SE</t>
  </si>
  <si>
    <t>(202) 361-7264</t>
  </si>
  <si>
    <t>The client is visually impaired, is in dialysis treatment for ESRD, and is unable to easily leave the house to shop for or pick up food.</t>
  </si>
  <si>
    <t>ID-2542</t>
  </si>
  <si>
    <t>07/28/24: Spoke with client and they have requested us to pause deliveries. They will contact us if in need. 06/23/24: Scheduled for 06/27, 07/11</t>
  </si>
  <si>
    <t>Cherish</t>
  </si>
  <si>
    <t>Hunter</t>
  </si>
  <si>
    <t>Client is currently going through a mental crisis where they are unable to go out and get basic needs completed.</t>
  </si>
  <si>
    <t>ID-1002</t>
  </si>
  <si>
    <t>07/17/25 - Scheduled until 09/25/25 + told to call back in September to continue</t>
  </si>
  <si>
    <t>sweledetensa@maryscenter.org</t>
  </si>
  <si>
    <t>Solomon Weledetensa</t>
  </si>
  <si>
    <t>Fred</t>
  </si>
  <si>
    <t>Cameron</t>
  </si>
  <si>
    <t>3005 Bladensburg Rd NE,</t>
  </si>
  <si>
    <t>(202) 506-1665</t>
  </si>
  <si>
    <t>Client has multiple physical health problems including heart and learning disability</t>
  </si>
  <si>
    <t>ID-0433</t>
  </si>
  <si>
    <t>chinyere.ahaghotu@psiservices.org</t>
  </si>
  <si>
    <t>Chinyere Ahaghotu</t>
  </si>
  <si>
    <t>PSI</t>
  </si>
  <si>
    <t>Brandi</t>
  </si>
  <si>
    <t>Young</t>
  </si>
  <si>
    <t>2004 Savannah street SE</t>
  </si>
  <si>
    <t>single parent with baby/infants</t>
  </si>
  <si>
    <t>You are caring for minor family members; I feel afraid to go out as well due to threats</t>
  </si>
  <si>
    <t>Indefinitely</t>
  </si>
  <si>
    <t>ID-0674</t>
  </si>
  <si>
    <t>James@NVRDC.org</t>
  </si>
  <si>
    <t>James</t>
  </si>
  <si>
    <t>NVRDC(Network for Victim Recovery of D.C)</t>
  </si>
  <si>
    <t>Chavonica</t>
  </si>
  <si>
    <t>Wynn</t>
  </si>
  <si>
    <t>3750 Jamison Street Washington D.C.</t>
  </si>
  <si>
    <t>#250</t>
  </si>
  <si>
    <t>(202) 710-2003</t>
  </si>
  <si>
    <t>poor mental health, single parent with baby/infants</t>
  </si>
  <si>
    <t>Client just gave birth last week, and experiencing great hardship from being a survivor of SA.</t>
  </si>
  <si>
    <t>ID-1684</t>
  </si>
  <si>
    <t>09/4/25 - Scheduled until 10/31/25 + told to call then to continue scheduling</t>
  </si>
  <si>
    <t>William</t>
  </si>
  <si>
    <t>Coleman</t>
  </si>
  <si>
    <t>2323 PENNSYLVANIA AVE SE</t>
  </si>
  <si>
    <t>APT 413</t>
  </si>
  <si>
    <t>(202) 749-3865</t>
  </si>
  <si>
    <t>poor mental health, living with disability</t>
  </si>
  <si>
    <t>Pt is in recovery of a stroke and thereforce cannot move the right side of his body.</t>
  </si>
  <si>
    <t>ID-2432</t>
  </si>
  <si>
    <t>12/22/24 - Delivery period expired.</t>
  </si>
  <si>
    <t>Latasha</t>
  </si>
  <si>
    <t>Trotter</t>
  </si>
  <si>
    <t>1910 23rd street SE</t>
  </si>
  <si>
    <t>132 C</t>
  </si>
  <si>
    <t>Client was discharged from the hospital on Monday May 12, 2024, she does not have food at her home, she is not able to buy food.</t>
  </si>
  <si>
    <t>one month</t>
  </si>
  <si>
    <t>ID-0005</t>
  </si>
  <si>
    <t>3/6/2025 - Subscriber is not in service</t>
  </si>
  <si>
    <t>abby.huerta@cohdc.org</t>
  </si>
  <si>
    <t>Abby Huerta</t>
  </si>
  <si>
    <t>DEONA</t>
  </si>
  <si>
    <t>THORNTON</t>
  </si>
  <si>
    <t>1440 V ST NW</t>
  </si>
  <si>
    <t>APT 706</t>
  </si>
  <si>
    <t>(202) 890-7910</t>
  </si>
  <si>
    <t>Patient is a single parent with 3 kids with low income not enough food resources/money to buy groceries for kids</t>
  </si>
  <si>
    <t>ID-0126</t>
  </si>
  <si>
    <t>Donovan</t>
  </si>
  <si>
    <t>Mayo</t>
  </si>
  <si>
    <t>1731 Kalorama street NW</t>
  </si>
  <si>
    <t>Apt 005</t>
  </si>
  <si>
    <t>nw</t>
  </si>
  <si>
    <t>Mr. Mayo is in very urgent need. He does struggle with very severe states of mental health: depression, trauma, and manic anxiety compounded by personal and domestic challenges. Moreover, he is suffering from serious physical diseases:
-Stage 3 Kidney Failure
-Congestive Heart Failure
-Hypertension
For which he has been recently hospitalized. His condition needs consistent specialized medical care and medication to handle his health problems. Equally, his required nutrition is to be consistent and can also be helped with our food delivery services. Thinking about Mr. Mayo, it becomes clear that he meets every eligibility criterion that is required to get help for his need. These include poor mental health, serious physical disability, and chronic illness. These struggles make him a prime candidate for immediate and sustained help.</t>
  </si>
  <si>
    <t>ID-1175</t>
  </si>
  <si>
    <t>Mabebe@districthealthcareservices.com</t>
  </si>
  <si>
    <t>Mahlet ABEBE</t>
  </si>
  <si>
    <t>District Health Care Services</t>
  </si>
  <si>
    <t>ARLETHA</t>
  </si>
  <si>
    <t>SCOTT</t>
  </si>
  <si>
    <t>4850 Connecticut Ave</t>
  </si>
  <si>
    <t>HIV Positive and Eczema</t>
  </si>
  <si>
    <t>6 months</t>
  </si>
  <si>
    <t>ID-0661</t>
  </si>
  <si>
    <t>TOYE</t>
  </si>
  <si>
    <t>AL ILAH</t>
  </si>
  <si>
    <t>4000 MASSACHUSETTS AVE NW</t>
  </si>
  <si>
    <t>Patient living with disability, poor mental health, and poor physical health. Patient has Uncontrolled Diabetes A1C 9.7, Paralysis of left upper extremity, and is scheduled for a surgery on her right arm (only functional arm) on 5/29/2024</t>
  </si>
  <si>
    <t>ID-0891</t>
  </si>
  <si>
    <t xml:space="preserve">04/24/25 - Scheduled delivery for 04/25 and 05/23 +instructed to follow up in June to continue </t>
  </si>
  <si>
    <t>202-984-2063</t>
  </si>
  <si>
    <t>Desando</t>
  </si>
  <si>
    <t>Murphy</t>
  </si>
  <si>
    <t>861 21ST ST NE</t>
  </si>
  <si>
    <t>Pt is currently in recovery from a stroke and has limited mobility.</t>
  </si>
  <si>
    <t>ID-0007</t>
  </si>
  <si>
    <t>202-540-9857</t>
  </si>
  <si>
    <t>CONNIE</t>
  </si>
  <si>
    <t>GUEVARA</t>
  </si>
  <si>
    <t>3922 ILLINOIS AVE NW</t>
  </si>
  <si>
    <t>living with disability, poor physical health, single parent with baby/infants, Patient has Diabetes, A1c is 8.0</t>
  </si>
  <si>
    <t>3/6/2025 - She does not need food any more</t>
  </si>
  <si>
    <t>Cordell</t>
  </si>
  <si>
    <t>Valentine</t>
  </si>
  <si>
    <t>360 H St NEWashington DC 20002</t>
  </si>
  <si>
    <t>client is diabetic</t>
  </si>
  <si>
    <t>ID-1985</t>
  </si>
  <si>
    <t>3/6/25 - Scheduled for 3/14/25 - The food is to be delivered to her dad's house located at 1518 Neal St. NE, 20002. Dad's phone is 202-399-6202</t>
  </si>
  <si>
    <t>202-545-4640</t>
  </si>
  <si>
    <t>Cheryl</t>
  </si>
  <si>
    <t>Boykins</t>
  </si>
  <si>
    <t>2300 Good Hope Road, SE</t>
  </si>
  <si>
    <t>#517</t>
  </si>
  <si>
    <t>living with disability, poor physical health, wheelchair dependent</t>
  </si>
  <si>
    <t>Enrollee is disabled, wheelchair dependent with limited mobility within the community. Enrollee is unable to access local food pantries to supplement her food supply. Please restart monthly food deliveries. Thank you!</t>
  </si>
  <si>
    <t>ID-1427</t>
  </si>
  <si>
    <t>3/6/25 - Scheduled for 3/14</t>
  </si>
  <si>
    <t>olabisi@urgentwellness.com</t>
  </si>
  <si>
    <t>Olabisi Yamu</t>
  </si>
  <si>
    <t>Urgent Wellness LLC</t>
  </si>
  <si>
    <t>Yvette</t>
  </si>
  <si>
    <t>Hawkins</t>
  </si>
  <si>
    <t>3314 14TH PLACE SE</t>
  </si>
  <si>
    <t>ID-2443</t>
  </si>
  <si>
    <t xml:space="preserve">3/6/2025 - Already scheduled for 3/13/25; 05/08/2025 - Set up until 07/24/25 + told to call back then to continue </t>
  </si>
  <si>
    <t>Josephine</t>
  </si>
  <si>
    <t>Williams</t>
  </si>
  <si>
    <t>3335 ALDEN PL NE</t>
  </si>
  <si>
    <t>ID-2521</t>
  </si>
  <si>
    <t>3/6/25 - Scheduled for 3/21/25</t>
  </si>
  <si>
    <t>rconteh@mbihs.com</t>
  </si>
  <si>
    <t>Rosaline Conteh</t>
  </si>
  <si>
    <t>MBI Health Services</t>
  </si>
  <si>
    <t>202 350 0938</t>
  </si>
  <si>
    <t>Randrica</t>
  </si>
  <si>
    <t>Bowman</t>
  </si>
  <si>
    <t>3320 14th place</t>
  </si>
  <si>
    <t>ID-0465</t>
  </si>
  <si>
    <t>3/6/25 - Subscriber is not in service</t>
  </si>
  <si>
    <t>ckamnang@nhh-services.com</t>
  </si>
  <si>
    <t>claudine kamnang</t>
  </si>
  <si>
    <t>New Hope Health Services / One Care Inc</t>
  </si>
  <si>
    <t>John</t>
  </si>
  <si>
    <t>FERRELL</t>
  </si>
  <si>
    <t>3028 Nelson Place</t>
  </si>
  <si>
    <t>Unemployed and do not have EBT</t>
  </si>
  <si>
    <t>Ashley</t>
  </si>
  <si>
    <t>ID-0624</t>
  </si>
  <si>
    <t>Keshia</t>
  </si>
  <si>
    <t>STRONG</t>
  </si>
  <si>
    <t>3964 Martin Luther King Ave.</t>
  </si>
  <si>
    <t>SW</t>
  </si>
  <si>
    <t>Unemployed</t>
  </si>
  <si>
    <t>ID-0459</t>
  </si>
  <si>
    <t>12/26/24: LVM 1/20 no longer needs delivery</t>
  </si>
  <si>
    <t>Quanisha</t>
  </si>
  <si>
    <t>Talbert</t>
  </si>
  <si>
    <t>86 Forrester Street</t>
  </si>
  <si>
    <t>B2</t>
  </si>
  <si>
    <t>poor mental health, poor physical health, single parent with baby/infants</t>
  </si>
  <si>
    <t>Under DBH healing list and unemployed</t>
  </si>
  <si>
    <t>ID-0069</t>
  </si>
  <si>
    <t>3/6/25 - Can't accept calls at this time</t>
  </si>
  <si>
    <t>amanchester@cohdc.org</t>
  </si>
  <si>
    <t>Andre Manchester</t>
  </si>
  <si>
    <t>Jessica</t>
  </si>
  <si>
    <t>Catolico Becerra</t>
  </si>
  <si>
    <t>2357 Rhode Island Ave NE, WASHINGTON,DC</t>
  </si>
  <si>
    <t>Address is My Sister's Place</t>
  </si>
  <si>
    <t>single parent with baby/infants, pregnant</t>
  </si>
  <si>
    <t>Jessica is living at My Sister's Place with her young daughter and is pregnant, she is ineligible for other benefits at this time and unable to work.</t>
  </si>
  <si>
    <t>ID-1086</t>
  </si>
  <si>
    <t>3/6/25 - Scheduled for 3/13/2025</t>
  </si>
  <si>
    <t>kimberley_alexander@optum.com</t>
  </si>
  <si>
    <t>Kimberley Alexander</t>
  </si>
  <si>
    <t>United Health Care</t>
  </si>
  <si>
    <t>202 557 6391</t>
  </si>
  <si>
    <t>Deanna</t>
  </si>
  <si>
    <t>Morgan</t>
  </si>
  <si>
    <t>1112 21st St NE</t>
  </si>
  <si>
    <t>(202)510-3936</t>
  </si>
  <si>
    <t>living with disability, Needs Wheelchair and assistance to go out of the home.</t>
  </si>
  <si>
    <t>History of CVA, Hemiplegia, Seizure disorder</t>
  </si>
  <si>
    <t>ID-0974</t>
  </si>
  <si>
    <t>3/13/25 - Scheduled for 3/20</t>
  </si>
  <si>
    <t>jasmine.morales@nvrdc.org</t>
  </si>
  <si>
    <t>Jasmine Morales</t>
  </si>
  <si>
    <t>(202) 916-9357</t>
  </si>
  <si>
    <t>Dorothy</t>
  </si>
  <si>
    <t>Lynn</t>
  </si>
  <si>
    <t>4248 Hildreth St SE , Washington , DC 20019</t>
  </si>
  <si>
    <t>(202) 644-6374</t>
  </si>
  <si>
    <t>Ms. Lynn was injured at work and is currently without pay while she recovers.</t>
  </si>
  <si>
    <t>ID-0881</t>
  </si>
  <si>
    <t>3/13/25 - Scheduled for 3/21</t>
  </si>
  <si>
    <t>jnwelds@tlinksdc.com</t>
  </si>
  <si>
    <t>Therapeutic Links Behavioral Health Services LLC</t>
  </si>
  <si>
    <t>(301) 539-9833</t>
  </si>
  <si>
    <t>Annette</t>
  </si>
  <si>
    <t>Jackson</t>
  </si>
  <si>
    <t>3750 Jamison Street NE</t>
  </si>
  <si>
    <t>Apt 328</t>
  </si>
  <si>
    <t>Mental and physical health negatively impacted by food insecurity secondary to extremely low income (less than $300/month). Severe GI issues when consuming processed foods that impact overall functioning. Client meeds diagnostic and symptom criteria for ADA covered diagnoses.</t>
  </si>
  <si>
    <t>indefinitely</t>
  </si>
  <si>
    <t>ID-2110</t>
  </si>
  <si>
    <t>Jeanette</t>
  </si>
  <si>
    <t>Miller</t>
  </si>
  <si>
    <t>1722 19th Street North West</t>
  </si>
  <si>
    <t>ID-2025</t>
  </si>
  <si>
    <t>pgeorge@dcdoors.org</t>
  </si>
  <si>
    <t>Priscilla George</t>
  </si>
  <si>
    <t>DC Doors</t>
  </si>
  <si>
    <t>Dannie</t>
  </si>
  <si>
    <t>Green</t>
  </si>
  <si>
    <t>600 Kenilworth Terrace</t>
  </si>
  <si>
    <t>Mr. Green is a hemodialysis patient; and has gait abnormality; It is challenging to leave the unit.</t>
  </si>
  <si>
    <t>ID-0568</t>
  </si>
  <si>
    <t xml:space="preserve">4/25/2025 - LVM; 06/20/20 -LVM </t>
  </si>
  <si>
    <t>dbennett@erfsc.org</t>
  </si>
  <si>
    <t>Donnita Bennett</t>
  </si>
  <si>
    <t>East River Family Strengthening Collaborative</t>
  </si>
  <si>
    <t>Keara</t>
  </si>
  <si>
    <t>McLeod</t>
  </si>
  <si>
    <t>445 Burbank St SE</t>
  </si>
  <si>
    <t>Ms. McLeod has mentioned that she has lost her SNAP and WIC benefits and is struggling to provide enough food for her children.</t>
  </si>
  <si>
    <t>ID-1541</t>
  </si>
  <si>
    <t>3/13/2025 - Already scheduled for 3/13</t>
  </si>
  <si>
    <t>Chrystal</t>
  </si>
  <si>
    <t>Wanzer</t>
  </si>
  <si>
    <t>713 Lamont St. NW</t>
  </si>
  <si>
    <t>poor mental health, living with disability, Dependent child with ASD</t>
  </si>
  <si>
    <t>Client's dependent child also has a disability.</t>
  </si>
  <si>
    <t>Nathalie</t>
  </si>
  <si>
    <t>ID-0004</t>
  </si>
  <si>
    <t>NEED SPANISH REP 6/19</t>
  </si>
  <si>
    <t>SPANISH SPEAKING</t>
  </si>
  <si>
    <t>LETICIA DEL CARMEN</t>
  </si>
  <si>
    <t>SANDOVAL DE AXUME</t>
  </si>
  <si>
    <t>1814 IRVING ST NE</t>
  </si>
  <si>
    <t>APT 207</t>
  </si>
  <si>
    <t>ID-2149</t>
  </si>
  <si>
    <t>Jacqueline</t>
  </si>
  <si>
    <t>Dunbar</t>
  </si>
  <si>
    <t>810 Chesapeake St SE DC</t>
  </si>
  <si>
    <t>client is not very mobile due knee surgery</t>
  </si>
  <si>
    <t>ID-2803</t>
  </si>
  <si>
    <t>slucas@lesdc.org</t>
  </si>
  <si>
    <t>Sandtrius Lucas</t>
  </si>
  <si>
    <t>Life Enhancement Service</t>
  </si>
  <si>
    <t>(202)200-3642</t>
  </si>
  <si>
    <t>Marcus</t>
  </si>
  <si>
    <t>Wilhite</t>
  </si>
  <si>
    <t>5920 14th Street NW</t>
  </si>
  <si>
    <t>(202) 300-5795</t>
  </si>
  <si>
    <t>poor mental health, living with disability, single parent with baby/infants</t>
  </si>
  <si>
    <t>Clients says he is in desperate need.</t>
  </si>
  <si>
    <t>ID-0121</t>
  </si>
  <si>
    <t>3/13/25 - Already scheduled for 3/14</t>
  </si>
  <si>
    <t>dawn</t>
  </si>
  <si>
    <t>henderson</t>
  </si>
  <si>
    <t>2306 41STREET</t>
  </si>
  <si>
    <t>HOMEBOUND CLIENT</t>
  </si>
  <si>
    <t>&gt;12</t>
  </si>
  <si>
    <t>ID-0788</t>
  </si>
  <si>
    <t>12/30/24, 3/13/2025: Answering machine in Spanish</t>
  </si>
  <si>
    <t>ANDRE</t>
  </si>
  <si>
    <t>STEVENSON</t>
  </si>
  <si>
    <t>2228 MLK JR AVE</t>
  </si>
  <si>
    <t>HOMEBOUND.</t>
  </si>
  <si>
    <t>ID-0211</t>
  </si>
  <si>
    <t>07/10/2025 - Scheduled until 08/08/2025 + told to call back in August to continue</t>
  </si>
  <si>
    <t>PAMELA</t>
  </si>
  <si>
    <t>COMER</t>
  </si>
  <si>
    <t>1001 WAHLER PLACE</t>
  </si>
  <si>
    <t>(202) 563-1229</t>
  </si>
  <si>
    <t>HOMEBOUND</t>
  </si>
  <si>
    <t>ID-2849</t>
  </si>
  <si>
    <t>12/30/24: LVM. Schedule if she calls
3/13/25 - No response. Hasn't got food for at least 4 months.</t>
  </si>
  <si>
    <t>Shykayla</t>
  </si>
  <si>
    <t>2826 HARTFORD ST SE</t>
  </si>
  <si>
    <t>(240) 375-4926</t>
  </si>
  <si>
    <t>ID-0206</t>
  </si>
  <si>
    <t>bsmith-csw@onecaredc.com</t>
  </si>
  <si>
    <t>Bernice Smith</t>
  </si>
  <si>
    <t>One Care Dc</t>
  </si>
  <si>
    <t>240-787-1929</t>
  </si>
  <si>
    <t>Jerome</t>
  </si>
  <si>
    <t>Peele</t>
  </si>
  <si>
    <t>4441 Falls Terrace Street SE</t>
  </si>
  <si>
    <t>se</t>
  </si>
  <si>
    <t>Mr. Peele had a stroke that left him disabled , unable to work and is living with depression. He has an aide that is with him daily. Mr. Peele has mobility issues as well.</t>
  </si>
  <si>
    <t>ID-0651</t>
  </si>
  <si>
    <t>08/14/25 - Scheduled until 10/02 + told to call back in Septembere to continue</t>
  </si>
  <si>
    <t>jcunningham@some.org</t>
  </si>
  <si>
    <t>Juranda Cunningham</t>
  </si>
  <si>
    <t>SO Others Might Eat (SOME)</t>
  </si>
  <si>
    <t>202-221-0533</t>
  </si>
  <si>
    <t>Patricia</t>
  </si>
  <si>
    <t>Washington</t>
  </si>
  <si>
    <t>120 45th Street</t>
  </si>
  <si>
    <t>Asthmatic, senior citizen, and chronic illness</t>
  </si>
  <si>
    <t>lifetime</t>
  </si>
  <si>
    <t>ID-2263</t>
  </si>
  <si>
    <t>aaluko@mbihs.com</t>
  </si>
  <si>
    <t>Abiola Aluko</t>
  </si>
  <si>
    <t>MBI mental health services</t>
  </si>
  <si>
    <t>240-554-7923</t>
  </si>
  <si>
    <t>Strong</t>
  </si>
  <si>
    <t>1816 new hampshire ave</t>
  </si>
  <si>
    <t>(202) 391-3052</t>
  </si>
  <si>
    <t>ID-0176</t>
  </si>
  <si>
    <t>3/13/25 - LVM</t>
  </si>
  <si>
    <t>Ambrose</t>
  </si>
  <si>
    <t>King</t>
  </si>
  <si>
    <t>4800 Arkansaw Avenue, NW</t>
  </si>
  <si>
    <t>The client suffers from bad anxiety and depression. He also suffers from high blood pressure.</t>
  </si>
  <si>
    <t>ID-2186</t>
  </si>
  <si>
    <t>12/31/24 - Phone out of service
3/13/25 - Phone out of service. Has not got for since 1/31</t>
  </si>
  <si>
    <t>tanyia</t>
  </si>
  <si>
    <t>tapp</t>
  </si>
  <si>
    <t>5661 3rd st</t>
  </si>
  <si>
    <t>ne</t>
  </si>
  <si>
    <t>ID-0178</t>
  </si>
  <si>
    <t>12/31/24 - Phone out of service
Still unreachable on 3/13/25. Hasn't got food for at least 4 months</t>
  </si>
  <si>
    <t>Robinson</t>
  </si>
  <si>
    <t>2801 28th Street,</t>
  </si>
  <si>
    <t>The clients has one infant and and one toddler.</t>
  </si>
  <si>
    <t>The client needs help navigating the city with two small children. He does not have child care and limited resources for someone to watch them.</t>
  </si>
  <si>
    <t>ID-0387</t>
  </si>
  <si>
    <t>Robert</t>
  </si>
  <si>
    <t>Lindsey</t>
  </si>
  <si>
    <t>2300 marion Barry Avenue,</t>
  </si>
  <si>
    <t>The consumer is not able to stand or walk for long periods. He also suffers from mental health issues.</t>
  </si>
  <si>
    <t>ID-0171</t>
  </si>
  <si>
    <t>Francis</t>
  </si>
  <si>
    <t>Bankins</t>
  </si>
  <si>
    <t>3052 30th Street,</t>
  </si>
  <si>
    <t>#6</t>
  </si>
  <si>
    <t>Since coming home he doesn't go/come out often due to his mental health issues.</t>
  </si>
  <si>
    <t>ID-0182</t>
  </si>
  <si>
    <t>ENTERED IN DATABASE BUT DAUGHTER SAID THAT THEY DONT NEED ASSISTANCE FOR NOW</t>
  </si>
  <si>
    <t>Bernita Paige &amp; Monique Townsend</t>
  </si>
  <si>
    <t>Getenesh</t>
  </si>
  <si>
    <t>Woldetsadik</t>
  </si>
  <si>
    <t>905 Butternut Street,</t>
  </si>
  <si>
    <t>senior citizen</t>
  </si>
  <si>
    <t>The consumer is an elderly woman who needs assistance getting around and doesn't speak much English. She has to have someone to be with her when she is taking care of business.</t>
  </si>
  <si>
    <t>6-12months</t>
  </si>
  <si>
    <t>ID-0317</t>
  </si>
  <si>
    <t>lola@nvrdc.org</t>
  </si>
  <si>
    <t>Lola Maraiyesa</t>
  </si>
  <si>
    <t>Network for Victim Recovery of DC (NVRDC)</t>
  </si>
  <si>
    <t>202-938-5816</t>
  </si>
  <si>
    <t>Donita</t>
  </si>
  <si>
    <t>Martin</t>
  </si>
  <si>
    <t>6101 16th St NW</t>
  </si>
  <si>
    <t>#710</t>
  </si>
  <si>
    <t>(202) 878-5648</t>
  </si>
  <si>
    <t>The client fears for her life due to threats made by a close family member to physically harm her. This family member is aware of the client's home location and as such the client does is unable to leave her home due to concerns that she might meet the family member outside of her home or surrounding areas</t>
  </si>
  <si>
    <t>3/13/25 - Phone still out of service
Hasn't got food for at least 4 months</t>
  </si>
  <si>
    <t>Lee</t>
  </si>
  <si>
    <t>Repass</t>
  </si>
  <si>
    <t>2300 Marion Barry Avenue</t>
  </si>
  <si>
    <t>The client has mental and physical issues that prevent him from getting around without assistance or transportation. And, he has small children as well.</t>
  </si>
  <si>
    <t>ID-1146</t>
  </si>
  <si>
    <t>3/13/25 - LVM - Hasn't received any food for at least 4 months</t>
  </si>
  <si>
    <t>NVRDC</t>
  </si>
  <si>
    <t>(771) 777-3305</t>
  </si>
  <si>
    <t>Terri</t>
  </si>
  <si>
    <t>Jordan</t>
  </si>
  <si>
    <t>2442 Martin Luther King Jr Ave SE</t>
  </si>
  <si>
    <t>#326</t>
  </si>
  <si>
    <t>(202) 660-8649</t>
  </si>
  <si>
    <t>Ms. Terri Jordan is the caretaker and guardian of her niece who has been paralyzed since suffering a stroke last summer. Mr. Terri also cares for her niece's kids. She has been overwhelmed with medical expenses and transportation to medical facilities for her niece's case. The family is in need of additional support.</t>
  </si>
  <si>
    <t>ID-0789</t>
  </si>
  <si>
    <t>Scheduled for 3/28</t>
  </si>
  <si>
    <t>Earline</t>
  </si>
  <si>
    <t>Simmons</t>
  </si>
  <si>
    <t>3312 14TH PLACE</t>
  </si>
  <si>
    <t>(202) 836-5026</t>
  </si>
  <si>
    <t>Homebound bilateral above-the-knee amputation, diabetes mellitus, and epd waiver patient.</t>
  </si>
  <si>
    <t>ID-1615</t>
  </si>
  <si>
    <t>3/13/25 - Phone not working. Hasn't got food since 11/27/24</t>
  </si>
  <si>
    <t>dharrington@maryscenter.org</t>
  </si>
  <si>
    <t>Dominique Harrington (Therapist, Not Case Worker)</t>
  </si>
  <si>
    <t>Aiesha</t>
  </si>
  <si>
    <t>Chase-White</t>
  </si>
  <si>
    <t>1609 T Street SE</t>
  </si>
  <si>
    <t>Apt 1</t>
  </si>
  <si>
    <t>Aiesha is an unemployed single mom of six kids (youngest three are 1,2, and 3) and she is without a car or childcare. She is living with HIV and has multiple mental health diagnoses.</t>
  </si>
  <si>
    <t>As long as allowed</t>
  </si>
  <si>
    <t>ID-0758</t>
  </si>
  <si>
    <t>Already scheduled for 3/14</t>
  </si>
  <si>
    <t>Randy</t>
  </si>
  <si>
    <t>senior citizen, poor mental health, living with disability, brain damage</t>
  </si>
  <si>
    <t>The resident Mr. Allen is unable to read or write due to brain damage.</t>
  </si>
  <si>
    <t>ID-0179</t>
  </si>
  <si>
    <t>3/13/25 - Couldn't LVM because it has not been set. Hasn't got food for at least 4 months</t>
  </si>
  <si>
    <t>Jerry</t>
  </si>
  <si>
    <t>Hicks</t>
  </si>
  <si>
    <t>4712 Sheriff Road</t>
  </si>
  <si>
    <t>#202 Buzzor #4</t>
  </si>
  <si>
    <t>Due to the client's mental health, he has difficulties getting around without assistance or transportation.</t>
  </si>
  <si>
    <t>ID-0183</t>
  </si>
  <si>
    <t>12/31/24 - LVM.1/20-lvm, 3/13 - LVM. Hasn't got food for at least 4 months</t>
  </si>
  <si>
    <t>Alvin</t>
  </si>
  <si>
    <t>Chun</t>
  </si>
  <si>
    <t>3708 Grant Place</t>
  </si>
  <si>
    <t>2nd Level</t>
  </si>
  <si>
    <t/>
  </si>
  <si>
    <t>The consumer's mental health is poor. And he recently had death in the family that he is trying to cope with.</t>
  </si>
  <si>
    <t>ID-0184</t>
  </si>
  <si>
    <t>12/31/24, 3/13/25 - Phone is out of service</t>
  </si>
  <si>
    <t>Tonya</t>
  </si>
  <si>
    <t>Jefferson</t>
  </si>
  <si>
    <t>3446 22nd Street</t>
  </si>
  <si>
    <t>She is currently in a wheelchair.</t>
  </si>
  <si>
    <t>ID-2665</t>
  </si>
  <si>
    <t>End date passed (10/3/24)</t>
  </si>
  <si>
    <t>Victoria Miles</t>
  </si>
  <si>
    <t>East River FSC</t>
  </si>
  <si>
    <t>Derek</t>
  </si>
  <si>
    <t>Lewis</t>
  </si>
  <si>
    <t>818 Bladesnburg Rd NE</t>
  </si>
  <si>
    <t>poor mental health,</t>
  </si>
  <si>
    <t>Have difficulty providing for his children</t>
  </si>
  <si>
    <t>Increase income and obtain benefits</t>
  </si>
  <si>
    <t>ID-1066</t>
  </si>
  <si>
    <t>12/31/24: End date passed (9/12/24)</t>
  </si>
  <si>
    <t>Kchicas@maryscenter.org</t>
  </si>
  <si>
    <t>Karen Chicas</t>
  </si>
  <si>
    <t>Yenneylis</t>
  </si>
  <si>
    <t>Jimez</t>
  </si>
  <si>
    <t>2100 New York Ave NE</t>
  </si>
  <si>
    <t>poor mental health, living with disability, poor physical health, One adult with leukemia</t>
  </si>
  <si>
    <t>Family living in shelter, one adult with leukemia, poor mental health for children and adults. Children are not eating and parents are not able to work due to childcare and being the caregiving to adult with leukemia. Only one adult working when able to find work throughout the week. Family has outdoor cooking equipment.</t>
  </si>
  <si>
    <t>To obtain proper nutrition from food assistance and be in a stable housing by the end of summer.</t>
  </si>
  <si>
    <t>Elizabeth
Tarek</t>
  </si>
  <si>
    <t>ID-0927</t>
  </si>
  <si>
    <t>8/1/24 there was communication breakdown, she speaks spanish. I am not sure if she got her delivery it was scheduled for 8/1/24
3/13/25: Hasn't got food for at least 4 months</t>
  </si>
  <si>
    <t>Jennifer Ramos</t>
  </si>
  <si>
    <t>202-985-3455</t>
  </si>
  <si>
    <t>Gabi (Cinthia)</t>
  </si>
  <si>
    <t>Peraza-Rosales</t>
  </si>
  <si>
    <t>2406 18th Street Northwest</t>
  </si>
  <si>
    <t>Apt 3</t>
  </si>
  <si>
    <t>Her expenses were being paid by someone who turned out to be abusive, and so she left that situation. She secured a job but does not yet have the money or the time to go grocery shopping.</t>
  </si>
  <si>
    <t>Her expenses were being paid by someone who turned out to be abusive, and so she left that situation. She is no longer being supported by said someone. She secured a job but does not yet have the money or the time to go grocery shopping. She has been a victim of trafficking, physical abuse by a domestic partner, and harassment by someone she stayed with after the domestic abuse. She is trying to get back on her feet but finding it difficult to do so. Any help with groceries would be greatly appreciated.</t>
  </si>
  <si>
    <t>I expect that my client will be back on her feet in 3 months time with support and services from NVRDC and be able to provide her family with groceries then. If you need to reach her via email she is at sipero91@gmail.com CLIENT IS A SPANISH SPEAKER.</t>
  </si>
  <si>
    <t>ID-0626</t>
  </si>
  <si>
    <t>3/13/2025 - Scheduled for 3/21 11/24 - Scheduled 11/26</t>
  </si>
  <si>
    <t>emma.kwegyir-afful@dc.gov</t>
  </si>
  <si>
    <t>Emma Kwegyir-Afful</t>
  </si>
  <si>
    <t>Child and Family Services Administration</t>
  </si>
  <si>
    <t>Fozeya</t>
  </si>
  <si>
    <t>Ahmed</t>
  </si>
  <si>
    <t>1201 7th Street</t>
  </si>
  <si>
    <t>Child Yusef Alemu has a developmental disability</t>
  </si>
  <si>
    <t>Over the next 12 months, Client would be able maintain consistent income and meet the physical needs of child.</t>
  </si>
  <si>
    <t>ID-0880</t>
  </si>
  <si>
    <t xml:space="preserve">08/21/25 - Doesn't want food this week MUST call 08/28!!! </t>
  </si>
  <si>
    <t>iescalante-lopez@breadforthecity.org</t>
  </si>
  <si>
    <t>Irene Escalante Lopez</t>
  </si>
  <si>
    <t>Bread for the City</t>
  </si>
  <si>
    <t>202-970-7412</t>
  </si>
  <si>
    <t>Concepta</t>
  </si>
  <si>
    <t>Davis Perry</t>
  </si>
  <si>
    <t>6800 Georgia Ave NW</t>
  </si>
  <si>
    <t>Apt 523</t>
  </si>
  <si>
    <t>My client is wheelchair bound with very limited mobility.</t>
  </si>
  <si>
    <t>ID-1644</t>
  </si>
  <si>
    <t>3/13/2025 - He is in the hospital + 04/24/25 LVM + 06/20/25 LVM</t>
  </si>
  <si>
    <t>202-984-1855</t>
  </si>
  <si>
    <t>Milton</t>
  </si>
  <si>
    <t>Henderson</t>
  </si>
  <si>
    <t>201 58th Street NE</t>
  </si>
  <si>
    <t>(240) 604-6600</t>
  </si>
  <si>
    <t>Mr. Henderson is on 24/7 oxygen (currently on the lung transplant list) and cannot grocery shop. His SNAP benefits have been decreased to $60 monthly.</t>
  </si>
  <si>
    <t>N/A</t>
  </si>
  <si>
    <t>ID-0054</t>
  </si>
  <si>
    <t>3/13/2025 - Has not received food for at least 4 months</t>
  </si>
  <si>
    <t>abradford@pdsdc.org</t>
  </si>
  <si>
    <t>Allee Bradford</t>
  </si>
  <si>
    <t>Public Defender Service for DC</t>
  </si>
  <si>
    <t>202 480-0394</t>
  </si>
  <si>
    <t>Delonte</t>
  </si>
  <si>
    <t>182 36th St</t>
  </si>
  <si>
    <t>(443) 680-6938</t>
  </si>
  <si>
    <t>Client has a gunshot wound in his leg that makes it extremely difficult to walk and therefore he cannot work at this time.</t>
  </si>
  <si>
    <t>My client needs to heal his leg by getting appropriate medical care. I am currently coordinating with him to get medical care. Once he is more mobile, I will assist my client get a job so that he can earn a wage and pay for basic necessities. I expect he will be able to work in approximately three months with my assistance.</t>
  </si>
  <si>
    <t>ID-1089</t>
  </si>
  <si>
    <t>3/13/2025 - Out of service - Has not received for at least 4 months</t>
  </si>
  <si>
    <t>kimberly.woods@ccdc1.org</t>
  </si>
  <si>
    <t>Kimberly Woods</t>
  </si>
  <si>
    <t>Jennifer</t>
  </si>
  <si>
    <t>Harris</t>
  </si>
  <si>
    <t>4721 Texas Ave SE</t>
  </si>
  <si>
    <t>Client has difficulty walking due to physical health and disability from surgery.</t>
  </si>
  <si>
    <t>To be able to come out of apartment and get resources available such as food.</t>
  </si>
  <si>
    <t>ID-1286</t>
  </si>
  <si>
    <t>Already scheduled for 3/20</t>
  </si>
  <si>
    <t>zachary.light@cohdc.org</t>
  </si>
  <si>
    <t>Zachary Light</t>
  </si>
  <si>
    <t>Community of Hope DC</t>
  </si>
  <si>
    <t>202-984-1942</t>
  </si>
  <si>
    <t>Thomasine</t>
  </si>
  <si>
    <t>BENNETT</t>
  </si>
  <si>
    <t>1901 C ST SE</t>
  </si>
  <si>
    <t>APT 416</t>
  </si>
  <si>
    <t>senior citizen, poor mental health, poor physical health</t>
  </si>
  <si>
    <t>Patient manages several chronic medical conditions, including heart disease and arthritis, which makes it difficult to leave her apartment. Patient's chronic psychological conditions, including Major Depressive Disorder, exacerbate difficulty.</t>
  </si>
  <si>
    <t>Improve general physical health via more consistent access to good nutrition. Improve mobility with assistive devices. Improve physical and mental wellbeing and become more independent.</t>
  </si>
  <si>
    <t>ID-2073</t>
  </si>
  <si>
    <t>3/13/205 - both phones are not in service. Last time the client received food was on 1/16/2025</t>
  </si>
  <si>
    <t>Bret.Zdanowicz@va.gov</t>
  </si>
  <si>
    <t>Bret Zdanowicz</t>
  </si>
  <si>
    <t>Department of Veterans Affairs</t>
  </si>
  <si>
    <t>240-308-8249</t>
  </si>
  <si>
    <t>Odell</t>
  </si>
  <si>
    <t>Hillman</t>
  </si>
  <si>
    <t>2951 Nash Pl SE</t>
  </si>
  <si>
    <t>20019-7751</t>
  </si>
  <si>
    <t>202-609-2755
771-201-2469</t>
  </si>
  <si>
    <t>Veteran is in need of food assistance due to limited income.</t>
  </si>
  <si>
    <t>To be able to maintain a healthy lifestyle.</t>
  </si>
  <si>
    <t>3/13/2025 - Phone disconnected. Hasn't received food for at least 4 months.</t>
  </si>
  <si>
    <t>Ronald</t>
  </si>
  <si>
    <t>Anthony</t>
  </si>
  <si>
    <t>240 W Street</t>
  </si>
  <si>
    <t>living with disability, poor physical health, wound and ostomy bag</t>
  </si>
  <si>
    <t>Enrollee has a chronic illness with a recent hospitalization for an exacerbation of symptoms, impacting his ability to access community food banks. Enrollee's SNAP benefits stopped unexpectedly. He was been told that benefits will not resume until 9/24.</t>
  </si>
  <si>
    <t>(1) Continued recovery from recent hospitalization and wound care (2) Follow up with DHS regarding resuming SNAP benefits</t>
  </si>
  <si>
    <t>ID-2430</t>
  </si>
  <si>
    <t>07/31/25 - Scheduled until 09/11 + told to call back to continue</t>
  </si>
  <si>
    <t>delphine.kongnyuy@newlivinghealthcare.com</t>
  </si>
  <si>
    <t>Delphine Kongnyuy</t>
  </si>
  <si>
    <t>New Living Healthcare INC,</t>
  </si>
  <si>
    <t>Monica</t>
  </si>
  <si>
    <t>Cole</t>
  </si>
  <si>
    <t>881 3rd st</t>
  </si>
  <si>
    <t xml:space="preserve"> (202) 424-4204</t>
  </si>
  <si>
    <t>She is blind, uses a wheelchair, kidney disease and mental health problems</t>
  </si>
  <si>
    <t>Helping client to manage the little money she has after paying her bills</t>
  </si>
  <si>
    <t>ID-1000</t>
  </si>
  <si>
    <t>3/13/2025 - Hasn't received food for at least 4 months</t>
  </si>
  <si>
    <t>Jscott@metroedsolutions.com</t>
  </si>
  <si>
    <t>Jesse Scott</t>
  </si>
  <si>
    <t>Howard</t>
  </si>
  <si>
    <t>Poole</t>
  </si>
  <si>
    <t>3140 Wisconsin Ave Washington DC</t>
  </si>
  <si>
    <t>My client is elderly and recently had heart surgery he only receives 29$ monthly for food stamps he needs help getting food to eat and stay healthy</t>
  </si>
  <si>
    <t>I hope to accomplish assistance providing food resources for my elderly client</t>
  </si>
  <si>
    <t>ID-0579</t>
  </si>
  <si>
    <t>3/13/2025 - He doesn't want any food at this time because she has too many health issues. If things change, she will call us back</t>
  </si>
  <si>
    <t>devonna.smith@medstar.net</t>
  </si>
  <si>
    <t>Devonna Smith</t>
  </si>
  <si>
    <t>Medstar</t>
  </si>
  <si>
    <t>202-444-1327</t>
  </si>
  <si>
    <t>Stephen</t>
  </si>
  <si>
    <t>Nebel</t>
  </si>
  <si>
    <t>3140 Wisconsin Ave NW</t>
  </si>
  <si>
    <t>Apt 306</t>
  </si>
  <si>
    <t>He has generalized weakness and unable to prepare meals for himself regularly. I referred him to prepared meals program but he was placed on waiting list he could benefit from microwaved foods and easy to prepare groceries.</t>
  </si>
  <si>
    <t>Get stronger and have more energy to move better and eat better</t>
  </si>
  <si>
    <t>ID-1265</t>
  </si>
  <si>
    <t>8/8/24 Scheduled on 8/9/24 1x monthly 1/22-lvm, 3/13-LVM. Hasn't received food for at least 4 months</t>
  </si>
  <si>
    <t>mpawliger@safeshores.org</t>
  </si>
  <si>
    <t>Michelle Pawliger</t>
  </si>
  <si>
    <t>Safe Shores</t>
  </si>
  <si>
    <t>771-201-0331</t>
  </si>
  <si>
    <t>Donica</t>
  </si>
  <si>
    <t>hemphill</t>
  </si>
  <si>
    <t>2913 Knox Place SE</t>
  </si>
  <si>
    <t>(202) 971-2826</t>
  </si>
  <si>
    <t>Ms. Hemphill has congestive heart failure, severe sleep apnea, and diagnosed depression. She has to have an oxygen take with her at least when leaving the home. Her adult son, who lives with her, is HIV positive.</t>
  </si>
  <si>
    <t>The family will be able reduce their worry about food insecurity while they are working to recover from an incident that brought them into contact with Safe Shores. Safe Shores is an organization that supports families (children and non-offending caregivers) as they heal from child sexual and/or physical abuse.</t>
  </si>
  <si>
    <t>ID-1687</t>
  </si>
  <si>
    <t>ptaku-csw@onecaredc.com</t>
  </si>
  <si>
    <t>Peter Taku</t>
  </si>
  <si>
    <t>Onecare DC</t>
  </si>
  <si>
    <t>Anderson</t>
  </si>
  <si>
    <t>Daeshauna</t>
  </si>
  <si>
    <t>818 Bladensburg Road NE Washington DC</t>
  </si>
  <si>
    <t>single parent with baby/infants, Client is heavily pregnant</t>
  </si>
  <si>
    <t>Client is heavily pregnant.</t>
  </si>
  <si>
    <t>ID-1641</t>
  </si>
  <si>
    <t>3/13/25 - LVM. Last time the client received food was on 1/24/25</t>
  </si>
  <si>
    <t>cmattocks@wheelercreekcdc.org</t>
  </si>
  <si>
    <t>Christina Mattocks</t>
  </si>
  <si>
    <t>Wheeler Creek CDC</t>
  </si>
  <si>
    <t>Jatease</t>
  </si>
  <si>
    <t>Hall</t>
  </si>
  <si>
    <t>2323 MLK Ave SE, Apt 314</t>
  </si>
  <si>
    <t>Client lost her job and has no income nor food.</t>
  </si>
  <si>
    <t>Client seeking new employment options over the next three months.</t>
  </si>
  <si>
    <t>ID-0701</t>
  </si>
  <si>
    <t>3/13: Already scheduled for 3/28/25</t>
  </si>
  <si>
    <t>202-696-3604</t>
  </si>
  <si>
    <t>Mary</t>
  </si>
  <si>
    <t>Kamara</t>
  </si>
  <si>
    <t>415 Madison St NE</t>
  </si>
  <si>
    <t>ID-1032</t>
  </si>
  <si>
    <t>5/22/25 - Scheduled until 07/25/25 + told to call then to continue   11/19 - Scheduled 11/26 &amp; 12/19</t>
  </si>
  <si>
    <t>ALEE@ERFSC.ORG</t>
  </si>
  <si>
    <t>April Lee</t>
  </si>
  <si>
    <t>ERFSC</t>
  </si>
  <si>
    <t>202-397-7300</t>
  </si>
  <si>
    <t>CHARLESETTA</t>
  </si>
  <si>
    <t>PRATHER</t>
  </si>
  <si>
    <t>134 33RD ST NE</t>
  </si>
  <si>
    <t>Client has assistance to receive food Mon,Wed,Fri from 12pm-4pm</t>
  </si>
  <si>
    <t>Assist client with getting Nutritional Meals</t>
  </si>
  <si>
    <t>ID-2411</t>
  </si>
  <si>
    <t>donnika.d.jenkins@outlook.com</t>
  </si>
  <si>
    <t>Tyrese Cox/Paula Essex</t>
  </si>
  <si>
    <t>Catholic Charities - Mt. Carmel House</t>
  </si>
  <si>
    <t>Don'Nika</t>
  </si>
  <si>
    <t>Jenkins</t>
  </si>
  <si>
    <t>471 G Place NW</t>
  </si>
  <si>
    <t>Client is currently working on their mental health. At the moment the client is unable to leave their unit for long periods of time.</t>
  </si>
  <si>
    <t>Connection to community resources</t>
  </si>
  <si>
    <t>ID-0411</t>
  </si>
  <si>
    <t>Wheeler Creek Community Development Corporation</t>
  </si>
  <si>
    <t>202-368-4555</t>
  </si>
  <si>
    <t>Annushka</t>
  </si>
  <si>
    <t>Wade</t>
  </si>
  <si>
    <t>5112 South Dakota Ave NE</t>
  </si>
  <si>
    <t>Ms. Wade ran out of food until her next SNAP payment and needs assistance with obtaining food as she does not drive and has difficulty getting groceries to her home.</t>
  </si>
  <si>
    <t>Ms. Wade will create a budget for the month to identify how she is spending her money. Ms. Wade will utilize her income to afford food should she run out of SNAP benefits.</t>
  </si>
  <si>
    <t>ID-2253</t>
  </si>
  <si>
    <t>3/13/25 - Schedul for 3/20</t>
  </si>
  <si>
    <t>shill@erfsc.org</t>
  </si>
  <si>
    <t>Shavona Hill</t>
  </si>
  <si>
    <t>East of the River</t>
  </si>
  <si>
    <t>Betty</t>
  </si>
  <si>
    <t>Shabazz</t>
  </si>
  <si>
    <t>3774 Hayes ST</t>
  </si>
  <si>
    <t>Ind. has a hard time reading and writing, she recently had heart surgery.</t>
  </si>
  <si>
    <t>In 3 months, the Ind. will be able to cook her meals independently. At this time, the Ind. is recovering from heart surgery.</t>
  </si>
  <si>
    <t>ID-2354</t>
  </si>
  <si>
    <t>3/13/2025 - LVM. Hasn't received food for at least 4 months</t>
  </si>
  <si>
    <t>Lena</t>
  </si>
  <si>
    <t>Tobin</t>
  </si>
  <si>
    <t>1511 Benning Road</t>
  </si>
  <si>
    <t>The Ind. goal is the be able to save for food in the future. She is currently diagnosed with Type 2 Diabetes and lives on a fixed income and stated, “I don’t always have enough money for food.”</t>
  </si>
  <si>
    <t>ID-0802</t>
  </si>
  <si>
    <t>3/13/25 - Phone restricted. Client has not received food for over 4 months</t>
  </si>
  <si>
    <t>gemma.liverio@ccdc1.org</t>
  </si>
  <si>
    <t>Gemma Liverio</t>
  </si>
  <si>
    <t>202-769-0227</t>
  </si>
  <si>
    <t>Eric</t>
  </si>
  <si>
    <t>Smith</t>
  </si>
  <si>
    <t>2622 University Pl</t>
  </si>
  <si>
    <t>#002</t>
  </si>
  <si>
    <t>(202) 749-0387</t>
  </si>
  <si>
    <t>lack of access to transportation</t>
  </si>
  <si>
    <t>Does not have easy access to transportation; food stamps have been reduced</t>
  </si>
  <si>
    <t>Help make it easier for my client to access food</t>
  </si>
  <si>
    <t>ID-0871</t>
  </si>
  <si>
    <t>1/4/25, 3/13/25 - Unreachable. His phone can't accept voice messages</t>
  </si>
  <si>
    <t>hector.bird@dispatchhealth.com</t>
  </si>
  <si>
    <t>Hector Bird</t>
  </si>
  <si>
    <t>DispatchHealth</t>
  </si>
  <si>
    <t>561-302-9404</t>
  </si>
  <si>
    <t>Mfon</t>
  </si>
  <si>
    <t>Udonkang</t>
  </si>
  <si>
    <t>253 V St NW</t>
  </si>
  <si>
    <t>(202) 351-8360</t>
  </si>
  <si>
    <t>poor physical health, Multiple strokes, difficulty walking, cannot stand in line for long periods</t>
  </si>
  <si>
    <t>To increase access to food, which will allow her overall health to improve through improved nutrition, allowing her to strengthen her legs, and participate in activities and physical therapy.</t>
  </si>
  <si>
    <t>ID-0052</t>
  </si>
  <si>
    <t>Already scheduled until April</t>
  </si>
  <si>
    <t>alhanssary@everyonehomedc.org</t>
  </si>
  <si>
    <t>Alkita Alhanssary</t>
  </si>
  <si>
    <t>Everyone Home DC</t>
  </si>
  <si>
    <t>202 375-9275</t>
  </si>
  <si>
    <t>Jones</t>
  </si>
  <si>
    <t>1100 6th street SW</t>
  </si>
  <si>
    <t>S208</t>
  </si>
  <si>
    <t>(202) 977-9903</t>
  </si>
  <si>
    <t>Money budgeting reconnect to mental health services possibly a reppayee.</t>
  </si>
  <si>
    <t>ID-0742</t>
  </si>
  <si>
    <t>Shawn</t>
  </si>
  <si>
    <t>Mallory</t>
  </si>
  <si>
    <t>112 Galvaston Street SW</t>
  </si>
  <si>
    <t>T2</t>
  </si>
  <si>
    <t>(202) 749-7497</t>
  </si>
  <si>
    <t>Food Stamps were cut significantly</t>
  </si>
  <si>
    <t>Client's food stamps were cut significantly making it difficult to obtain food.</t>
  </si>
  <si>
    <t>Make it easier to access food</t>
  </si>
  <si>
    <t>ID-2060</t>
  </si>
  <si>
    <t>rsteele@legalaiddc.org</t>
  </si>
  <si>
    <t>Rebecca Steele</t>
  </si>
  <si>
    <t>Legal Aid DC</t>
  </si>
  <si>
    <t>(202) 851-3374</t>
  </si>
  <si>
    <t>Taria</t>
  </si>
  <si>
    <t>Darden</t>
  </si>
  <si>
    <t>2228 MLK Jr Ave, SE Apt 519</t>
  </si>
  <si>
    <t>(202) 948-6501</t>
  </si>
  <si>
    <t>Ms. Darden is a single parent to her 1-year-old son. Her SNAP benefits have been improperly reduced and she is struggling to leave the house to access other free sources of food.</t>
  </si>
  <si>
    <t>I am currently assisting this client with correcting an error DC DHS made by improperly reducing her SNAP benefits. Support from FFA will minimize the collateral consequences of DHS's error during the period it takes us to get it corrected. Please feel free to contact me if you need any additional information.</t>
  </si>
  <si>
    <t>ID-1120</t>
  </si>
  <si>
    <t>Already schedule for 3/14</t>
  </si>
  <si>
    <t>linnea.leverson@edenbridgehealth.org</t>
  </si>
  <si>
    <t>Linnea Leverson</t>
  </si>
  <si>
    <t>Edenbridge Health</t>
  </si>
  <si>
    <t>202-909-3231</t>
  </si>
  <si>
    <t>Roy-Hankerson</t>
  </si>
  <si>
    <t>4230 South Capital Street SE</t>
  </si>
  <si>
    <t>#201</t>
  </si>
  <si>
    <t>Fonda was diagnosed with Uterine Cancer in December 2023</t>
  </si>
  <si>
    <t>until further notice</t>
  </si>
  <si>
    <t>Fonda requires full assistance with all errands and major household tasks.</t>
  </si>
  <si>
    <t>ID-2024</t>
  </si>
  <si>
    <t>nprince@erfsc.org</t>
  </si>
  <si>
    <t>Nadine Prince</t>
  </si>
  <si>
    <t>202 695-9663</t>
  </si>
  <si>
    <t>Jacob</t>
  </si>
  <si>
    <t>Brunson</t>
  </si>
  <si>
    <t>4635 Hunt Place</t>
  </si>
  <si>
    <t>Client had all 10 toes amputated, he is wheelchair bound, Congestive Heart Failure</t>
  </si>
  <si>
    <t>for as long as possible</t>
  </si>
  <si>
    <t>Family is hoping to get additional assistance for food. Because her son and nephew is not working</t>
  </si>
  <si>
    <t>ID-0154</t>
  </si>
  <si>
    <t>ben.hite@cohdc.org</t>
  </si>
  <si>
    <t>Ben Hite</t>
  </si>
  <si>
    <t>202-984-1777</t>
  </si>
  <si>
    <t>DARRYL</t>
  </si>
  <si>
    <t>MCGUIRE</t>
  </si>
  <si>
    <t>4426 S CAPITOL ST SE , WASHINGTON, DC 20032</t>
  </si>
  <si>
    <t>APT 101</t>
  </si>
  <si>
    <t>Patient is 75 years old and is living with chronic conditions</t>
  </si>
  <si>
    <t>ID-0744</t>
  </si>
  <si>
    <t>3/20/2025 - Received food on 3/13</t>
  </si>
  <si>
    <t>lsoh@districthealthcareservices.com</t>
  </si>
  <si>
    <t>Louisa Soh</t>
  </si>
  <si>
    <t>443-7265311</t>
  </si>
  <si>
    <t>Lacey</t>
  </si>
  <si>
    <t>908 40TH PLACE NE</t>
  </si>
  <si>
    <t>(202) 702-7447</t>
  </si>
  <si>
    <t>ID-0164</t>
  </si>
  <si>
    <t>3/20/2025 - Already scheduled for 3/27</t>
  </si>
  <si>
    <t>lili.rosenberg@medstar.net</t>
  </si>
  <si>
    <t>Referred by dietitian ili Rosenberg</t>
  </si>
  <si>
    <t>MedStar Washington Hospital Center</t>
  </si>
  <si>
    <t>202-877-0546</t>
  </si>
  <si>
    <t>Newman</t>
  </si>
  <si>
    <t>1001 4th St, SW</t>
  </si>
  <si>
    <t>(347) 213-0930</t>
  </si>
  <si>
    <t>Pt is visually impaired and has been unable to work as a result. She is currently fighting to receive disability and to find a job that will accommodate her. She has type 1 diabetes and CKD.</t>
  </si>
  <si>
    <t>Eat at least 2 meals per day. Improve control of diabetes.</t>
  </si>
  <si>
    <t>ID-2441</t>
  </si>
  <si>
    <t>3/20/2025 - Scheduled for 3/27</t>
  </si>
  <si>
    <t>2632 MARTIN LUTHER KING JR AVE SE, Washington DC</t>
  </si>
  <si>
    <t>APT 209</t>
  </si>
  <si>
    <t>20020-7737</t>
  </si>
  <si>
    <t>If patient is accepted into the program, the patient is asking that you call 202-678-4171 (landline) 2-3 days prior to a delivery to speak to someone regarding the food.
Patient cannot eat foods that have been prepared.</t>
  </si>
  <si>
    <t>ID-1522</t>
  </si>
  <si>
    <t>07/10/2025 - Scheduled until 08/22 + told to call back in August to continue</t>
  </si>
  <si>
    <t>marielaurevoumbene@gmail.com</t>
  </si>
  <si>
    <t>Marie Laure VOUMBENE</t>
  </si>
  <si>
    <t>City care health services</t>
  </si>
  <si>
    <t>Janene</t>
  </si>
  <si>
    <t>George</t>
  </si>
  <si>
    <t>461 H Street</t>
  </si>
  <si>
    <t>Nw</t>
  </si>
  <si>
    <t>(202) 642-7783</t>
  </si>
  <si>
    <t>No at this time</t>
  </si>
  <si>
    <t>As she is needed</t>
  </si>
  <si>
    <t>ID-1198</t>
  </si>
  <si>
    <t>5/29/2025 - Scheduled till the end of July + told to follow up then to continue</t>
  </si>
  <si>
    <t>zainab_pierre@optum.com</t>
  </si>
  <si>
    <t>Zainab Pierre</t>
  </si>
  <si>
    <t>united healthcare Optum</t>
  </si>
  <si>
    <t>ERIKA</t>
  </si>
  <si>
    <t>MCRAE</t>
  </si>
  <si>
    <t>1715 HOLBROOK ST NE, WASHINGTON, DC, 20002-0000</t>
  </si>
  <si>
    <t>(202) 489-1372</t>
  </si>
  <si>
    <t>Ms. Erika is on dialysis MWF she is a high fall risk with multiple falls this year. She will need her food deliver to her as she is unable to get to your location due to her poor physical health.</t>
  </si>
  <si>
    <t>The goal is for member to have access to food over the period of 12 months and then re access need.</t>
  </si>
  <si>
    <t>ID-0394</t>
  </si>
  <si>
    <t>Lavina Hardy</t>
  </si>
  <si>
    <t>05/29/2025 - Scheduled until 7/25/25 and told to call then to continue</t>
  </si>
  <si>
    <t>bukolamuili@myprestigehealth.com</t>
  </si>
  <si>
    <t>Bukola Muili</t>
  </si>
  <si>
    <t>Prestige Healthcare Services</t>
  </si>
  <si>
    <t>Lavina</t>
  </si>
  <si>
    <t>Hardy</t>
  </si>
  <si>
    <t>4707 Eads St NE</t>
  </si>
  <si>
    <t>Client has underlying severe medical conditions and limited mobility .</t>
  </si>
  <si>
    <t>To ensure consistent access to nutritious food and to reduce food insecurity. The goal is to evaluate progress over the next three months, with the aim of achieving stable and reliable food access within this period.</t>
  </si>
  <si>
    <t>ID-0205</t>
  </si>
  <si>
    <t xml:space="preserve">3/20/2025 - LVM. Last time she received food was 1/24/2025 + 04/24/25 LVM </t>
  </si>
  <si>
    <t>Shirely</t>
  </si>
  <si>
    <t>1420 Canal St</t>
  </si>
  <si>
    <t>Client has severe underlying medical conditions and limited mobility. Assistive device used for ambulation.</t>
  </si>
  <si>
    <t>ID-0421</t>
  </si>
  <si>
    <t>Ethel</t>
  </si>
  <si>
    <t>230 W st</t>
  </si>
  <si>
    <t>Consumer has health conditions; mental and Physical . Impaired mobility and uses an assistive device for ambulation.</t>
  </si>
  <si>
    <t>ID-1977</t>
  </si>
  <si>
    <t>3/20/2025 - LVM. Last time he got food was 12/19</t>
  </si>
  <si>
    <t>JOHNNY</t>
  </si>
  <si>
    <t>SMITH</t>
  </si>
  <si>
    <t>4660 MARTIN LUTHER KING JR AVE SW</t>
  </si>
  <si>
    <t>APT C611</t>
  </si>
  <si>
    <t>ID-2503</t>
  </si>
  <si>
    <t>SAID FAMILY IS TAKING CARE ON 12/12</t>
  </si>
  <si>
    <t>tatianna.msackyi@cohdc.org</t>
  </si>
  <si>
    <t>tatianna msackyi</t>
  </si>
  <si>
    <t>202 984 2055</t>
  </si>
  <si>
    <t>Barry</t>
  </si>
  <si>
    <t>1001 4TH ST SW , WASHINGTON, DC</t>
  </si>
  <si>
    <t>20024-4548</t>
  </si>
  <si>
    <t>ID-1991</t>
  </si>
  <si>
    <t>3/20/2025 - Already scheduled for today</t>
  </si>
  <si>
    <t>Lynda</t>
  </si>
  <si>
    <t>Hanson</t>
  </si>
  <si>
    <t>1707 BENNING RD NE</t>
  </si>
  <si>
    <t>apt D13</t>
  </si>
  <si>
    <t>20002-7248</t>
  </si>
  <si>
    <t>Pt has food stamps but, she runs out of fresh veggies and fruit at the end of the month. Pt states she was on program previously and did not get a full year's worth of food.</t>
  </si>
  <si>
    <t>Pt will adapt a healthier lifestyle to decrease co-morbidities within 12 months</t>
  </si>
  <si>
    <t>ID-1061</t>
  </si>
  <si>
    <t>3/20/2025 - Phone not in service. Last time the client received food was 12/19</t>
  </si>
  <si>
    <t>edaniel@priorityhealthsystem.com</t>
  </si>
  <si>
    <t>Eucharia Daniel</t>
  </si>
  <si>
    <t>Priority Health system</t>
  </si>
  <si>
    <t>202.375.9455</t>
  </si>
  <si>
    <t>CHANDRALYN</t>
  </si>
  <si>
    <t>TAYLOR-RHANEY</t>
  </si>
  <si>
    <t>2529 14TH ST , WASHINGTON, DC,</t>
  </si>
  <si>
    <t>APT 2</t>
  </si>
  <si>
    <t>(202) 210-1023</t>
  </si>
  <si>
    <t>The beneficiary has impaired mobility poor physical health and some mental Health related diagnosis/issues.</t>
  </si>
  <si>
    <t>Ms. Chandralyn will maintain optimal health from nutrition by eating at least a minimum serving of fruits and or vegetables daily for the next 12 months.</t>
  </si>
  <si>
    <t>ID-0642</t>
  </si>
  <si>
    <t xml:space="preserve">3/20/2025 - Phone out of service. We have tried multiple times </t>
  </si>
  <si>
    <t>202 375 9455</t>
  </si>
  <si>
    <t>Claude</t>
  </si>
  <si>
    <t>2529 14TH ST ,</t>
  </si>
  <si>
    <t>NE , WASHINGTON</t>
  </si>
  <si>
    <t>(202) 730-6968</t>
  </si>
  <si>
    <t>Impaired mobility, poor mental and physical health</t>
  </si>
  <si>
    <t>Will maintain optimal health through nutrition by eating at least one nutritional meal daily for the next 12 months</t>
  </si>
  <si>
    <t>ID-1185</t>
  </si>
  <si>
    <t xml:space="preserve">04/24/25 - Scheduled 04/25/25 + 05/23/25, instrcuted to follow up in June to continue </t>
  </si>
  <si>
    <t>Simon Tamukong</t>
  </si>
  <si>
    <t>896, Southern Avenue ,SE</t>
  </si>
  <si>
    <t>small income, the rents raised and monthly balance after paying rents is too small/negligible</t>
  </si>
  <si>
    <t>Client is diabetic and needs quality food, needs to avoid junk food</t>
  </si>
  <si>
    <t>ID-0093</t>
  </si>
  <si>
    <t>5/22/25 - Scheduled until 6/20/2025</t>
  </si>
  <si>
    <t>WANDA</t>
  </si>
  <si>
    <t>COLEMAN</t>
  </si>
  <si>
    <t>3425 5TH ST SE, WASHINGTON DC 20032</t>
  </si>
  <si>
    <t>APT 12</t>
  </si>
  <si>
    <t>ID-3009</t>
  </si>
  <si>
    <t>3/20/2025 - Scheduled for 3/27 11/24 - Said she no longer needs it</t>
  </si>
  <si>
    <t>felicia.norman@cc-dc.org</t>
  </si>
  <si>
    <t>Felicia Norman</t>
  </si>
  <si>
    <t>Catholic charities</t>
  </si>
  <si>
    <t>202-635-5993</t>
  </si>
  <si>
    <t>Juanita</t>
  </si>
  <si>
    <t>wade</t>
  </si>
  <si>
    <t>360 H street NE</t>
  </si>
  <si>
    <t>Senior citizen with mental health and somatic health concerns.</t>
  </si>
  <si>
    <t>To become more independent in the community.</t>
  </si>
  <si>
    <t>ID-1536</t>
  </si>
  <si>
    <t>3/20/2025 - She is getting food today</t>
  </si>
  <si>
    <t>Lmohammed@maryscenter.org</t>
  </si>
  <si>
    <t>Lina Mohammed</t>
  </si>
  <si>
    <t>Kimberly</t>
  </si>
  <si>
    <t>1151 4TH ST SW</t>
  </si>
  <si>
    <t>APT 1114</t>
  </si>
  <si>
    <t>(202) 480-5773</t>
  </si>
  <si>
    <t>Applying for Disability</t>
  </si>
  <si>
    <t>My goal for Ms. Anderson is to address her current food issue and then working with her to apply for her SSDI/SSI for disability.</t>
  </si>
  <si>
    <t>ID-1602</t>
  </si>
  <si>
    <t>Johnson-Hicks</t>
  </si>
  <si>
    <t>601 Edgewood st NE</t>
  </si>
  <si>
    <t>Consumer is confined to her unit. Has a home health aid</t>
  </si>
  <si>
    <t>Provide additional food resources in the community to support the consumer</t>
  </si>
  <si>
    <t>ID-1793</t>
  </si>
  <si>
    <t>3/20/2025 - Phone can't accept calls. Last time client received food was 12/19/2024</t>
  </si>
  <si>
    <t>202-984-2072</t>
  </si>
  <si>
    <t>BARBARA</t>
  </si>
  <si>
    <t>CARTER</t>
  </si>
  <si>
    <t>121 GALVESTON ST SW</t>
  </si>
  <si>
    <t>living with disability, poor physical health, Type 2 diabetes mellitus with other diabetic kidney complication - E11.29 , Essential hypertension - I10</t>
  </si>
  <si>
    <t>Patient has chronic knee pain for which she does weekly physical therapy, but still has mobility limitations.</t>
  </si>
  <si>
    <t>ID-0147</t>
  </si>
  <si>
    <t>3/20/2025 - Phone unreachable. We have tried multiple time reaching the client</t>
  </si>
  <si>
    <t>arosso@houseofruth.org</t>
  </si>
  <si>
    <t>Azzami Rosso</t>
  </si>
  <si>
    <t>House of Ruth</t>
  </si>
  <si>
    <t>Nicole</t>
  </si>
  <si>
    <t>Rollins</t>
  </si>
  <si>
    <t>3003 Van Ness St</t>
  </si>
  <si>
    <t>#W-133</t>
  </si>
  <si>
    <t>(202) 983-0140</t>
  </si>
  <si>
    <t>Participant struggles with severe anxiety and panic attacks which affects their health conditions. They recently had a traumatic event happen which exacerbated the symptoms they were already experiencing, and they have been unable to leave their house since.</t>
  </si>
  <si>
    <t>First goal is to stabilize their health and then apply for more financial assistance, which will allow them to purchase their basic hygiene and food items. Additionally, we would like for participant to begin therapy again for symptom management.</t>
  </si>
  <si>
    <t>ID-1450</t>
  </si>
  <si>
    <t>04/24/25 - Taking care of Mom has been out of town, schedules for 05/23/25</t>
  </si>
  <si>
    <t>District hEALTHCARE</t>
  </si>
  <si>
    <t>JACQUELYN</t>
  </si>
  <si>
    <t>SAMUELS</t>
  </si>
  <si>
    <t>4437 4TH STREET SE</t>
  </si>
  <si>
    <t>APT 6</t>
  </si>
  <si>
    <t>In relation to the outlined eligibility criteria, Ms. Samuel's situation aligns with several key points: Elderly Resident: Ms. Samuel is a senior citizen, facing the compounded challenges that come with aging, especially after her recent injury. Living with Disability, and catering for her daughter with a broken ankle which has left her wheelchair-bound, significantly limiting her mobility and classifying her as living with a temporary disability. Nutritional Needs Due to Medication: Her current health condition requires a strict regimen of various medications. These medications necessitate a consistent intake of nutritious food to ensure their effectiveness and support her healing process. Given these considerations, Ms. Samuel embodies the type of client your program aims to assist, experiencing substantial difficulty in performing daily tasks and securing her nutritional needs due to her immobility and health requirements.</t>
  </si>
  <si>
    <t>ID-0008</t>
  </si>
  <si>
    <t>ANDRESSE</t>
  </si>
  <si>
    <t>WILSON</t>
  </si>
  <si>
    <t>1339 HARVARD ST NW</t>
  </si>
  <si>
    <t>(202) 422-5460</t>
  </si>
  <si>
    <t>living with disability, poor physical health, Morbid obesity - E66.01, M79.606- Leg pain , Moderate persistent asthma - J45.40, Urinary incontinence - R32, Hip pain - M25.559, Knee pain - M25.569</t>
  </si>
  <si>
    <t>Patient is a single parent and has 2 kids (6yr and 13yr) and lives at home with her mother and 2 kids. Patients goals are to lose weight and have healthier food options.</t>
  </si>
  <si>
    <t>Patients goals are to have healthier eating habits and on a weight loss journey. No time frame at this time.</t>
  </si>
  <si>
    <t>PETER</t>
  </si>
  <si>
    <t>ID-0280</t>
  </si>
  <si>
    <t>DISCONTINUE at client's request</t>
  </si>
  <si>
    <t>CATHY</t>
  </si>
  <si>
    <t>AUSTIN GUNTER</t>
  </si>
  <si>
    <t>Capitol Park Plaza 201 I Street SW</t>
  </si>
  <si>
    <t>V 725</t>
  </si>
  <si>
    <t>Sydney</t>
  </si>
  <si>
    <t>ID-0448</t>
  </si>
  <si>
    <t>PHONE NUMBER DISCONNECTED</t>
  </si>
  <si>
    <t>christy.scott@newlivinghealthcare.com</t>
  </si>
  <si>
    <t>Christy Scott</t>
  </si>
  <si>
    <t>New living healthcare</t>
  </si>
  <si>
    <t>Chantelle</t>
  </si>
  <si>
    <t>219 55TH STREET</t>
  </si>
  <si>
    <t>(202) 869-6396</t>
  </si>
  <si>
    <t>Client has health problems and can’t get around she is blind as well and suffers with anxiety</t>
  </si>
  <si>
    <t>working on getting a home health aide been waiting it has been a process and to take stress off her on wait on next meal</t>
  </si>
  <si>
    <t>ID-1864</t>
  </si>
  <si>
    <t>3/20/2025 - Already scheduled for 3/21</t>
  </si>
  <si>
    <t>pgeorge@ultimatehs.org</t>
  </si>
  <si>
    <t>Ultimate Home Health Services</t>
  </si>
  <si>
    <t>Arvine</t>
  </si>
  <si>
    <t>1424 Shippen Lane</t>
  </si>
  <si>
    <t>living with disability, poor physical health, client is vision impaired and participates in the District's EPD Waiver program</t>
  </si>
  <si>
    <t>client is vision impaired and participates in the District's EPD Waiver program</t>
  </si>
  <si>
    <t>To improve his nutrition as per his hypertension and diabetes diagnosis. To offset living expenses in an effort to have his limited monthly income sustain him through the month</t>
  </si>
  <si>
    <t>ID-0006</t>
  </si>
  <si>
    <t>3/20/2025 - Scheduled for 4/4//25</t>
  </si>
  <si>
    <t>FRANCES</t>
  </si>
  <si>
    <t>RICHARDSON</t>
  </si>
  <si>
    <t>2912 8TH ST NE</t>
  </si>
  <si>
    <t>APT 1</t>
  </si>
  <si>
    <t>(202) 528-5203</t>
  </si>
  <si>
    <t>senior citizen, living with disability, poor physical health, Primary hypertension - I10, Underweight - R63.6, Knee pain - M25.569,</t>
  </si>
  <si>
    <t>Patient is 85yrs living with her granddaughter</t>
  </si>
  <si>
    <t>ID-1183</t>
  </si>
  <si>
    <t>3/20/25 - Unreachable</t>
  </si>
  <si>
    <t>brenee0214@gmail.com</t>
  </si>
  <si>
    <t>Cornelia</t>
  </si>
  <si>
    <t>Stark</t>
  </si>
  <si>
    <t>1200 N CAPITOL ST NW</t>
  </si>
  <si>
    <t>Client has been denied for SNAP due to owning money after losing her job and is need of food resources until we can resolve her case.</t>
  </si>
  <si>
    <t>Client and case worker will work on finding work for client in order to pay off the dues she has with SNAP and if needed re-apply for SNAP.</t>
  </si>
  <si>
    <t>ID-0157</t>
  </si>
  <si>
    <t>Ben</t>
  </si>
  <si>
    <t>DAVID</t>
  </si>
  <si>
    <t>NORRIS</t>
  </si>
  <si>
    <t>69 RHODE ISLAND AVE NW</t>
  </si>
  <si>
    <t>Patient was enrolled in Mom's Meals but was discontinued due to their change in insurance.</t>
  </si>
  <si>
    <t>ID-0009</t>
  </si>
  <si>
    <t>10/13 ENTERED IN DATABASE AND SCHEDULED 10/25</t>
  </si>
  <si>
    <t>BONFILIO</t>
  </si>
  <si>
    <t>CASARRUBIAS-CORDERO</t>
  </si>
  <si>
    <t>2801 15TH ST NW</t>
  </si>
  <si>
    <t>APT 607</t>
  </si>
  <si>
    <t>senior citizen, living with disability, poor physical health, Pt has dx of E11.9 Type 2 diabetes, M25.562 Pain in left knee, E55.9 Vitamin D deficiency, M54.40 Low back pain with sciatica</t>
  </si>
  <si>
    <t>Pt lives with spouse and 2 grandchildren and was receiving assistance from DC Greens Produce Rx program but program has disenrolled pt and pt in need of new food resources</t>
  </si>
  <si>
    <t>ID-0896</t>
  </si>
  <si>
    <t>Atricia Coles</t>
  </si>
  <si>
    <t>07/10/2025 - Scheduled until 08/29/2025 + told to call back in August to continue</t>
  </si>
  <si>
    <t>James@nvrdc.com</t>
  </si>
  <si>
    <t>202-948-4703</t>
  </si>
  <si>
    <t>Artricia</t>
  </si>
  <si>
    <t>Coles</t>
  </si>
  <si>
    <t>300 Livingston Terrace S.E</t>
  </si>
  <si>
    <t>#8</t>
  </si>
  <si>
    <t>S.E</t>
  </si>
  <si>
    <t>(202)-419-9180</t>
  </si>
  <si>
    <t>Financial Hardship/PTSD from victimization/Medical Disability from Vimization</t>
  </si>
  <si>
    <t>Client experience vimization from a community violence incident that perished client Fiance(Father of Client 2 sons). Client was injured by way of GSW during the incident. As a result of primary provider untimely demise, client has faced great financial instability. Client in DIRE need of continued food deliveries.</t>
  </si>
  <si>
    <t>Client is Participating in Trauma Therapy session with NVRDC to overcome anxiety, depression and grief. Client is being connected to MBI services for further mental health support and community social navigation support. Client connected to Collaborative Solutions for Communities for community core agency fo further case management support.</t>
  </si>
  <si>
    <t>ID-2343</t>
  </si>
  <si>
    <t>3/20/2025 - Already scheduled for 3/28</t>
  </si>
  <si>
    <t>scarter1@childrensnational.org</t>
  </si>
  <si>
    <t>Shanice Carter</t>
  </si>
  <si>
    <t>Health Services for Children with Special Needs</t>
  </si>
  <si>
    <t>202-253-4979</t>
  </si>
  <si>
    <t>Raymond</t>
  </si>
  <si>
    <t>Wilkins</t>
  </si>
  <si>
    <t>203 N STREET</t>
  </si>
  <si>
    <t>APT 408</t>
  </si>
  <si>
    <t>The client is diagnosed with Autism</t>
  </si>
  <si>
    <t>The head of household plans to decrease food insecurity though employment. The head of household plans to apply to three jobs monthly in the pursuit of employment.</t>
  </si>
  <si>
    <t>ID-0051</t>
  </si>
  <si>
    <t>Karen2carter@gmail.com</t>
  </si>
  <si>
    <t>Aliyah Masterson</t>
  </si>
  <si>
    <t>(202)984-1895</t>
  </si>
  <si>
    <t>Karen</t>
  </si>
  <si>
    <t>736 Brandywine St</t>
  </si>
  <si>
    <t>(202) 710-6504</t>
  </si>
  <si>
    <t>The patient is diagnosed with CPOD, Chronic back pain, and Anxiety. She is unable to stand for an extended amount of time.</t>
  </si>
  <si>
    <t>Patient will be able to mange chronic conditions.</t>
  </si>
  <si>
    <t>ID-1101</t>
  </si>
  <si>
    <t>3/20/2025 - Scheduled for 3/27/25</t>
  </si>
  <si>
    <t>Lili Rosenberg, MS, RDN, CDCES</t>
  </si>
  <si>
    <t>Allis</t>
  </si>
  <si>
    <t>Godoy-Gutierrez</t>
  </si>
  <si>
    <t>5311 Drake Pl, NE</t>
  </si>
  <si>
    <t>Pt with sciatica, avascular necrosis of femoral heads bilaterally, diffuse join pain and therefore is not able to ambulate to food banks. Her family may take her once per month.
She has type 1 diabetes due to a neuroendocrine tumor.</t>
  </si>
  <si>
    <t>Relieve her constipation and hyperlipidemia with fiber-containing foods ASAP. Oncology and orthopedics will follow-up with her regarding options for her pain and inability to ambulate.</t>
  </si>
  <si>
    <t>ID-0410</t>
  </si>
  <si>
    <t xml:space="preserve">‪(202) 867-8203‬
</t>
  </si>
  <si>
    <t>06/05/2025 - Set up deliveries until 07/11 + told to follow up in July to continue</t>
  </si>
  <si>
    <t>Janay</t>
  </si>
  <si>
    <t>121 Seaton Place</t>
  </si>
  <si>
    <t>n/a</t>
  </si>
  <si>
    <t>Client SNAP benefits have ran out</t>
  </si>
  <si>
    <t>Client will search for employment</t>
  </si>
  <si>
    <t>ID-0146</t>
  </si>
  <si>
    <t>202-500-1724</t>
  </si>
  <si>
    <t>Nadia</t>
  </si>
  <si>
    <t>Joseph-Polanco</t>
  </si>
  <si>
    <t>4000 Massachusetts Ave NW</t>
  </si>
  <si>
    <t>(202) 983-8039</t>
  </si>
  <si>
    <t>Participant is 64 years old, disabled, and lives with chronic pain caused by a car accident, which she is waiting to have surgery on her hip for. Participant reports the pain is so intense that she finds bus rides intolerable. Participant also has a history of strokes. Additionally, participant has a diagnosed mental health disorder. That, in combination with her pain, leaves her in bed for days at a time. Participant has recently revealed that she sometimes goes hungry because she finds getting out extremely difficult and painful.</t>
  </si>
  <si>
    <t>Participant has recently begun a new medication for her mental health. Additionally, she is scheduled to have surgery for her chronic pain. After surgery, she is set to attend physical therapy to assist with her mobility and recovery.</t>
  </si>
  <si>
    <t>ID-1446</t>
  </si>
  <si>
    <t>3/20/25 - Already scheduled for today</t>
  </si>
  <si>
    <t>kimberley_Alexander@optum.com</t>
  </si>
  <si>
    <t>Larry</t>
  </si>
  <si>
    <t>Braxton</t>
  </si>
  <si>
    <t>1908 23rd St SE</t>
  </si>
  <si>
    <t>121B</t>
  </si>
  <si>
    <t>(202) 815-4296</t>
  </si>
  <si>
    <t>Chronic pain</t>
  </si>
  <si>
    <t>To improve pain management over the next three months.</t>
  </si>
  <si>
    <t>ID-0236</t>
  </si>
  <si>
    <t>She received food on Saturday 3/8/25</t>
  </si>
  <si>
    <t>571 3428676</t>
  </si>
  <si>
    <t>Rosa</t>
  </si>
  <si>
    <t>Mejia</t>
  </si>
  <si>
    <t>1415 Florida Ave. #104 NW Washington DC</t>
  </si>
  <si>
    <t>(202) 330-6067</t>
  </si>
  <si>
    <t>poor mental health, Domestic violence survivor, currently un employed</t>
  </si>
  <si>
    <t>The mother and child are unable to afford to pay for their bills as the mother has been out of work and just recently suffered domestic violence in their home. Their electricity has just been turned on and we are not sure if she will be able to pay for her electric bill next month. She is also seeking for mental health support.</t>
  </si>
  <si>
    <t>We hope that she will find stable employment so she can support her family and be connected with a mental health provider to improve her well-being.</t>
  </si>
  <si>
    <t>GIllian</t>
  </si>
  <si>
    <t>ID-2339</t>
  </si>
  <si>
    <t xml:space="preserve">09/04/2025 - Scheduled until 11/20 + told to call back in November to continue </t>
  </si>
  <si>
    <t>united healthcare</t>
  </si>
  <si>
    <t>Christine</t>
  </si>
  <si>
    <t>Ellis</t>
  </si>
  <si>
    <t>1516 SHIPPEN LN SE, WASHINGTON,DC</t>
  </si>
  <si>
    <t>(202) 375-0019</t>
  </si>
  <si>
    <t>member is elderly and need food delivered</t>
  </si>
  <si>
    <t>forever</t>
  </si>
  <si>
    <t>Member is disable and elderly and will need food to be deliever</t>
  </si>
  <si>
    <t>ID-1757</t>
  </si>
  <si>
    <t>3/20/2025 - Number not in service</t>
  </si>
  <si>
    <t>MBI health services</t>
  </si>
  <si>
    <t>240-5554-7923</t>
  </si>
  <si>
    <t>Dajon</t>
  </si>
  <si>
    <t>Howard Masterson</t>
  </si>
  <si>
    <t>1833 M st NE WDC 20002</t>
  </si>
  <si>
    <t>#2</t>
  </si>
  <si>
    <t>ID-1176</t>
  </si>
  <si>
    <t>mabebe@citycarehome.com</t>
  </si>
  <si>
    <t>Mahlet Abebe</t>
  </si>
  <si>
    <t>City Csre</t>
  </si>
  <si>
    <t>Dashai</t>
  </si>
  <si>
    <t>Logan</t>
  </si>
  <si>
    <t>110 58th ST</t>
  </si>
  <si>
    <t>(771) 233-9200</t>
  </si>
  <si>
    <t>my client lost her job; she is looking for job right now and she has 3 children to take care of and she can not afford to do some grocery shopping right now</t>
  </si>
  <si>
    <t>my goal is to help her get a job and get her financially stable</t>
  </si>
  <si>
    <t>3/20/2025 - Scheduled for 3/28</t>
  </si>
  <si>
    <t>Raymond Wilkins</t>
  </si>
  <si>
    <t>The client has been diagnosed with autism.</t>
  </si>
  <si>
    <t>The caregiver is working toward food and income security by means of seeking out employment. The caregiver seeks to apply for three positions monthly.</t>
  </si>
  <si>
    <t>ID-0010</t>
  </si>
  <si>
    <t>3/20/2025 - Unreachable</t>
  </si>
  <si>
    <t>VIRGINIA</t>
  </si>
  <si>
    <t>WILLIFORD</t>
  </si>
  <si>
    <t>APT 711</t>
  </si>
  <si>
    <t>(202) 867-4084</t>
  </si>
  <si>
    <t>poor physical health, single parent with baby/infants, Patient with Hypertension (ICD-10: I10)</t>
  </si>
  <si>
    <t>Single Parent with food insecurities interested in grocery/meal deliveries monthly. Patient is a single mother of 3 with an income of $300 bi-weekly and not able to afford healthy foods.</t>
  </si>
  <si>
    <t>ID-1091</t>
  </si>
  <si>
    <t>larmstrong@wheelercreekcdc.org</t>
  </si>
  <si>
    <t>LaWanda Armstrong</t>
  </si>
  <si>
    <t>202-655-1808</t>
  </si>
  <si>
    <t>Margaret</t>
  </si>
  <si>
    <t>Chalaire</t>
  </si>
  <si>
    <t>4600 Wisconsin Ave NW</t>
  </si>
  <si>
    <t>Client is 80 years old and lives alone. Client has difficulties walking and seeing at times.</t>
  </si>
  <si>
    <t>Client will be about to have access to food and not go with out eating for long periods of time.</t>
  </si>
  <si>
    <t>ID-1092</t>
  </si>
  <si>
    <t>Steven</t>
  </si>
  <si>
    <t>Plummer</t>
  </si>
  <si>
    <t>Client is a elderly man that is in need of food in his home.</t>
  </si>
  <si>
    <t>Client will have access to food and will not go hungry for long periods of time.</t>
  </si>
  <si>
    <t>ID-1166</t>
  </si>
  <si>
    <t>3/20/2025 - Not in service</t>
  </si>
  <si>
    <t>St. Clair</t>
  </si>
  <si>
    <t>Parks</t>
  </si>
  <si>
    <t>633 21st Street</t>
  </si>
  <si>
    <t>The client is unable to walk due to a medical leg condition. The client has aides that assist him 8 to 10 hours a day. Client's SSI funding was stolen and the client is in need of food.</t>
  </si>
  <si>
    <t>The client will have food for someone to prepare for him. The client will not go without food.</t>
  </si>
  <si>
    <t>ID-0011</t>
  </si>
  <si>
    <t>3/20/2025 - Scheduled for 3/28/25</t>
  </si>
  <si>
    <t>LIZETTE</t>
  </si>
  <si>
    <t>MCKINNEY</t>
  </si>
  <si>
    <t>2412 FRANKLIN ST NE</t>
  </si>
  <si>
    <t>APT 410</t>
  </si>
  <si>
    <t>(240) 457-8377</t>
  </si>
  <si>
    <t>Patient living with poor physical health with diagnosis of Lumbago with sciatica, osteoarthritis of both knees, urinary incontinence, Carpal tunnel syndrome of right wrist, and use of cane as ambulatory aid.</t>
  </si>
  <si>
    <t>Patient with food insecurities interested in food delivery services for herself and grandson. Patient with limited food resources would greatly benefit from Food for All deliveries due to patients' poor physical health.</t>
  </si>
  <si>
    <t>ID-0762</t>
  </si>
  <si>
    <t>10/22 ENTERED IN DATABASE - NEED SPANISH REP</t>
  </si>
  <si>
    <t>202-650-4135</t>
  </si>
  <si>
    <t>Nely</t>
  </si>
  <si>
    <t>812 JEFFERSON ST</t>
  </si>
  <si>
    <t>APT 5</t>
  </si>
  <si>
    <t>poor mental health, No income, unable to travel</t>
  </si>
  <si>
    <t>The patient reports having no food at home, currently unemployed and struggling to purchase groceries</t>
  </si>
  <si>
    <t>I am assisting the client with finding a job, that's our main goal</t>
  </si>
  <si>
    <t>ID-0824</t>
  </si>
  <si>
    <t>Sebastian</t>
  </si>
  <si>
    <t>Castillo</t>
  </si>
  <si>
    <t>4933 NEW HAMPSHIRE AVE</t>
  </si>
  <si>
    <t>both of the clients legs are amputated, his wife is on bed rest - can not walk</t>
  </si>
  <si>
    <t>Obtain rental assistance and more food resources</t>
  </si>
  <si>
    <t>ID-2881</t>
  </si>
  <si>
    <t>Rashid Rondon</t>
  </si>
  <si>
    <t xml:space="preserve">04/24/25 - Was just in hospital, Scheduled 05/01/25 + 06/05/25, instructed to follow up in June to continue </t>
  </si>
  <si>
    <t>mrosenbloom@huhosp.org</t>
  </si>
  <si>
    <t>Maggie Rosenbloom</t>
  </si>
  <si>
    <t>Howard University Hospital Outpatient Mental Health Clinic</t>
  </si>
  <si>
    <t>202-250-5049</t>
  </si>
  <si>
    <t>Rashid</t>
  </si>
  <si>
    <t xml:space="preserve">06/05/2025 - scheduled until 07/24, instructed to follow up in July to continue </t>
  </si>
  <si>
    <t>1515 North Capitol St NE</t>
  </si>
  <si>
    <t>Mr. Rondon is diabetic and has limited mobility due to amputation while he awaits prothestic</t>
  </si>
  <si>
    <t>He has a consultation 10/24/24 to see what next step is for him to get prosethsis to be able to walk with minimal assistance</t>
  </si>
  <si>
    <t>ID-2689</t>
  </si>
  <si>
    <t>07/10/2025 - Set up for deliveries until 08/22/2025 +told to follow up in August to continue</t>
  </si>
  <si>
    <t>diamondj@dcdoors.org</t>
  </si>
  <si>
    <t>Diamond Johnson</t>
  </si>
  <si>
    <t>Sreejana</t>
  </si>
  <si>
    <t>Shrestha</t>
  </si>
  <si>
    <t>2400 Virginia Ave NW</t>
  </si>
  <si>
    <t>D709</t>
  </si>
  <si>
    <t>(202) 904-0428</t>
  </si>
  <si>
    <t>My client is in need of food delivery due to challenges related to her mental health, including bipolar disorder. This condition can impact her ability to manage daily tasks, making it difficult for her to access food and other essential services independently. Providing support through food delivery services is crucial to help her maintain stability and well-being.</t>
  </si>
  <si>
    <t>Ms. Shrestha is focusing on managing her mental health, which will contribute to her overall stability, including better money management.</t>
  </si>
  <si>
    <t>ID-2868</t>
  </si>
  <si>
    <t>Foluke.T.Omobo@medstar.net</t>
  </si>
  <si>
    <t>Foluke Omobo</t>
  </si>
  <si>
    <t>202-451-6678</t>
  </si>
  <si>
    <t>Fainess</t>
  </si>
  <si>
    <t>Lipenga</t>
  </si>
  <si>
    <t>2634 15th street, NW</t>
  </si>
  <si>
    <t>Apt# 6H</t>
  </si>
  <si>
    <t>Musculoskeletal difficulties. Prolonged hospitalization (9/27/24-10/21/24)</t>
  </si>
  <si>
    <t>Resolution of food insecurity</t>
  </si>
  <si>
    <t>ID-1325</t>
  </si>
  <si>
    <t>IRENE</t>
  </si>
  <si>
    <t>BRANHAM</t>
  </si>
  <si>
    <t>830 11TH ST NE</t>
  </si>
  <si>
    <t>(202) 367-1447</t>
  </si>
  <si>
    <t>poor mental health, living with disability, poor physical health, Patient with diagnosis of Schizophrenia, Fibromyalgia, Acute bilateral low back pain with sciatica sciatica laterality unspecified, GERD, and Poor appetite,</t>
  </si>
  <si>
    <t>Patient with food insecurities in need of grocery/meal deliveries. Patient living with 8 family members an in need of food assistance.</t>
  </si>
  <si>
    <t>ID-0913</t>
  </si>
  <si>
    <t>Gustavo</t>
  </si>
  <si>
    <t>Benavides</t>
  </si>
  <si>
    <t>4142 7TH ST</t>
  </si>
  <si>
    <t>The patient was hit by a truck, unable to walk far and currently unemployed.</t>
  </si>
  <si>
    <t>Apply for disability, obtain financial assistance</t>
  </si>
  <si>
    <t>ID-2261</t>
  </si>
  <si>
    <t>3/20/2025 - She received food on 3/15/2025</t>
  </si>
  <si>
    <t>dkapfumvuti@teamaballc.com</t>
  </si>
  <si>
    <t>Dawn Kapfumvuti</t>
  </si>
  <si>
    <t>Team ABA @ SEED School DC</t>
  </si>
  <si>
    <t>Romero</t>
  </si>
  <si>
    <t>1277 Brentwood Road</t>
  </si>
  <si>
    <t>Mom is living with cancer and needs some additional support to minimize food insecurity. The family is Spanish speaking; please use interpretation.</t>
  </si>
  <si>
    <t>Increase food security</t>
  </si>
  <si>
    <t>10/29 ENTERED IN DATABASE - SCHEDULED 11/01 1/20/2025 says now has food stamps &amp; doesn't need deliveries</t>
  </si>
  <si>
    <t>Sharone</t>
  </si>
  <si>
    <t>Bunn</t>
  </si>
  <si>
    <t>1242 Florida Avenue NE</t>
  </si>
  <si>
    <t>Room 304</t>
  </si>
  <si>
    <t>I have a client who is a victim of sexual assault who has had trouble holding on to a job because she has experienced trauma as the result of the incident and has had to attend weekly meetings for rapid rehousing which requires her to take time off work. She has not had money to purchase groceries as a result.</t>
  </si>
  <si>
    <t>The client hopes to obtain a regular, full time job. She would also like to find a longer term placement through rapid rehousing.</t>
  </si>
  <si>
    <t>ID-0839</t>
  </si>
  <si>
    <t xml:space="preserve">05/22/2025 - Scheduled until end of July + told to call back then to continue </t>
  </si>
  <si>
    <t>florence_alade-ojomo@optum.com</t>
  </si>
  <si>
    <t>Florence Alade-Ojomo</t>
  </si>
  <si>
    <t>UHC</t>
  </si>
  <si>
    <t>202-550-6595</t>
  </si>
  <si>
    <t>Stella</t>
  </si>
  <si>
    <t>1301 7th ST</t>
  </si>
  <si>
    <t>Hypertension, bipolar disorder</t>
  </si>
  <si>
    <t>Ongoing</t>
  </si>
  <si>
    <t>ID-0745</t>
  </si>
  <si>
    <t>Florence Alfaro-Ojomk</t>
  </si>
  <si>
    <t>Vivian</t>
  </si>
  <si>
    <t>3913 Burns CT</t>
  </si>
  <si>
    <t>Hypertension, legally blind</t>
  </si>
  <si>
    <t>ID-1636</t>
  </si>
  <si>
    <t>3/20/2025 - Unreachable. We have left messages multiple times</t>
  </si>
  <si>
    <t>Valarie</t>
  </si>
  <si>
    <t>Garland</t>
  </si>
  <si>
    <t>119 35th ST</t>
  </si>
  <si>
    <t>Type 2 diabetes, heart failure</t>
  </si>
  <si>
    <t>ID-1150</t>
  </si>
  <si>
    <t>3/20/2025 - Voice box has not been set</t>
  </si>
  <si>
    <t>Barbara</t>
  </si>
  <si>
    <t>3600 B ST</t>
  </si>
  <si>
    <t>Muscle weakness, bipolar disorder</t>
  </si>
  <si>
    <t>ID-0734</t>
  </si>
  <si>
    <t>Number out of service</t>
  </si>
  <si>
    <t>Pamela</t>
  </si>
  <si>
    <t>Burrello</t>
  </si>
  <si>
    <t>3908 H ST</t>
  </si>
  <si>
    <t>COPD, hypertension</t>
  </si>
  <si>
    <t>ID-0735</t>
  </si>
  <si>
    <t>Lossie</t>
  </si>
  <si>
    <t>Locks</t>
  </si>
  <si>
    <t>900 G ST</t>
  </si>
  <si>
    <t>Cancer</t>
  </si>
  <si>
    <t>ID-0736</t>
  </si>
  <si>
    <t>Left a message</t>
  </si>
  <si>
    <t>Joan</t>
  </si>
  <si>
    <t>Moore</t>
  </si>
  <si>
    <t>2649 Douglass RD</t>
  </si>
  <si>
    <t>Kidney disease</t>
  </si>
  <si>
    <t>ID-1182</t>
  </si>
  <si>
    <t>Not interested</t>
  </si>
  <si>
    <t>Nannie</t>
  </si>
  <si>
    <t>Beard</t>
  </si>
  <si>
    <t>4950 call PL</t>
  </si>
  <si>
    <t>B1</t>
  </si>
  <si>
    <t>Hypertension</t>
  </si>
  <si>
    <t>ID-0679</t>
  </si>
  <si>
    <t xml:space="preserve">3/20/2025 - LVM + 4/24/2025 LVM </t>
  </si>
  <si>
    <t>Georgia</t>
  </si>
  <si>
    <t>Lawson</t>
  </si>
  <si>
    <t>4219 4th St</t>
  </si>
  <si>
    <t>(202) 549-8378</t>
  </si>
  <si>
    <t>ID-0759</t>
  </si>
  <si>
    <t>Brewington</t>
  </si>
  <si>
    <t>3600 B St</t>
  </si>
  <si>
    <t>Stroke</t>
  </si>
  <si>
    <t>ID-0740</t>
  </si>
  <si>
    <t>3/20/2025 - Number out of service</t>
  </si>
  <si>
    <t>Stroud</t>
  </si>
  <si>
    <t>360 H St</t>
  </si>
  <si>
    <t>Depression</t>
  </si>
  <si>
    <t>ID-1244</t>
  </si>
  <si>
    <t>3/20/2025 - Customer not reachable</t>
  </si>
  <si>
    <t>Mariaangela</t>
  </si>
  <si>
    <t>Mokwe</t>
  </si>
  <si>
    <t>6320 5TH ST</t>
  </si>
  <si>
    <t>Legally blind, hypertension</t>
  </si>
  <si>
    <t>ID-0865</t>
  </si>
  <si>
    <t>3/20/2025 - She does not need food any more</t>
  </si>
  <si>
    <t>cKnight@hillcrest-dc.org</t>
  </si>
  <si>
    <t>Cyria Knight</t>
  </si>
  <si>
    <t>Hillcrrs</t>
  </si>
  <si>
    <t>Hillcrest</t>
  </si>
  <si>
    <t>Evette</t>
  </si>
  <si>
    <t>Bailey</t>
  </si>
  <si>
    <t>1151 4th st sw apt 818 Wdc 20024</t>
  </si>
  <si>
    <t>Sw</t>
  </si>
  <si>
    <t>My client had a knee replacement and is unable to walk around or get to her destinations at time. Her knee pains causes her Great pain. She suffers from severe depression and is connected with Hillcrest mental health agency</t>
  </si>
  <si>
    <t>ID-0511</t>
  </si>
  <si>
    <t xml:space="preserve">04/24/2025 No longer needs delivery </t>
  </si>
  <si>
    <t>Kymberly</t>
  </si>
  <si>
    <t>Grafton</t>
  </si>
  <si>
    <t>2958 second st se</t>
  </si>
  <si>
    <t>Se</t>
  </si>
  <si>
    <t>Kymberly is diagnosed with bilateral hips and left leg pain sciatica, post laminectomy with spinal fusion, and lumbago with sciatica.</t>
  </si>
  <si>
    <t>We will work on obtaining ssi benefits to assist with groceries.</t>
  </si>
  <si>
    <t>ID-3069</t>
  </si>
  <si>
    <t>mazugha@neighborsc.org</t>
  </si>
  <si>
    <t>Martin Azugha</t>
  </si>
  <si>
    <t>Neighbors Consejo</t>
  </si>
  <si>
    <t>Rita</t>
  </si>
  <si>
    <t>Ndum</t>
  </si>
  <si>
    <t>5201 Hayes Street NE</t>
  </si>
  <si>
    <t>Client is legally blind and has a mental health disability.</t>
  </si>
  <si>
    <t>The major goal for this client is for her to be able to better manage her disability and ease in exploring financial and community resources over the period of 12 months.</t>
  </si>
  <si>
    <t>ID-0883</t>
  </si>
  <si>
    <t>11/06 ENTERED IN DATABASE - NEED SPANISH REP</t>
  </si>
  <si>
    <t>jackie@jaydot.org</t>
  </si>
  <si>
    <t>Jackie Vela</t>
  </si>
  <si>
    <t>Jaydot</t>
  </si>
  <si>
    <t>202-748-0688</t>
  </si>
  <si>
    <t>Narcisco</t>
  </si>
  <si>
    <t>Hernandez</t>
  </si>
  <si>
    <t>1221 First St</t>
  </si>
  <si>
    <t>D</t>
  </si>
  <si>
    <t>The client above has been recently diagnosed with diabetes and other ailments that make it hard for him to be able to go out to get foods. He is also zero-income and is struggling to afford both medication and groceries.</t>
  </si>
  <si>
    <t>Mr. Hernandez will monitor his sugar levels daily for the next 30 days. Mr. Hernandez will go to his mandatory doctors appointments and support group as required for the next 6 months.</t>
  </si>
  <si>
    <t>ID-1987</t>
  </si>
  <si>
    <t xml:space="preserve">7/17/25 - Scheduled until 09/26/25 </t>
  </si>
  <si>
    <t>KRYSTAL</t>
  </si>
  <si>
    <t>WHITE</t>
  </si>
  <si>
    <t>3517 BROTHERS PL SE Apt 6</t>
  </si>
  <si>
    <t>living with disability, poor physical health, single parent with baby/infants</t>
  </si>
  <si>
    <t>Patient has broken their leg and is unable to get access to food.</t>
  </si>
  <si>
    <t>For the patient to have a healthier diet</t>
  </si>
  <si>
    <t>ID-2000</t>
  </si>
  <si>
    <t>3/20/2025 - Unavailable</t>
  </si>
  <si>
    <t>Trayvon</t>
  </si>
  <si>
    <t>Odoms</t>
  </si>
  <si>
    <t>1509 T Street SE</t>
  </si>
  <si>
    <t>(202) 844-0200</t>
  </si>
  <si>
    <t>Client was sexually harassed by his mother. He is unstably housed (please verify with him his current address) and is currently unemployed. He is having trouble obtaining food stamps. He has no money to buy food.</t>
  </si>
  <si>
    <t>I hope to help my client obtain clothing and food in the short term, and employment and housing in the long term.</t>
  </si>
  <si>
    <t>ID-2233</t>
  </si>
  <si>
    <t>Recieving delivery 04/24 and 05/09</t>
  </si>
  <si>
    <t>Lili Rosenberg, RDN</t>
  </si>
  <si>
    <t>MedStar</t>
  </si>
  <si>
    <t>Tokumbo</t>
  </si>
  <si>
    <t>Childress</t>
  </si>
  <si>
    <t>2100 Mississippi Ave, SE</t>
  </si>
  <si>
    <t>(571) 519-3228 (Please text, pt is deaf)</t>
  </si>
  <si>
    <t>Insulin-dependent diabetes, RA, GAD, wheelchair-bound, cognitive ?, Note: pt is deaf, communicates via text and ASL</t>
  </si>
  <si>
    <t>Dietary improvement to help combat all of her physical and mental health problems.</t>
  </si>
  <si>
    <t>ID-2863</t>
  </si>
  <si>
    <t>Diane Hurshow</t>
  </si>
  <si>
    <t>06/12/2025 - Scheduled until 08/21/25 + told to call back in August to continue scheduling</t>
  </si>
  <si>
    <t>United healthcare, optum</t>
  </si>
  <si>
    <t>DIANE</t>
  </si>
  <si>
    <t>HURSHOW</t>
  </si>
  <si>
    <t>1243 SIMMS PL APT 11 NE, WASHINGTON, DC, 20002-0000</t>
  </si>
  <si>
    <t>(202) 664-7447</t>
  </si>
  <si>
    <t>Member is blind on the right eyes</t>
  </si>
  <si>
    <t>Member is disable and need food delivery at all times</t>
  </si>
  <si>
    <t>GIlllian</t>
  </si>
  <si>
    <t>ID-2429</t>
  </si>
  <si>
    <t>04/24/25 - Set up delivery for 04/25 and 05/25, instructed to set up more deliveries going forward</t>
  </si>
  <si>
    <t>United healthcare, Optum</t>
  </si>
  <si>
    <t>GEORGE</t>
  </si>
  <si>
    <t>OUTTEN</t>
  </si>
  <si>
    <t>900 VARNEY ST APT 230 SE, WASHINGTON, DC, 20032-0000</t>
  </si>
  <si>
    <t>(202) 891-0631</t>
  </si>
  <si>
    <t>Unable to walk lower legs weakness</t>
  </si>
  <si>
    <t>Member is disable and will need food at all times</t>
  </si>
  <si>
    <t>ID-1574</t>
  </si>
  <si>
    <t>3/20/2025 - Already scheduled for today 11/19 - Scheduled for 11/26 &amp; 12/19</t>
  </si>
  <si>
    <t>jnkweteshing@whcclinics.com</t>
  </si>
  <si>
    <t>Julesi Nkweteshing</t>
  </si>
  <si>
    <t>Wellness Healthcare Clinics</t>
  </si>
  <si>
    <t>Tara</t>
  </si>
  <si>
    <t>Woodard</t>
  </si>
  <si>
    <t>2219 Town Center Drive</t>
  </si>
  <si>
    <t>(202) 967-6356</t>
  </si>
  <si>
    <t>Client has difficulty leaving home, had multiple surgeries on her legs, swollen feet’s and use crutches move around the house. Client is disabled and currently receiving mental health services, mental therapy from wellness Healthcare clinics.</t>
  </si>
  <si>
    <t>Client is expected to get better both physically and mentally and a reevaluation to be done every six months to determine her progress.</t>
  </si>
  <si>
    <t>ID-1558</t>
  </si>
  <si>
    <t>3/20/2025 - Scheduled for 4/4/25</t>
  </si>
  <si>
    <t>tbrown@lesdc.orf</t>
  </si>
  <si>
    <t>Terry Brown</t>
  </si>
  <si>
    <t>301-765-4077</t>
  </si>
  <si>
    <t>Tarisha</t>
  </si>
  <si>
    <t>Settles</t>
  </si>
  <si>
    <t>2321 4th Street NE</t>
  </si>
  <si>
    <t>bipolar and skizo and manic depression</t>
  </si>
  <si>
    <t>find employment</t>
  </si>
  <si>
    <t>ID-2867</t>
  </si>
  <si>
    <t>julia.a.fiore@medstar.net</t>
  </si>
  <si>
    <t>Julia Fiore</t>
  </si>
  <si>
    <t>Medstar Georgetown University Hospital</t>
  </si>
  <si>
    <t>Joselin</t>
  </si>
  <si>
    <t>Velasquez-Valasquez</t>
  </si>
  <si>
    <t>3107 11th St NW, Washington DC</t>
  </si>
  <si>
    <t>(202) 500-0254</t>
  </si>
  <si>
    <t>Kidney surgery on 11/13/2024 (Pt is Spanish-speaking)</t>
  </si>
  <si>
    <t>medically and physically stable, and can start to work</t>
  </si>
  <si>
    <t>ID-2876</t>
  </si>
  <si>
    <t>Miriams Kitchen</t>
  </si>
  <si>
    <t>Tony</t>
  </si>
  <si>
    <t>Edwards</t>
  </si>
  <si>
    <t>4555 McArthur Blvd Unit G1</t>
  </si>
  <si>
    <t>G1</t>
  </si>
  <si>
    <t>Client is diagnosed with bipolar, schizophrenic, and paranoid. Client is unable to walk to the store or get to the store without having a mental crisis.</t>
  </si>
  <si>
    <t>Getting client medicated and into group sessions that allows him to feel comfortable around others and not paranoid.</t>
  </si>
  <si>
    <t>ID-0155</t>
  </si>
  <si>
    <t>Lakeia  Scott</t>
  </si>
  <si>
    <t xml:space="preserve">06/05/2025 - Scheduled until July 24th 2025, </t>
  </si>
  <si>
    <t>Lakeia</t>
  </si>
  <si>
    <t>Scott</t>
  </si>
  <si>
    <t>2422 Ontario Road NW</t>
  </si>
  <si>
    <t>Apt 201</t>
  </si>
  <si>
    <t>(202) 200-1333</t>
  </si>
  <si>
    <t>Client has suffered injuries due to an IPV incident. Client has also been dealing with a persistent cough and has recently left the hospital where she underwent a procedure relating to her throat and is currently at home recovering.</t>
  </si>
  <si>
    <t>For the next few months (4-6) the client will be focused on recovery as she continues to see her doctors/specialists.</t>
  </si>
  <si>
    <t>ID-2873</t>
  </si>
  <si>
    <t>08/07/25 - Scheduled until 09/12/25 + told to call back in September to continue</t>
  </si>
  <si>
    <t>laura_nwokeafor@optum.com</t>
  </si>
  <si>
    <t>Laura Nwokeafor</t>
  </si>
  <si>
    <t>3764 HAYES STREET NE</t>
  </si>
  <si>
    <t>(202) 388-1308</t>
  </si>
  <si>
    <t>Member states she is on a fixed income and needs food</t>
  </si>
  <si>
    <t>To consume healthy foods daily</t>
  </si>
  <si>
    <t>ID-0923</t>
  </si>
  <si>
    <t>3/20/2025 - LVM. The last time the client received food was 12/13/2024</t>
  </si>
  <si>
    <t>Markeisha</t>
  </si>
  <si>
    <t>1810 I St Ne</t>
  </si>
  <si>
    <t>Ne</t>
  </si>
  <si>
    <t>Ms.Henderson is a single mom of a 4 year old suffering from anxiety, depression, ptsd, and insomnia. Ms. Henderson suffers from a knee injury preventing her from walking long distances and climbing steps.</t>
  </si>
  <si>
    <t>To assist her with physical therapy and support from daycare providers to assist with her son.</t>
  </si>
  <si>
    <t>ID-1982</t>
  </si>
  <si>
    <t>asmith@capitolhillvillage.org</t>
  </si>
  <si>
    <t>Alexandra Smith</t>
  </si>
  <si>
    <t>Capitol Hill Village</t>
  </si>
  <si>
    <t>(202) 543-1778</t>
  </si>
  <si>
    <t>Elaine</t>
  </si>
  <si>
    <t>Hubbard</t>
  </si>
  <si>
    <t>900 G St NE</t>
  </si>
  <si>
    <t>Apt 702</t>
  </si>
  <si>
    <t>(202) 883-2965</t>
  </si>
  <si>
    <t>Client was hospitalized in 2023 and then had a long stay in rehab, during which time she lost her ability to walk.</t>
  </si>
  <si>
    <t>Client will continue physical therapy treatment on a weekly basis to improve her mobility.</t>
  </si>
  <si>
    <t>ID-3025</t>
  </si>
  <si>
    <t>3/20/2025 - Unreachable. The last time the client received food was 12/13</t>
  </si>
  <si>
    <t>cknight@hillcrest-dc.org</t>
  </si>
  <si>
    <t>Vontia</t>
  </si>
  <si>
    <t>Nelson</t>
  </si>
  <si>
    <t>1800 Minnesota Ave</t>
  </si>
  <si>
    <t>Ms. Nelson is currently diagnosed with bipolar and ptsd. Ms. Nelson is unable to be around others without having a panic attack. Ms. Nelson suffers from ptsd, and seeing her loved ones lose their life. Ms. Nelson is homebound due to her mental illnesses, and does not leave the house unless she goes to see her doctor.</t>
  </si>
  <si>
    <t>We are working on building her social life up, and trusting others, in order to be around people in the community.</t>
  </si>
  <si>
    <t>ID-1580</t>
  </si>
  <si>
    <t>arigel2010@gmail.com</t>
  </si>
  <si>
    <t>Allison Rigel (physician)</t>
  </si>
  <si>
    <t>Unity Health Care</t>
  </si>
  <si>
    <t>937-925-5184</t>
  </si>
  <si>
    <t>Gina</t>
  </si>
  <si>
    <t>Walker</t>
  </si>
  <si>
    <t>812 Jefferson St NW Basement 2</t>
  </si>
  <si>
    <t>Basement 2</t>
  </si>
  <si>
    <t>Patient is wheelchair user currently undergoing chemo/radiation for cancer. She is experiencing significant weakness and fatigue inhibiting ability to leave home or complete simple tasks. Patient uses insulin and it is unsafe for her to skip meals. She lacks significant assistance.</t>
  </si>
  <si>
    <t>improved nutrition, safe use of insulin, social support</t>
  </si>
  <si>
    <t>ID-2990</t>
  </si>
  <si>
    <t xml:space="preserve">04/24/25 - Spoke to CM (Eric doesn't have a phone) and set up deliveries for 05/09 and 06/06 </t>
  </si>
  <si>
    <t>tiara.anderson@dc.gov</t>
  </si>
  <si>
    <t>Tiara Anderson</t>
  </si>
  <si>
    <t>DACL</t>
  </si>
  <si>
    <t>202-258-8857</t>
  </si>
  <si>
    <t>Copeland</t>
  </si>
  <si>
    <t>1900 C St SE</t>
  </si>
  <si>
    <t>(202) 503-4214</t>
  </si>
  <si>
    <t>Client cannot leave the home to shop and as difficulty standing long periods. Phone number provided is to mental health case manager Ms. Queen as client does not have a phone at this time.</t>
  </si>
  <si>
    <t>assists with food insecurity until able to place client with other supportive needs</t>
  </si>
  <si>
    <t>ID-2295</t>
  </si>
  <si>
    <t>Melanie</t>
  </si>
  <si>
    <t>1900 Irving St.</t>
  </si>
  <si>
    <t>poor mental health, living with disability, Child has mental health limitations</t>
  </si>
  <si>
    <t>Child has mental and behavioral health limitations in which community behavior is unsafe</t>
  </si>
  <si>
    <t>enhance client's lifeskills of managing food supply and resources</t>
  </si>
  <si>
    <t>ID-1180</t>
  </si>
  <si>
    <t>3/20/2025 - Does need food any more from us. He moved to NJ</t>
  </si>
  <si>
    <t>Steed</t>
  </si>
  <si>
    <t>Yoness</t>
  </si>
  <si>
    <t>1160 Owen Place NE, Washington, DC</t>
  </si>
  <si>
    <t>(240) 618-4123</t>
  </si>
  <si>
    <t>Client is the victim of an assault with a deadly weapon. He was shot 5 times by an unknown assailant and has been out of work for some time. He cannot work due to his injuries.</t>
  </si>
  <si>
    <t>I would like to help the client to obtain relocation expenses and/or reimbursement for rent paid since the incident. I would like to connect him with someone who can give him legal advice and perhaps connect him with mental health services to manage the trauma experienced as the result of the incident.</t>
  </si>
  <si>
    <t>09/04/2025 - Scheduled until 11/07/25 + told to call back in November</t>
  </si>
  <si>
    <t>LMeehan@legalaiddc.org</t>
  </si>
  <si>
    <t>Lisa Meehan</t>
  </si>
  <si>
    <t>202-386-6690</t>
  </si>
  <si>
    <t>Farangiz</t>
  </si>
  <si>
    <t>Goolfamsoorkhabi</t>
  </si>
  <si>
    <t>1806 I St. NE</t>
  </si>
  <si>
    <t>(202) 500-5126</t>
  </si>
  <si>
    <t>Ms. Goolfamsoorkhabi is in her late 80's and cannot go out to grocery shop on her own. The phone number provided is for her son, Farrokh Khonsari, who lives with her. Please note that Ms. Goolfamsoorkhabi speaks Farsi, and Mr. Khonsari speaks both Farsi and English.</t>
  </si>
  <si>
    <t>Unsure</t>
  </si>
  <si>
    <t>The goal is to supplement the household's current grocery budget which is not enough to support everyone, particularly Ms. Goolfamsoorkhabi who is elderly.</t>
  </si>
  <si>
    <t>ID-3037</t>
  </si>
  <si>
    <t>3/20/2025 - Unreachable. The last time client received food was 1/3/25</t>
  </si>
  <si>
    <t>tlockhart@childrensnational.org</t>
  </si>
  <si>
    <t>Tronda Lockhart</t>
  </si>
  <si>
    <t>Ma'Shaila</t>
  </si>
  <si>
    <t>Darby</t>
  </si>
  <si>
    <t>4000 Massachusetts Avenue</t>
  </si>
  <si>
    <t>(202) 537-0599</t>
  </si>
  <si>
    <t>Member has autism spectrum disorder and social phobia and does not leave the home. Her mother is a single mother and has two other special needs children in the home.</t>
  </si>
  <si>
    <t>My client with the help of therapy will be able to leave the home to connect with other services provided in the community in six months.</t>
  </si>
  <si>
    <t>ID-2889</t>
  </si>
  <si>
    <t>Health Services for Children With Special Needs</t>
  </si>
  <si>
    <t>Ayanna</t>
  </si>
  <si>
    <t>Marshall</t>
  </si>
  <si>
    <t>4258 4th street</t>
  </si>
  <si>
    <t>Member has seizures very often and her mom is disabled with small children</t>
  </si>
  <si>
    <t>Member's seizures will happen less frequently so she can leave the house safely.</t>
  </si>
  <si>
    <t>ID-1239</t>
  </si>
  <si>
    <t>lwarrick@housingup.org</t>
  </si>
  <si>
    <t>Linda Warrick</t>
  </si>
  <si>
    <t>Housing Up</t>
  </si>
  <si>
    <t>202 876-6562</t>
  </si>
  <si>
    <t>Angela</t>
  </si>
  <si>
    <t>Peek</t>
  </si>
  <si>
    <t>1517 15th St NE</t>
  </si>
  <si>
    <t>J12</t>
  </si>
  <si>
    <t>(202) 274-0647</t>
  </si>
  <si>
    <t>The client was injured at work and have difficulties carrying items home (Leg and Hand). She doesn't have anyone to assist her transporting food during the day.</t>
  </si>
  <si>
    <t>Client is waiting for surgery procedure to regain ability for hand and leg use.</t>
  </si>
  <si>
    <t>Gilllian</t>
  </si>
  <si>
    <t>ID-2890</t>
  </si>
  <si>
    <t>3/20/2025 - LVM. She hasn't got food since 1/3/25 + 04/24/2015 LVM</t>
  </si>
  <si>
    <t>kisha.joseph@bettermorninginc.com</t>
  </si>
  <si>
    <t>Kisha Joseph</t>
  </si>
  <si>
    <t>Better Morning Inc.</t>
  </si>
  <si>
    <t>571-419-1331</t>
  </si>
  <si>
    <t>June</t>
  </si>
  <si>
    <t>Paige</t>
  </si>
  <si>
    <t>1919 3rd St.</t>
  </si>
  <si>
    <t>#211</t>
  </si>
  <si>
    <t>Client recently had a stroke that has limited her mobility and ADL.</t>
  </si>
  <si>
    <t>To assist her with focusing on increasing her mobility during this time.</t>
  </si>
  <si>
    <t>ID-3041</t>
  </si>
  <si>
    <t>3/20/2025 - LVM. Last time the client received food was 1/3/25. Her expired delivery for food is 3/22/25</t>
  </si>
  <si>
    <t>Evangela</t>
  </si>
  <si>
    <t>200 46th Street</t>
  </si>
  <si>
    <t>Client has physical and mental health limitations. Also, just had a baby two weeks ago.</t>
  </si>
  <si>
    <t>Client is working towards finding stable part-time employment</t>
  </si>
  <si>
    <t>ID-2892</t>
  </si>
  <si>
    <t>12/22 ADDED TO DATABASE</t>
  </si>
  <si>
    <t>kchicas@maryscenter.org</t>
  </si>
  <si>
    <t>Betancourt</t>
  </si>
  <si>
    <t>1828 Q ST SE Washington, DC</t>
  </si>
  <si>
    <t>living with disability, poor physical health, Pt diagnosed with leukemia</t>
  </si>
  <si>
    <t>PT diagnosed and undergoing treatment for leukemia. Only one of the adults is working due to other adults taking care of an infant, and the pt. Family has no vehicle and is facing food insecurity.</t>
  </si>
  <si>
    <t>weekly (for extreme emergencies ONLY)</t>
  </si>
  <si>
    <t>To allow my client to alleviate some financial stress while he is undergoing treatment for his leukemia. As his whole family is affected by the lack of financial support, them having food security will provide some peace of mind. Any assistance is greatly appreciated. Thank you so much.</t>
  </si>
  <si>
    <t>ID-2893</t>
  </si>
  <si>
    <t xml:space="preserve">3/20/2025 - LVM + 04/24/25 LVM </t>
  </si>
  <si>
    <t>dana.cline@cignahealthcare.com</t>
  </si>
  <si>
    <t>Dana Cline</t>
  </si>
  <si>
    <t>Cigna</t>
  </si>
  <si>
    <t>860-902-2698</t>
  </si>
  <si>
    <t>Blue</t>
  </si>
  <si>
    <t>92 Hawthorne Ct</t>
  </si>
  <si>
    <t>(917) 518-3004</t>
  </si>
  <si>
    <t>senior citizen, poor physical health, recent heart surgery, unable to walk distances</t>
  </si>
  <si>
    <t>recent heart surgery, unable to walk distances, no local social support</t>
  </si>
  <si>
    <t>Will recover from recent health setback in order to return to normal daily living activities</t>
  </si>
  <si>
    <t>ID-2895</t>
  </si>
  <si>
    <t>Ana</t>
  </si>
  <si>
    <t>Sanchez</t>
  </si>
  <si>
    <t>615 Missouri Ave. NW</t>
  </si>
  <si>
    <t>Apt. 5</t>
  </si>
  <si>
    <t>Ms. Sanchez is disabled and her only income is SSDI.</t>
  </si>
  <si>
    <t>unsure</t>
  </si>
  <si>
    <t>Ms. Sanchez is disabled and has a tough time making ends meet to buy groceries - any help is very much appreciated.</t>
  </si>
  <si>
    <t>ID-2917</t>
  </si>
  <si>
    <t>04/24/2025 - Scheduled for 05/02 and 05/30, instructed to folllow up in June</t>
  </si>
  <si>
    <t>asivels@unityhealthcare.org</t>
  </si>
  <si>
    <t>Anitra Sivels</t>
  </si>
  <si>
    <t>202-610-7176</t>
  </si>
  <si>
    <t>Brenda</t>
  </si>
  <si>
    <t>101 G St SW</t>
  </si>
  <si>
    <t>A110</t>
  </si>
  <si>
    <t>(202) 300-7333</t>
  </si>
  <si>
    <t>Pt is currently homebound with pnuemonia</t>
  </si>
  <si>
    <t>ID-2897</t>
  </si>
  <si>
    <t>3/20/2025 - Unreachable. Last time she received food was on 1/3/25</t>
  </si>
  <si>
    <t>hillary.cohen@medstar.net</t>
  </si>
  <si>
    <t>Hillary Cohen</t>
  </si>
  <si>
    <t>Medstar Georgetown University Hospital Neurology Dept</t>
  </si>
  <si>
    <t>Sherri</t>
  </si>
  <si>
    <t>Shedon</t>
  </si>
  <si>
    <t>1123 Columbia Road NW</t>
  </si>
  <si>
    <t>(301) 643-3890</t>
  </si>
  <si>
    <t>Client has diagnoses of Kearns-Sayre syndrome, mitochondrial myopathy, among others</t>
  </si>
  <si>
    <t>Per neurologist's note from 10/23/24, patient needs to increase her food intake for weight stabilization.</t>
  </si>
  <si>
    <t>ID-2898</t>
  </si>
  <si>
    <t>Aaron</t>
  </si>
  <si>
    <t>Doughty</t>
  </si>
  <si>
    <t>1447 22nd street SE Washington, DC</t>
  </si>
  <si>
    <t>(202) 971-0534</t>
  </si>
  <si>
    <t>Parent recently buried his children's mother from a terminal illness withing the last month. Parent is disabled, in a wheelchair and has two nonverbal fully dependent with all ADLS autistic children he cares for solely. They have no food resources.</t>
  </si>
  <si>
    <t>My client will be able to establish food resources</t>
  </si>
  <si>
    <t>ID-3109</t>
  </si>
  <si>
    <t>3/20/2025 - Scheduled for 3/27; 5/8/2025 - Scheduled until 7/17/28 + told to call then to continue</t>
  </si>
  <si>
    <t xml:space="preserve">Cyria Knight </t>
  </si>
  <si>
    <t xml:space="preserve">Hillcrest </t>
  </si>
  <si>
    <t>Kareema</t>
  </si>
  <si>
    <t>Thomas-Montgomery</t>
  </si>
  <si>
    <t>3910 georgia ave nw apt 509 washington dc 20011</t>
  </si>
  <si>
    <t>Kareema is diagnosed with bipolar, and depression.</t>
  </si>
  <si>
    <t>Kareema and I are working on coping skills and learning how to manage her anger</t>
  </si>
  <si>
    <t>ID-0215</t>
  </si>
  <si>
    <t>3/20/2025 - Unreachable. LVM multiple times</t>
  </si>
  <si>
    <t>Donna.burke@bhgrecovery.com</t>
  </si>
  <si>
    <t>Donna Burke</t>
  </si>
  <si>
    <t>Behavioral Health Group</t>
  </si>
  <si>
    <t>202-561-5947</t>
  </si>
  <si>
    <t>2702 Wisconsin Ave</t>
  </si>
  <si>
    <t>Client is wheelchair bound</t>
  </si>
  <si>
    <t>to go out to the food banks</t>
  </si>
  <si>
    <t>ID-2902</t>
  </si>
  <si>
    <t>3/20/2025 - Scheduled for today</t>
  </si>
  <si>
    <t>Tekesia</t>
  </si>
  <si>
    <t>Hancock</t>
  </si>
  <si>
    <t>1300 Valley Place SE</t>
  </si>
  <si>
    <t xml:space="preserve">Client is using a cane currently and cannot get around easily. The abuser punched her in the back and legs. </t>
  </si>
  <si>
    <t xml:space="preserve">I am working with the client to become self-sufficient and to get therapeutic and legal services. </t>
  </si>
  <si>
    <t xml:space="preserve">Gilllian </t>
  </si>
  <si>
    <t>ID-2903</t>
  </si>
  <si>
    <t>04/24/25 - set up for 05/02 and 06/06</t>
  </si>
  <si>
    <t>brittany.m@nvrdc.org</t>
  </si>
  <si>
    <t>Brittany</t>
  </si>
  <si>
    <t xml:space="preserve">Cornelius </t>
  </si>
  <si>
    <t xml:space="preserve">Gaskins </t>
  </si>
  <si>
    <t xml:space="preserve"> 4425  nannie helen burroughs </t>
  </si>
  <si>
    <t xml:space="preserve">Client is autistic </t>
  </si>
  <si>
    <t xml:space="preserve">To help my client obtain employment with his disability in an environment that will not have a negative impact on him so that he can become financially stable enough to provide food items for himself within 6-12 months. </t>
  </si>
  <si>
    <t>ID-2904</t>
  </si>
  <si>
    <t>1/5/25 - Added to the client database</t>
  </si>
  <si>
    <t>Maria</t>
  </si>
  <si>
    <t>Chavez</t>
  </si>
  <si>
    <t>4021 9th Street NW</t>
  </si>
  <si>
    <t>Pt just went to OR for spinal surgery and must recover at home. Pt is caring for 12yo grandson. Family is under TPS documentation and do not qualify for SNAP benefits. Pt is Spanish speaking</t>
  </si>
  <si>
    <t xml:space="preserve">Pt will recover with the assistance of home health and physical therapy , and will be able to return to work in 6 months. </t>
  </si>
  <si>
    <t>ID-3056</t>
  </si>
  <si>
    <t>3/20/2025 - Scheduled for 3/27, 4/10, and 4/24/25</t>
  </si>
  <si>
    <t>District healthcare</t>
  </si>
  <si>
    <t>Mitchel</t>
  </si>
  <si>
    <t xml:space="preserve">2235 SAVANAH TERRACE </t>
  </si>
  <si>
    <t>apt 22</t>
  </si>
  <si>
    <t>(240) 701-3063</t>
  </si>
  <si>
    <t>senior citizen, poor mental health, living with disability, Grieving Senior</t>
  </si>
  <si>
    <t>I am referring Ms. Michelle Broadway, a 58-year-old woman, for your food delivery services. Ms. Broadway has been managing anxiety and PTSD since the tragic loss of her son in 2015. She remains committed to her sobriety and continues to address the challenges posed by community violence, which exacerbates her symptoms.
Access to your program’s food delivery services would greatly support Ms. Broadway’s journey toward stability by ensuring she has consistent access to nutritious meals. Your assistance would be invaluable in helping her maintain her well-being as she continues her recovery.
Please feel free to contact me if additional information is needed to complete this referral. Thank you for your commitment to serving the community.</t>
  </si>
  <si>
    <t>Twice / month</t>
  </si>
  <si>
    <t>To ensure monthly food deliveries to address food insecurity and support physical and mental health.
To reduce stress and anxiety related to food insecurity, enabling focus on recovery from anxiety and PTSD.
To establish routine and predictability through consistent food support, contributing to overall recovery and reduced emergency reliance.</t>
  </si>
  <si>
    <t>ID-2906</t>
  </si>
  <si>
    <t>3/20/2025 - The client received food on 3/14/25</t>
  </si>
  <si>
    <t>District healthcare Services</t>
  </si>
  <si>
    <t>Jeanella</t>
  </si>
  <si>
    <t>Taylor</t>
  </si>
  <si>
    <t>1221 M street NW</t>
  </si>
  <si>
    <t>(202) 903-1129</t>
  </si>
  <si>
    <t>I am referring Ms. Taylor for Food For All’s food delivery program. Ms. Taylor has been experiencing severe mental health challenges, including depression, anxiety, and insomnia, which have intensified after significant trauma, including the loss of her mother, domestic violence, and ongoing homelessness. She also struggles with physical health issues, including fibroids.
Access to nutritious meals will greatly support Ms. Taylor’s recovery and stabilization as she seeks to address her mental health symptoms and engage with community resources. Regular food deliveries will provide her with essential nutrition, reducing her stress and helping her focus on her health and recovery journey.
Thank you for considering Ms. Taylor for your program. Please let me know if further information is required.</t>
  </si>
  <si>
    <t>Monthly (default)</t>
  </si>
  <si>
    <t>To ensure monthly food deliveries to address food insecurity and support physical and mental health.
To alleviate anxiety caused by food insecurity, enabling Ms. Taylor to focus on her mental health recovery.
To complement Ms. Taylor’s treatment by meeting her basic needs, improving engagement with therapy and coping strategies.</t>
  </si>
  <si>
    <t>ID-2907</t>
  </si>
  <si>
    <t>08/07/2025 - Scheduled until 09/11/25 + told to call back in September to continue</t>
  </si>
  <si>
    <t>Mariatu.fornah@ccdc1.org</t>
  </si>
  <si>
    <t xml:space="preserve">Mariatu Fornah </t>
  </si>
  <si>
    <t>community Connections</t>
  </si>
  <si>
    <t>(269) 906-2254</t>
  </si>
  <si>
    <t>Dailey</t>
  </si>
  <si>
    <t xml:space="preserve">920 Savannah St SE Washington, DC </t>
  </si>
  <si>
    <t>(202) 910-5249</t>
  </si>
  <si>
    <t xml:space="preserve">Client has many health conditions </t>
  </si>
  <si>
    <t>applying for increase on food stamps</t>
  </si>
  <si>
    <t>ID-2908</t>
  </si>
  <si>
    <t>6/12/2025 - Scheduled until 08/22/25 + told to call after to continue scheduling</t>
  </si>
  <si>
    <t>abioseh.johnson@ccdc1.org</t>
  </si>
  <si>
    <t>Abioseh Johnson</t>
  </si>
  <si>
    <t>(202) 987-7588</t>
  </si>
  <si>
    <t xml:space="preserve">Ethelbert </t>
  </si>
  <si>
    <t>Dawson</t>
  </si>
  <si>
    <t>1500 Massachusetts Ave NW</t>
  </si>
  <si>
    <t>(202) 597-6388</t>
  </si>
  <si>
    <t>The client has glaucoma, and client is struggling with alcohol intake. This client has a permanent supportive housing voucher.</t>
  </si>
  <si>
    <t xml:space="preserve">We are trying to acquire food stamp for client. </t>
  </si>
  <si>
    <t>ID-2909</t>
  </si>
  <si>
    <t>3/20/2025 - Scheduled until 4/18</t>
  </si>
  <si>
    <t>sharita.johnson4@va.gov</t>
  </si>
  <si>
    <t>Sharita Johnson</t>
  </si>
  <si>
    <t>Veterans Affairs</t>
  </si>
  <si>
    <t>(202) 320-5679</t>
  </si>
  <si>
    <t>Walden</t>
  </si>
  <si>
    <t xml:space="preserve">254 35th St NE </t>
  </si>
  <si>
    <t>(202) 749-4194</t>
  </si>
  <si>
    <t>leg amputee</t>
  </si>
  <si>
    <t>Continuing to work with physical therapy for prosthetic training to increase ambulation.</t>
  </si>
  <si>
    <t>ID-2910</t>
  </si>
  <si>
    <t xml:space="preserve">DISTRICT HEALTHCARE SERVICES </t>
  </si>
  <si>
    <t xml:space="preserve">        DAVIS</t>
  </si>
  <si>
    <t xml:space="preserve">DENESE </t>
  </si>
  <si>
    <t>108 Atlantic street se apt 301</t>
  </si>
  <si>
    <t>(202) 361-3781</t>
  </si>
  <si>
    <t>senior citizen, poor mental health, living with disability, poor physical health, Impaired Senior</t>
  </si>
  <si>
    <t>I am referring Ms. Devese  for Food For All’s food delivery program. Ms. Devese is an Impaired 72 year old senior who has been experiencing severe mental health challenges, including depression, anxiety, and insomnia, which have intensified after significant trauma, including the loss of loved ones, domestic violence, and mobility challenges.  Access to nutritious meals will greatly support Ms. Devese’s recovery and stabilization as she seeks to address her mental health symptoms and engage with community resources. Regular food deliveries will provide her with essential nutrition, reducing her stress and helping her focus on her health and recovery journey. Thank you for considering Ms. Devese for your program. Please let me know if further information is required.</t>
  </si>
  <si>
    <t>To ensure monthly food deliveries to address food insecurity and support physical and mental health. To alleviate anxiety caused by food insecurity, enabling Ms. Devese to focus on her mental health recovery. To complement Ms. Devese’s treatment by meeting her basic needs, improving engagement with therapy and coping strategies.</t>
  </si>
  <si>
    <t>ID-2911</t>
  </si>
  <si>
    <t xml:space="preserve">TYNIESHA </t>
  </si>
  <si>
    <t xml:space="preserve">GRAHAM 	</t>
  </si>
  <si>
    <t xml:space="preserve">70 I Street </t>
  </si>
  <si>
    <t>(202) 993-2078</t>
  </si>
  <si>
    <t>poor mental health, living with disability, poor physical health, Obese / mobility situation</t>
  </si>
  <si>
    <t>I am referring Ms. Graham for Food For All’s food delivery program. Ms. Graham has been experiencing severe mental health challenges, including depression, anxiety, and insomnia, which have intensified after significant trauma, including the loss of her mother, domestic violence. She also struggles with physical health issues, including obesity, fibroids. Access to nutritious meals will greatly support Ms. Graham’s recovery and stabilization as she seeks to address her mental health symptoms and engage with community resources. Regular food deliveries will provide her with essential nutrition, reducing her stress and helping her focus on her health and recovery journey. Thank you for considering Ms. Graham for your program. Please let me know if further information is required.</t>
  </si>
  <si>
    <t>To ensure monthly food deliveries to address food insecurity and support physical and mental health. To alleviate anxiety caused by food insecurity, enabling Ms. Graham to focus on her mental health recovery. To complement Ms. Taylor’s treatment by meeting her basic needs, improving engagement with therapy and coping strategies.</t>
  </si>
  <si>
    <t>ID-2913</t>
  </si>
  <si>
    <t xml:space="preserve">06/20/25 - LVM </t>
  </si>
  <si>
    <t>smithlolillian3@gmail.com</t>
  </si>
  <si>
    <t>Bailey N Daniel Jr</t>
  </si>
  <si>
    <t xml:space="preserve">Prestige Healthcare Inc </t>
  </si>
  <si>
    <t>(202) 803-0074</t>
  </si>
  <si>
    <t>Lolillian</t>
  </si>
  <si>
    <t>1104 Varney St Se</t>
  </si>
  <si>
    <t>(301) 535-8625</t>
  </si>
  <si>
    <t>Serious Mental Disorder (ACT)</t>
  </si>
  <si>
    <t xml:space="preserve">Self independency 180 days </t>
  </si>
  <si>
    <t>ID-2914</t>
  </si>
  <si>
    <t>tcarey@erfsc.org</t>
  </si>
  <si>
    <t>Tyshae Carey</t>
  </si>
  <si>
    <t>(202) 961-7977</t>
  </si>
  <si>
    <t>Flaurette</t>
  </si>
  <si>
    <t>Curtis</t>
  </si>
  <si>
    <t xml:space="preserve">4442 Alabama Avenue Se WDC </t>
  </si>
  <si>
    <t>(703) 596-2482</t>
  </si>
  <si>
    <t>My client alzheimer</t>
  </si>
  <si>
    <t>My client is working on food stamp and disability</t>
  </si>
  <si>
    <t>ID-2915</t>
  </si>
  <si>
    <t>04/24/2025 - Client is scheduled for 05/16/25</t>
  </si>
  <si>
    <t>(202) 603-2622</t>
  </si>
  <si>
    <t>Talynthia</t>
  </si>
  <si>
    <t>812 Chesapeake St Se Apt A</t>
  </si>
  <si>
    <t>A</t>
  </si>
  <si>
    <t>(301) 809-7228</t>
  </si>
  <si>
    <t>Ms. Johnson is currently diagnosed with multiple mental and medical diagnosis which causes her great trouble to walk up stairs, being outside due to her Copd, and not being able to be around others due to her ptsd.</t>
  </si>
  <si>
    <t>Ms. Johnson and I are working on maintaining her health, and taking her medication as prescribed.</t>
  </si>
  <si>
    <t>ID-2916</t>
  </si>
  <si>
    <t>09/4/2025 - Scheduled until 10/30/25 + told to call back in October</t>
  </si>
  <si>
    <t>dmcrae@pgbhs.com</t>
  </si>
  <si>
    <t>Dexter McRae</t>
  </si>
  <si>
    <t>P&amp;G Behavorial Health Services</t>
  </si>
  <si>
    <t>(202) 704-4591</t>
  </si>
  <si>
    <t>Anita</t>
  </si>
  <si>
    <t>Crews</t>
  </si>
  <si>
    <t>230111th Street NW</t>
  </si>
  <si>
    <t>(202) 200-2928</t>
  </si>
  <si>
    <t>Blind</t>
  </si>
  <si>
    <t>The client looking to file Disability within the year. Client is blind with no other goals</t>
  </si>
  <si>
    <t>ID-2919</t>
  </si>
  <si>
    <t>Kisha</t>
  </si>
  <si>
    <t>Harmon-Morgan</t>
  </si>
  <si>
    <t>3201 8th St</t>
  </si>
  <si>
    <t>(202) 329-3596</t>
  </si>
  <si>
    <t>Kisha is diagnosed with stage 4 rectal cancer, and liver cancer.</t>
  </si>
  <si>
    <t xml:space="preserve">We are working on obtaining ssi benefits to assist Kisha with buying groceries. </t>
  </si>
  <si>
    <t>ID-2920</t>
  </si>
  <si>
    <t>3/20/2025 - LVM</t>
  </si>
  <si>
    <t>jlavin@friendshipplace.org</t>
  </si>
  <si>
    <t>Jack Lavin</t>
  </si>
  <si>
    <t>Friendship Place (Veterans First)</t>
  </si>
  <si>
    <t>(771) 200-7099</t>
  </si>
  <si>
    <t>1205 Van St SE, Washington, DC</t>
  </si>
  <si>
    <t>Apt 1020</t>
  </si>
  <si>
    <t>(202) 306-0007</t>
  </si>
  <si>
    <t>Mr. Miller is living with heart failure and is going through the application process for Meals on Wheels.  Though Mr. Miller is frequently mobile, it is often difficult for him to obtain groceries due to financial concerns and physical concerns related to his disability.</t>
  </si>
  <si>
    <t>The main goal for Mr. Miller is to increase income via benefits and potentially employment.  He also has several regular costs which he has had difficulty paying, and I am working with him to address these and help him start saving.</t>
  </si>
  <si>
    <t>08/07/25 -DUPLICATE Scheduled until 09/11 + told to call back in September to continue</t>
  </si>
  <si>
    <t>(202) 842-0001</t>
  </si>
  <si>
    <t>901 H Street NE</t>
  </si>
  <si>
    <t xml:space="preserve">He walks with a cane he has a hip problem </t>
  </si>
  <si>
    <t>For him to get healthy food that he can eat. He has some food allergies to carrots, peas, and beans</t>
  </si>
  <si>
    <t>ID-2922</t>
  </si>
  <si>
    <t>3/20/2025 - Scheduled for 4/3</t>
  </si>
  <si>
    <t>brittney_venter@optum.com</t>
  </si>
  <si>
    <t>Brittney Venter</t>
  </si>
  <si>
    <t xml:space="preserve">United Health Care </t>
  </si>
  <si>
    <t>(202) 725-8097</t>
  </si>
  <si>
    <t>Laverne</t>
  </si>
  <si>
    <t>Webb</t>
  </si>
  <si>
    <t>2494 ALABAMA AVE APT 201 SE, WASHINGTON, DC, 20020</t>
  </si>
  <si>
    <t>(202) 308-8000</t>
  </si>
  <si>
    <t xml:space="preserve">Mbr is an EPFW receipent living with chronic health conditions </t>
  </si>
  <si>
    <t>For her health to be stable and improve</t>
  </si>
  <si>
    <t>ID-2923</t>
  </si>
  <si>
    <t xml:space="preserve">6/12/2025 - Set up deliveries for every 3 weeks until 08/29 </t>
  </si>
  <si>
    <t>Starling</t>
  </si>
  <si>
    <t>Browne</t>
  </si>
  <si>
    <t>2426 15TH Place South East 20020</t>
  </si>
  <si>
    <t>(202) 731-9915</t>
  </si>
  <si>
    <t xml:space="preserve">Mr Browne is a senior citizen and veteran currently experiencing some trauma and depressive disorders due to the loss of his child who he grieves. He is also currently awaiting a second leg surgery which make sit difficult for him to visit the grocery store often to stock up on food supplies. He will benefit from the food delivery runs from FFA. </t>
  </si>
  <si>
    <t>To ensure he readily have food supplies for the next 12 months to continue adopting his medications and live healthy</t>
  </si>
  <si>
    <t>ID-2924</t>
  </si>
  <si>
    <t>Scheduled 3/6 &amp; 4/6</t>
  </si>
  <si>
    <t>aorekoya@mbihs.com</t>
  </si>
  <si>
    <t>sade orekoya</t>
  </si>
  <si>
    <t>MBI permanent supportive housing</t>
  </si>
  <si>
    <t>(301) 728-9331</t>
  </si>
  <si>
    <t>lawrence</t>
  </si>
  <si>
    <t>berry</t>
  </si>
  <si>
    <t>77 hawaii avenue ne</t>
  </si>
  <si>
    <t>(202) 931-2857</t>
  </si>
  <si>
    <t>senior citizen, living with disability, poor physical health, wheelchair bound</t>
  </si>
  <si>
    <t xml:space="preserve">client is wheelchair bound with limited food stamps </t>
  </si>
  <si>
    <t>referral for home health aide service has been made for support with meeting needs</t>
  </si>
  <si>
    <t>ID-2925</t>
  </si>
  <si>
    <t>Scheduled 3/7 &amp; 4/4</t>
  </si>
  <si>
    <t xml:space="preserve">mbi permanent supportive housing </t>
  </si>
  <si>
    <t>Davall</t>
  </si>
  <si>
    <t xml:space="preserve">2140 L Street NW </t>
  </si>
  <si>
    <t>(301) 882-1094</t>
  </si>
  <si>
    <t>Mr Davall currently has mobility challenges due to bakers cyst in wrist and knee</t>
  </si>
  <si>
    <t>We are working with Mr Davall to find a PCP to discuss and be referred for orthopedic support / surgery recommendations</t>
  </si>
  <si>
    <t>ID-2926</t>
  </si>
  <si>
    <t>Department of Aging and Community Living</t>
  </si>
  <si>
    <t>(202) 258-8857</t>
  </si>
  <si>
    <t>Clay</t>
  </si>
  <si>
    <t>1164 Bladensburg Rd NE</t>
  </si>
  <si>
    <t>(202) 717-4918</t>
  </si>
  <si>
    <t>client is a disabled vet, difficult walking, and limited income, food insecurity reported</t>
  </si>
  <si>
    <t>client to receive assistance with medical concerns, and have the ability to access food more, client is being connected to SNAP and other resources</t>
  </si>
  <si>
    <t>ID-2927</t>
  </si>
  <si>
    <t>Scheduled for 3/27</t>
  </si>
  <si>
    <t>ahussein@friendshipplace.org</t>
  </si>
  <si>
    <t>Ashwaq Hussein</t>
  </si>
  <si>
    <t>Friendship Place</t>
  </si>
  <si>
    <t>(202) 848-2854</t>
  </si>
  <si>
    <t>Branden</t>
  </si>
  <si>
    <t>Garnett</t>
  </si>
  <si>
    <t>3440 Brown St NW, Washington, DC</t>
  </si>
  <si>
    <t xml:space="preserve">Apt 203 </t>
  </si>
  <si>
    <t>(202) 733-7069</t>
  </si>
  <si>
    <t>poor mental health, PTSD</t>
  </si>
  <si>
    <t xml:space="preserve">vet suffers from extreme PTSD, and it is very hard for him to leave his house. </t>
  </si>
  <si>
    <t xml:space="preserve">Vet is matched to a voucher with case management. Once his voucher kicks in, he will be able to receive more support through the case manager and the outreach team that comes with such support. This will also allow him to reach their housing stability goal and could elevate some of the stressors of other parts of his life. </t>
  </si>
  <si>
    <t>Scheduled 3/27</t>
  </si>
  <si>
    <t>(240) 408-1069</t>
  </si>
  <si>
    <t>2107 H street NE</t>
  </si>
  <si>
    <t>(202) 451-1504</t>
  </si>
  <si>
    <t>David smith is receiving mental health services from District healthcare services where he was diagnosed with generalized anxiety disorder,this condition has had a significant impact on his ability to maintain steady employment and secure a reliable income making it challenging for him to consistently afford nutritious meals.</t>
  </si>
  <si>
    <t>I want David smith to have access to nutritious meals which would in turn help him manage his symptoms and improve his overall quality of life.</t>
  </si>
  <si>
    <t>ID-2929</t>
  </si>
  <si>
    <t>Garret Williams</t>
  </si>
  <si>
    <t>07/17/25 - Scheduled until 09/26/25 + told to call back to continue</t>
  </si>
  <si>
    <t>Garrett</t>
  </si>
  <si>
    <t>2302 Hartford street ,</t>
  </si>
  <si>
    <t>(202) 889-8707</t>
  </si>
  <si>
    <t>55 - 59</t>
  </si>
  <si>
    <t>Garrett Williams is receiving mental health services with District health care Services, he was diagnosed with bipolar and generalized anxiety which makes it very challenging for him to perform tasksconsistently, leading to difficulties in securing and maintaining employment.</t>
  </si>
  <si>
    <t>I want Garrett Williams to have continous food supply to maintain his health and well-being.</t>
  </si>
  <si>
    <t>ID-1619</t>
  </si>
  <si>
    <t>‪(202) 910-4936‬</t>
  </si>
  <si>
    <t xml:space="preserve">Ashleigh </t>
  </si>
  <si>
    <t xml:space="preserve">Palmer </t>
  </si>
  <si>
    <t xml:space="preserve">2844 Hartford street </t>
  </si>
  <si>
    <t>(202) 867-1481</t>
  </si>
  <si>
    <t>Ashleigh Palmer is receiving mental health services from District health care services , she is a single mother of three(3) kids and having access to nutritious meals would inturn help her manage her insomnia and anxiety disorder.</t>
  </si>
  <si>
    <t>My goal for Ashleigh Palmer to have have nutritious meals for herself and her kids.</t>
  </si>
  <si>
    <t>ID-0087</t>
  </si>
  <si>
    <t>09/4/25 - Scheduled until 11/14/25 + told to call back in November to continue</t>
  </si>
  <si>
    <t xml:space="preserve">District healthcare services </t>
  </si>
  <si>
    <t>Nakita</t>
  </si>
  <si>
    <t>Baylor</t>
  </si>
  <si>
    <t>44 Galveston street</t>
  </si>
  <si>
    <t>(202) 489-8580</t>
  </si>
  <si>
    <t>Nakita Baylor is receiving mental health services with District Healthcare services , Nakita is currently battling with colon cancer, depression and anxiety which significantly impacts her ability to maintain a stable employment. Based on her medical condition and financial circumstances, Nakita Baylor who is a struggling single mom with four kids with three of them being autistic meets the criteria for the food for all DC program and would greatly benefit from the assitance it provides.</t>
  </si>
  <si>
    <t>The goal is to support Nakita with access to nutritious meals for herself and her children in other to be able to manage her symtoms and ease the financial burden on her thereby improving her overall quality of life.</t>
  </si>
  <si>
    <t>ID-2930</t>
  </si>
  <si>
    <t>Scheduled 3/28</t>
  </si>
  <si>
    <t>brittany.hopkins@newlivinghealthcare.com</t>
  </si>
  <si>
    <t>Brittany Hopkins</t>
  </si>
  <si>
    <t>New Living Healthcare</t>
  </si>
  <si>
    <t>(202) 550-8800</t>
  </si>
  <si>
    <t>Marquita</t>
  </si>
  <si>
    <t>Coleman-Scales</t>
  </si>
  <si>
    <t>4614 Livingston Rd SE</t>
  </si>
  <si>
    <t>(301) 357-2494</t>
  </si>
  <si>
    <t xml:space="preserve">Client struggles with Bipolar Disorder and Panic Disorder. The client was in a coma that affected her mobility to be able to move around. </t>
  </si>
  <si>
    <t xml:space="preserve">I hope to be able to get assistance with food delivery. We will be working on getting her a home health aide that would hopefully be able to assist with her groceries as well. </t>
  </si>
  <si>
    <t>ID-2931</t>
  </si>
  <si>
    <t>(202) 984-1855</t>
  </si>
  <si>
    <t>Denise</t>
  </si>
  <si>
    <t xml:space="preserve">3533 18th Street </t>
  </si>
  <si>
    <t>(301) 388-6011</t>
  </si>
  <si>
    <t>senior citizen, poor mental health</t>
  </si>
  <si>
    <t>has severe knee arthritis and is not able to travel/stand at pantries. SNAP benefits have been decreased to $59 monthly.</t>
  </si>
  <si>
    <t>Pt encouraged to reach out to family and friends for support with travel to pantries/distribution centers for food resources.</t>
  </si>
  <si>
    <t>ID-2932</t>
  </si>
  <si>
    <t>Added to the database scheduled until 3/21</t>
  </si>
  <si>
    <t xml:space="preserve">Mary's Center </t>
  </si>
  <si>
    <t>(202) 985-9505</t>
  </si>
  <si>
    <t>Jojan</t>
  </si>
  <si>
    <t>Aldonate</t>
  </si>
  <si>
    <t>5310 E St SE Washington, DC</t>
  </si>
  <si>
    <t>(202) 840-5243</t>
  </si>
  <si>
    <t xml:space="preserve">poor mental health, poor physical health, Father was physically assaulted in a robbery. His vehicle was stolen and he does not feel safe leaving his own home. Father requested assistance while he recovers from his injuries and seeks mental health for the traumatic experience. </t>
  </si>
  <si>
    <t xml:space="preserve">Father was physically assaulted in a robbery. His vehicle was stolen, and he does not feel safe leaving his own home. Father requested assistance while he recovers from his injuries and seeks mental health for the traumatic experience. Family has a 1 year old and the daycare is currently requesting the parents to provide food, but the parents are unable to provide food. </t>
  </si>
  <si>
    <t xml:space="preserve">For my client to receive support during this difficult time that he is going through, as it has affected him not only physically but mentally traumatized him. My client and his family would benefit from food delivery as their vehicle was stolen and they are financially unable to purchase food at the grocery store.  </t>
  </si>
  <si>
    <t>ID-2933</t>
  </si>
  <si>
    <t>Scheduled  3/27/25</t>
  </si>
  <si>
    <t>Lynette.Anderson@ccdc1.org</t>
  </si>
  <si>
    <t>Lynette Anderson</t>
  </si>
  <si>
    <t xml:space="preserve">Community Connections </t>
  </si>
  <si>
    <t>(240) 366-5561</t>
  </si>
  <si>
    <t xml:space="preserve">John </t>
  </si>
  <si>
    <t>Roberts</t>
  </si>
  <si>
    <t>7019 Georgia Ave NW</t>
  </si>
  <si>
    <t>108A</t>
  </si>
  <si>
    <t>(202) 655-9716</t>
  </si>
  <si>
    <t xml:space="preserve">COPD, arthritis in back, legs, cannot walk for extended period of time </t>
  </si>
  <si>
    <t xml:space="preserve">Working to manage health. possible HHA and maintaining medical appointments. </t>
  </si>
  <si>
    <t>ID-2934</t>
  </si>
  <si>
    <t xml:space="preserve">Scheduled 3/27/25 </t>
  </si>
  <si>
    <t>(202) 877-0546</t>
  </si>
  <si>
    <t xml:space="preserve">Gloria </t>
  </si>
  <si>
    <t>1400 Irving St, NW</t>
  </si>
  <si>
    <t>(202) 299-8992</t>
  </si>
  <si>
    <t>Parkinson's related neurological issues (gait, cognition). Diabetes and CKD. 70 years old.</t>
  </si>
  <si>
    <t>Working on getting her a HHA to assist with shopping and preparing meals. Possibly meals-on-wheels.</t>
  </si>
  <si>
    <t>ID-2935</t>
  </si>
  <si>
    <t>3/20/2025 - Scheduled for 3/20/25</t>
  </si>
  <si>
    <t>(703) 622-4125</t>
  </si>
  <si>
    <t>LUCILLE</t>
  </si>
  <si>
    <t>TILLMAN</t>
  </si>
  <si>
    <t xml:space="preserve">914 VARNEY ST </t>
  </si>
  <si>
    <t>(202) 413-5159</t>
  </si>
  <si>
    <t xml:space="preserve">Has Diabetes </t>
  </si>
  <si>
    <t xml:space="preserve">A1C to lower over the length of the referral </t>
  </si>
  <si>
    <t>ID-2938</t>
  </si>
  <si>
    <t xml:space="preserve"> Scheduled 3/21/25 &amp; 4/11/25</t>
  </si>
  <si>
    <t>Luther</t>
  </si>
  <si>
    <t>Bullock</t>
  </si>
  <si>
    <t xml:space="preserve">46 R street NE </t>
  </si>
  <si>
    <t>#B</t>
  </si>
  <si>
    <t>(202) 850-9858</t>
  </si>
  <si>
    <t xml:space="preserve">Need knee replacement, previous stroke, hip replacement, blood clot, high blood pressure, walks with cane </t>
  </si>
  <si>
    <t xml:space="preserve">Continue to see PCP and possible physical therapy after surgery. </t>
  </si>
  <si>
    <t>ID-2939</t>
  </si>
  <si>
    <t>Added to the database 1/27 - Scheduled 3/6/25 &amp; 4/4/25</t>
  </si>
  <si>
    <t>rachelleellison74@gmail.com</t>
  </si>
  <si>
    <t xml:space="preserve">Rachelle Ellison </t>
  </si>
  <si>
    <t xml:space="preserve">People for Fairness coalition </t>
  </si>
  <si>
    <t>(202) 597-3236</t>
  </si>
  <si>
    <t xml:space="preserve">Melvin </t>
  </si>
  <si>
    <t>Brown</t>
  </si>
  <si>
    <t xml:space="preserve">1444 Rhode Island Ave Nw </t>
  </si>
  <si>
    <t>(202) 352-1067</t>
  </si>
  <si>
    <t xml:space="preserve">Client has diabetes and Glaucoma and high blood pressure and blood clots </t>
  </si>
  <si>
    <t xml:space="preserve">To eat healthy and not die from chronic illnesses </t>
  </si>
  <si>
    <t>ID-2940</t>
  </si>
  <si>
    <t>07/31/2025 - Scheduled until 09/26/25 + told to call back in September to continue</t>
  </si>
  <si>
    <t>indiaford@myprestigehealth.com</t>
  </si>
  <si>
    <t>India Ford</t>
  </si>
  <si>
    <t>Prestige Healthcare Resources</t>
  </si>
  <si>
    <t>(202) 210-8904</t>
  </si>
  <si>
    <t>Deborah</t>
  </si>
  <si>
    <t>Simms</t>
  </si>
  <si>
    <t xml:space="preserve">900 G Street </t>
  </si>
  <si>
    <t>(202) 910-6158</t>
  </si>
  <si>
    <t xml:space="preserve">Ms. Simms has chronic pain and is unable to leave the house most days due to pain and limited mobility. She receives case management services via the Elderly Persons with Disabilities Waiver. </t>
  </si>
  <si>
    <t>I will continue utilizing her Medicaid Waiver services and support to meet her daily care needs in her home and community, 8 hours per day – 7 days per week throughout this (12) month.
She will receive assistance from my PCA in going for daily walks, which will boost her physical activity level. For the duration of this (12) month, Ms. Simms will go for a daily walk outside for ten minutes (or longer if she is physically able), weather permitting.</t>
  </si>
  <si>
    <t>ID-2943</t>
  </si>
  <si>
    <t>terrance.tillison@miriamskitchen.org</t>
  </si>
  <si>
    <t>Terrance Tillison</t>
  </si>
  <si>
    <t>Miriam's Kitchen</t>
  </si>
  <si>
    <t>(202) 430-0554</t>
  </si>
  <si>
    <t xml:space="preserve">Paul </t>
  </si>
  <si>
    <t>1884 Columbia RD</t>
  </si>
  <si>
    <t>(202) 525-8119</t>
  </si>
  <si>
    <t>Mr. Copeland is diagnosed manic depression and has arthritis in 75 percent of his body</t>
  </si>
  <si>
    <t xml:space="preserve">Mr. Copeland wants to learn to budget his money in order to afford food. </t>
  </si>
  <si>
    <t>ID-2945</t>
  </si>
  <si>
    <t>donna.hines@cc-dc.org</t>
  </si>
  <si>
    <t>Donna Hines</t>
  </si>
  <si>
    <t>Anchor mental health</t>
  </si>
  <si>
    <t>(202) 706-0554</t>
  </si>
  <si>
    <t>Sharon</t>
  </si>
  <si>
    <t>Mason</t>
  </si>
  <si>
    <t>1400 Florida Avenue NE</t>
  </si>
  <si>
    <t>(202) 571-0431</t>
  </si>
  <si>
    <t>poor mental health, living with disability, visually impaired</t>
  </si>
  <si>
    <t>Mrs. Mason is unable to shop for herself. She has had multiple eye surgeries, and her vision is limited</t>
  </si>
  <si>
    <t>The goal is to have cataracts and glaucoma removed within the next 3 months and hopefully she'll be able to leave the house and shop on her own</t>
  </si>
  <si>
    <t>ID-2946</t>
  </si>
  <si>
    <t>2/11/25 - Added to database, scheduled for 2/13, 3/13 &amp; 4,/10</t>
  </si>
  <si>
    <t>oakinsiku@districthealthcareservices.comm</t>
  </si>
  <si>
    <t>District Healthcareservices</t>
  </si>
  <si>
    <t>Yolanda</t>
  </si>
  <si>
    <t>Penny</t>
  </si>
  <si>
    <t xml:space="preserve">1338 R street </t>
  </si>
  <si>
    <t>(240) 784-7798</t>
  </si>
  <si>
    <t>senior citizen, living with disability, Visual impairment</t>
  </si>
  <si>
    <t xml:space="preserve">Yolanda is currently receiving mental health services and advocacy at District Health Care Services. She is visually impaired which makes it difficult to go grocery shipping and would need help with your kind services to ensure she has nutirious meals at her disposal. </t>
  </si>
  <si>
    <t xml:space="preserve">i AM HOPEFUL SHE WILL BE RECEIVING THIS FOOD SERVICES FOR 12 MONTHS AS REQUESTED  TO ENSURE NUTRITIOUS LIVING AS SHE CURRENTLY ONLY HAS BEEN FEEDING FRUITS. </t>
  </si>
  <si>
    <t>ID-2947</t>
  </si>
  <si>
    <t>2/11/25 - Added to database, scheduled for 2/14, 3/14 &amp; 4,/11</t>
  </si>
  <si>
    <t>linda.d.maxwell@medstar.net</t>
  </si>
  <si>
    <t>Linda Maxwell</t>
  </si>
  <si>
    <t>MedStar Family Choice</t>
  </si>
  <si>
    <t>(202) 545-4480</t>
  </si>
  <si>
    <t>Sondra</t>
  </si>
  <si>
    <t>Battle</t>
  </si>
  <si>
    <t xml:space="preserve"> 329 Anacostia Rd SE</t>
  </si>
  <si>
    <t>Apt L-21</t>
  </si>
  <si>
    <t>(202) 713-4638</t>
  </si>
  <si>
    <t xml:space="preserve">Sees therapist regarding depression and trauma. Has never been hospitalized; Disability - chronic pain, back injuries (Degenerative disc disease, Lumbar spondylosis, Osteoarthritis of right hip) Has had multiple PT sessions and injections. Is seen by Dr. in Physical Medicine and Rehab
</t>
  </si>
  <si>
    <t>Will lessen her stress because she will have more food security for her and her family. It will also assist her in losing weight and lowering her a1c - which was 6.0</t>
  </si>
  <si>
    <t>ID-2948</t>
  </si>
  <si>
    <t>Jacqueline Clark</t>
  </si>
  <si>
    <t>6/20/25 - Scheduled until end of August, switched to once a month (not happy), told to call in August to continuee</t>
  </si>
  <si>
    <t>kim@ounceofcare.com</t>
  </si>
  <si>
    <t>Kim Johnson</t>
  </si>
  <si>
    <t>Ounce of Care</t>
  </si>
  <si>
    <t>(540) 479-0687</t>
  </si>
  <si>
    <t>Clark</t>
  </si>
  <si>
    <t>2418 17th St. NW</t>
  </si>
  <si>
    <t>(202) 421-7325</t>
  </si>
  <si>
    <t xml:space="preserve">Bed ridden and chronic health concerns </t>
  </si>
  <si>
    <t>Neuropathy and obesity. Ms. Clark cannot walk and has limited upper body strength.</t>
  </si>
  <si>
    <t>My client was recently discharged from a rehab facility and she cannot walk at all and can only stand with assistance. She has been provided exercises she can on the side of her bed and we are aiming to improve upper body strength and getting her to a point where she can stand unassisted.</t>
  </si>
  <si>
    <t>ID-2949</t>
  </si>
  <si>
    <t>8/23/25 - Peter - LVM</t>
  </si>
  <si>
    <t>sade.orekoya@innercityfamilyservices.com</t>
  </si>
  <si>
    <t xml:space="preserve">INNER CITY FAMILY SERVICES </t>
  </si>
  <si>
    <t>cynthia</t>
  </si>
  <si>
    <t>crawford</t>
  </si>
  <si>
    <t xml:space="preserve">599 50th Street NE </t>
  </si>
  <si>
    <t>(240) 305-9190</t>
  </si>
  <si>
    <t>hearing and visually impaired. has high blood pressure and diabetes</t>
  </si>
  <si>
    <t xml:space="preserve">over the next 120 days, the treatment team will work with Ms. Crawford and her PCP to coordinate referral and engagement with nutritionist, increase daily exercise and improve A1-C </t>
  </si>
  <si>
    <t>ID-2950</t>
  </si>
  <si>
    <t>2/11/25 - Nathalie - Scheduled 2/21, 3/21, &amp; 4/18</t>
  </si>
  <si>
    <t>inner city family services</t>
  </si>
  <si>
    <t>donnice</t>
  </si>
  <si>
    <t>tyler</t>
  </si>
  <si>
    <t xml:space="preserve">4400 hunt place ne </t>
  </si>
  <si>
    <t>‪(202) 351-7161‬</t>
  </si>
  <si>
    <t xml:space="preserve">Ms. Tyler does not have income </t>
  </si>
  <si>
    <t xml:space="preserve">Over the next 90 days, the treatment team will continue to assist Ms tyler with applying for and receiving benefits such as RETIREMENT and SENIOR CITIZEN WIC BENEFITS </t>
  </si>
  <si>
    <t>ID-2951</t>
  </si>
  <si>
    <t xml:space="preserve">
2/11/25 - Scheduled 2/14 and 3/14</t>
  </si>
  <si>
    <t>Jen.R@volare-empowers.org</t>
  </si>
  <si>
    <t>Volare (formerly Network for Victim Recovery of DC)</t>
  </si>
  <si>
    <t>(202) 985-3455</t>
  </si>
  <si>
    <t>Norma</t>
  </si>
  <si>
    <t>Mancia De Peralta</t>
  </si>
  <si>
    <t>4341 1st Street, NE</t>
  </si>
  <si>
    <t>(202) 300-4405</t>
  </si>
  <si>
    <t xml:space="preserve">Client is reluctant to leave the house due to injuries sustained from the abuser. </t>
  </si>
  <si>
    <t>I want to provide the client with groceries so that she can sustain herself as she gets back on her feet. She relies completely on the financial support of her son. I would like to provide her with job resources and ways in which she can sustain herself on her own in the long term.</t>
  </si>
  <si>
    <t>ID-2952</t>
  </si>
  <si>
    <t>shayna.frost@medstar.net</t>
  </si>
  <si>
    <t>Shayna Frost</t>
  </si>
  <si>
    <t>MedStar Diabetes Bootcamp</t>
  </si>
  <si>
    <t>(202) 875-3601</t>
  </si>
  <si>
    <t>Luis</t>
  </si>
  <si>
    <t>Cambero</t>
  </si>
  <si>
    <t>2225 Hall Place NW</t>
  </si>
  <si>
    <t>(202) 400-1115</t>
  </si>
  <si>
    <t>living with T1DM, history of DKA, epilepsy, autism disability and had a concussion over the summer- difficulty ambulating, transferring, exhibits poor judgment and making decisions since</t>
  </si>
  <si>
    <t xml:space="preserve">Would like A1C to be &lt;7% after 6 months of receiving meals. </t>
  </si>
  <si>
    <t>ID-2953</t>
  </si>
  <si>
    <t>5/22/25 - Scheduled until 7/24/25 + told to call back end of July to continue</t>
  </si>
  <si>
    <t>ngalloway-csw@onecaredc.com</t>
  </si>
  <si>
    <t>Nikkitta Galloway</t>
  </si>
  <si>
    <t>OneCare DC</t>
  </si>
  <si>
    <t>(240) 468-1950</t>
  </si>
  <si>
    <t>Charlotte</t>
  </si>
  <si>
    <t>Baker</t>
  </si>
  <si>
    <t xml:space="preserve">331 N Street, Northeast </t>
  </si>
  <si>
    <t>(240) 427-2133</t>
  </si>
  <si>
    <t xml:space="preserve">Client has had 4 stents put into her heart due a heart attack that prevents her from walking long distances.  Client also has a severe learning disability and is unable to read or write. </t>
  </si>
  <si>
    <t xml:space="preserve">This worker will continue to provide other food resources and work on budgeting plans and better food options. </t>
  </si>
  <si>
    <t>ID-2955</t>
  </si>
  <si>
    <t>07/17/25 - Scheduled until 09/12/25 + told to call back in August to continue</t>
  </si>
  <si>
    <t>mbi health services</t>
  </si>
  <si>
    <t>keith</t>
  </si>
  <si>
    <t>williams</t>
  </si>
  <si>
    <t>331 n street ne</t>
  </si>
  <si>
    <t>(771) 474-8715</t>
  </si>
  <si>
    <t xml:space="preserve">Mr Williams does not eat any pork products. he is muslim and has 3 children including a 14 month old infant.  He is currently in a program for employment and recently experienced the untimely death of his brother and is grieving.   He is asking for support for 2 months. right now, he is out of food stamps </t>
  </si>
  <si>
    <t xml:space="preserve">Over the next 90 days, the treatment team and DOES will continue to work with Mr  Williams to obtain employment </t>
  </si>
  <si>
    <t>ID-3110</t>
  </si>
  <si>
    <t>2/11/25 - Nathalie - Spoke to his case manager and setup for 2x a month of deliveries until end of March</t>
  </si>
  <si>
    <t>mbi</t>
  </si>
  <si>
    <t>dean</t>
  </si>
  <si>
    <t xml:space="preserve">clark </t>
  </si>
  <si>
    <t>1900 C street se</t>
  </si>
  <si>
    <t>(202) 306-3489</t>
  </si>
  <si>
    <t xml:space="preserve">Mr Clark recently lost his son and is grieving. He suffers from diabetes and high blood pressure and is extremely depressed. He is on a diabetic diet and we have referred him to Office on Aging for additional case management and support </t>
  </si>
  <si>
    <t xml:space="preserve">Over the next 90 days, Mr. Clark will be supported with additional case management with the Office on Aging for housekeeping, assignment of a home health aide, budgeting, and mental health services. </t>
  </si>
  <si>
    <t>ID-2956</t>
  </si>
  <si>
    <t>2/11/25 - Added to database, scheduled for 2/13, 3/13, &amp; 4/10</t>
  </si>
  <si>
    <t>stephanie.scates@va.gov</t>
  </si>
  <si>
    <t xml:space="preserve">Stephanie Scates </t>
  </si>
  <si>
    <t>(202) 967-6335</t>
  </si>
  <si>
    <t>Arthur</t>
  </si>
  <si>
    <t>Shade</t>
  </si>
  <si>
    <t>1331 4th Street SE</t>
  </si>
  <si>
    <t>(202) 300-4102</t>
  </si>
  <si>
    <t xml:space="preserve">poor mental health, living with disability, poor physical health, PTSD &amp; chronic physical illnesses </t>
  </si>
  <si>
    <t>I am the veteran’s housing case manager. He is formerly homeless. He cannot work due to psychological and chronic pain.</t>
  </si>
  <si>
    <t>School graduation under the GI Bill</t>
  </si>
  <si>
    <t>ID-3112</t>
  </si>
  <si>
    <t>ben.hite@gmail.com</t>
  </si>
  <si>
    <t>(202) 984-1777</t>
  </si>
  <si>
    <t>St John</t>
  </si>
  <si>
    <t>TONYA</t>
  </si>
  <si>
    <t>138 IVANHOE ST SW</t>
  </si>
  <si>
    <t>APT 201</t>
  </si>
  <si>
    <t>(202) 569-1444</t>
  </si>
  <si>
    <t xml:space="preserve">Patient has COPD, Chronic pain, Lumbar spondylosis, Diabetes, Hypertension, Arthritis, Asthma </t>
  </si>
  <si>
    <t xml:space="preserve">A1C levels and bp to go down over the next 12 months of this program. Healthier diet. </t>
  </si>
  <si>
    <t>ID-2958</t>
  </si>
  <si>
    <t xml:space="preserve">Priscilla George </t>
  </si>
  <si>
    <t>(202) 460-2675</t>
  </si>
  <si>
    <t>Tiandre</t>
  </si>
  <si>
    <t>Osborne</t>
  </si>
  <si>
    <t>1221 Van St. SE</t>
  </si>
  <si>
    <t>(202) 431-9519</t>
  </si>
  <si>
    <t>Client has limited mobility due to hip replacement</t>
  </si>
  <si>
    <t>I would like for my client to regain her physical strength and independence.</t>
  </si>
  <si>
    <t>ID-2959</t>
  </si>
  <si>
    <t>2/10/25 - Added to database, scheduled fpr 2/21, 3/20</t>
  </si>
  <si>
    <t>nenkimwa_goshit@optum.com</t>
  </si>
  <si>
    <t>Nenkimwa Goshit</t>
  </si>
  <si>
    <t>(771) 217-2332</t>
  </si>
  <si>
    <t>Janet</t>
  </si>
  <si>
    <t>900 G STREET</t>
  </si>
  <si>
    <t>(240) 351-1489</t>
  </si>
  <si>
    <t xml:space="preserve">Ms. Janet uses a rollator for mobility due to chronic pain, she has diagnoses of depression, diabetes, high blood pressure, arthritis, and Asthma. She has paid caregiver in the home who supports her with ADLs and IADLs due to her diagnosis. </t>
  </si>
  <si>
    <t>She will follow up with diet recommendation with PCP over the period of 12 months, and she will budget grocery based on her dietary needs.</t>
  </si>
  <si>
    <t>ID-2960</t>
  </si>
  <si>
    <t>3/20/2025 - Scheduled for 3/28 and 4/18</t>
  </si>
  <si>
    <t>hannah.haberer@nmss.org</t>
  </si>
  <si>
    <t>Hannah Haberer</t>
  </si>
  <si>
    <t>National MS Society</t>
  </si>
  <si>
    <t>(800) 344-4867</t>
  </si>
  <si>
    <t>Stephanie</t>
  </si>
  <si>
    <t xml:space="preserve">3025 Georgia Ave NW </t>
  </si>
  <si>
    <t>Unit 202</t>
  </si>
  <si>
    <t>(202) 527-5852</t>
  </si>
  <si>
    <t xml:space="preserve">Multiple Sclerosis, Stephanie isn't able to use transportation because of her health conerns. She has symptoms that make her appear more vulnerable so she is worried about safety. She has mobility issues and frequent falls. She only knows one person who can support her and they are busy frequently. She typically buys groceries and has them delivered but doesn't qualify for food stamps and frequently can't afford food. She has looked into food banks but hasn't been able to get them due to her transportation barriers. She isn't able to really leave her home without assistance but she can prepare meals on her own. </t>
  </si>
  <si>
    <t>Address transportation barriers, connect to more sustainable community support options for assistance, address barriers to obtaining assistance</t>
  </si>
  <si>
    <t>ID-2963</t>
  </si>
  <si>
    <t>2/17/25 - Added to database, , scheduled for 2/21, 3/21, &amp; 4/17</t>
  </si>
  <si>
    <t>(202) 350-0938</t>
  </si>
  <si>
    <t xml:space="preserve">STEPHANIE </t>
  </si>
  <si>
    <t xml:space="preserve">ELLERBEE </t>
  </si>
  <si>
    <t>4506 GEORGIA AVE NW Washington DC</t>
  </si>
  <si>
    <t>Apt 105</t>
  </si>
  <si>
    <t>(202) 601-5063</t>
  </si>
  <si>
    <t>30 - 39</t>
  </si>
  <si>
    <t>The client struggles with mental health conditions such as depression and anxiety, which impact their ability to maintain access to a stable diet.</t>
  </si>
  <si>
    <t>The client will receive and utilize food deliveries at least once a month to ensure consistent access to balanced meals.</t>
  </si>
  <si>
    <t>ID-0001</t>
  </si>
  <si>
    <t>2/17/25 - Added to database, scheduled for 2/21, 3/21, &amp; 4/18</t>
  </si>
  <si>
    <t>arobinson@kbecgroup.com</t>
  </si>
  <si>
    <t>Aline Robinson</t>
  </si>
  <si>
    <t>KBEC Group Inc</t>
  </si>
  <si>
    <t>(771) 233-2684</t>
  </si>
  <si>
    <t xml:space="preserve">Champagne </t>
  </si>
  <si>
    <t>Rhodes</t>
  </si>
  <si>
    <t xml:space="preserve">3098 Stanton Road, SE  </t>
  </si>
  <si>
    <t xml:space="preserve">Unit 1A	</t>
  </si>
  <si>
    <t>(202) 892-0765‬</t>
  </si>
  <si>
    <t>Client is an unemployed single mother of 4. (ages 1,3,9,11).</t>
  </si>
  <si>
    <t>My client is single mother of 4 children with very minimal support from family and is wanting to improve quality of life for children and self through employment and exploring education programs. Client often runs low on food and tries to feed her children fresh food and being a low income family, it is a constant challenge.</t>
  </si>
  <si>
    <t>The client is completing 5 or more applications ea. wk to secure employment and just submitted a daycare voucher application to address her current barriers to employment.</t>
  </si>
  <si>
    <t>ID-2964</t>
  </si>
  <si>
    <t>2/17/25 - Added to database, scheduled for 2/28, 3/21, &amp; 4/18</t>
  </si>
  <si>
    <t>James@nvrdc.org</t>
  </si>
  <si>
    <t>James Wiggleton</t>
  </si>
  <si>
    <t>Volare(Formally known as NVRDC)</t>
  </si>
  <si>
    <t>(202) 948-4703</t>
  </si>
  <si>
    <t>Sidney</t>
  </si>
  <si>
    <t>Robertson</t>
  </si>
  <si>
    <t>1010 Park Road</t>
  </si>
  <si>
    <t>House</t>
  </si>
  <si>
    <t>(202) 409-9541</t>
  </si>
  <si>
    <t>50 - 54</t>
  </si>
  <si>
    <t xml:space="preserve">Client experience DV from previous intimate partner. Client was ultimately displace for several months as a result of the DV abuse incident. Client has recent obtain private residence, after being subjected to Transitional Hostel shelters and Temporary Housing placement by Crime Victims Compensation. Client recently obtain residence within the last 2 months, and has been hardship with obtaining food. Client is on disability fixed income. </t>
  </si>
  <si>
    <t xml:space="preserve">Client is connected to several core community agencies, Martha Table, Miriam's kitchen, as well as Housing Counseling services. </t>
  </si>
  <si>
    <t>ID-2965</t>
  </si>
  <si>
    <t xml:space="preserve">Better Morning Inc. </t>
  </si>
  <si>
    <t>(571) 419-1331</t>
  </si>
  <si>
    <t>Suncerera</t>
  </si>
  <si>
    <t>Neal</t>
  </si>
  <si>
    <t xml:space="preserve">326 Delafield PL </t>
  </si>
  <si>
    <t>Unit #3</t>
  </si>
  <si>
    <t>(202) 389-9427</t>
  </si>
  <si>
    <t>65 - 74</t>
  </si>
  <si>
    <t xml:space="preserve">Ms. Neal has difficulty maintaining daily tasks and if her home health aid does not show up, she often does not eat for that day. </t>
  </si>
  <si>
    <t xml:space="preserve">Through this referral to Food For All DC, the measurable goals for my client are as follows:
Improve Food Security: Ensure the client receives consistent, nutritious food deliveries on a monthly basis over the next 3 months, reducing food insecurity and meeting their essential needs.
Enhance Stability: Support the client in maintaining their household budget by alleviating grocery expenses, enabling them to allocate limited resources toward other essential needs (medical expenses) within the next 3 months.
Promote Well-Being: Monitor improvements in the client's overall well-being by assessing their access to regular meals and reduced stress related to food access during the service period.
</t>
  </si>
  <si>
    <t>ID-3124</t>
  </si>
  <si>
    <t>2/25/25 - Added to database, scheduled for 2/27, 3/21, &amp; 4/18</t>
  </si>
  <si>
    <t>kelsie@dc127.org</t>
  </si>
  <si>
    <t>Kelsie Johnson</t>
  </si>
  <si>
    <t>DC127</t>
  </si>
  <si>
    <t>(202) 670-1145</t>
  </si>
  <si>
    <t>Hawa</t>
  </si>
  <si>
    <t>Mansaray</t>
  </si>
  <si>
    <t xml:space="preserve">1717 2nd St NW, Washington, DC </t>
  </si>
  <si>
    <t>Apt. B</t>
  </si>
  <si>
    <t>(202) 676-6264</t>
  </si>
  <si>
    <t>poor mental health, poor physical health, Immigrant and survivor of domestic violence (both intimate and family)</t>
  </si>
  <si>
    <t xml:space="preserve"> Single mother of a 5 and 11 year old. Her food benefits are inconsistent and she needs regular food support to help care for her family. Needs food security and stability as this will help ensure her kids stay in her care and not in foster care.</t>
  </si>
  <si>
    <t>Consistent food support will free the parent up to be able to focus on her mental and physical health as well as relocate their family to a safe housing (need to move) and be able to find a job.</t>
  </si>
  <si>
    <t>ID-0520</t>
  </si>
  <si>
    <t>2/25/25 - Added to database, scheduled for 2/27, 3/27, &amp; 4/18</t>
  </si>
  <si>
    <t>sarah.c@volare-empowers.org</t>
  </si>
  <si>
    <t>Sarah Conway</t>
  </si>
  <si>
    <t>Volare (formally Network for Victim Recovery DC)</t>
  </si>
  <si>
    <t>(202) 948-4785</t>
  </si>
  <si>
    <t xml:space="preserve">Sabrina </t>
  </si>
  <si>
    <t>DeVine</t>
  </si>
  <si>
    <t xml:space="preserve">535 49th Place </t>
  </si>
  <si>
    <t>(771) 216-2888</t>
  </si>
  <si>
    <t>40 - 49</t>
  </si>
  <si>
    <t xml:space="preserve">Ms. DeVine would greatly benefit from FFA services due to her physical health and disability. Her diabetes and amnesia make it difficult for her to leave the home to complete activities of daily living due to the toll they take on her energy levels each day. Additionally, her mental health symptoms are barriers in accessing community resources within the general community on a consistent basis. She is a high fall risk due to her physical health and has disability status under the government. </t>
  </si>
  <si>
    <t xml:space="preserve">Over the next year, identify benefits of social services in increasing food security, identify further social support to connect to community resources and increase access to food security. </t>
  </si>
  <si>
    <t>ID-2970</t>
  </si>
  <si>
    <t>08/07/2025 - Scheduled until 09/12 + told to call back in September to continue</t>
  </si>
  <si>
    <t>(202) 221-0533</t>
  </si>
  <si>
    <t>Vessels</t>
  </si>
  <si>
    <t xml:space="preserve">120 45th Street  NE </t>
  </si>
  <si>
    <t>(202) 212-9484</t>
  </si>
  <si>
    <t>60 - 64</t>
  </si>
  <si>
    <t>client immune system is severely compromised, client struggles with battling against disease,  autoimmune disorder, chronic bilateral low back pain, and fall risk.</t>
  </si>
  <si>
    <t>to be able to eliminate frequent hospitalization related to common food allergens within 6 to 9 months</t>
  </si>
  <si>
    <t>ID-2971</t>
  </si>
  <si>
    <t>2/25/25 - Added to database,  scheduled for 2/27, 3/27, &amp; 4/18</t>
  </si>
  <si>
    <t>United Healthcare</t>
  </si>
  <si>
    <t xml:space="preserve">Patrice </t>
  </si>
  <si>
    <t>122 36TH STREET NE,</t>
  </si>
  <si>
    <t>(202) 470-7661</t>
  </si>
  <si>
    <t>Ms. Patrice is elderly with disability. She uses wheelchair for mobility. She has heart disease which affects breathing, She also rely on others for support to complete Activities of daily living.</t>
  </si>
  <si>
    <t>She will continue to follow up with her medical providers and follow recommendation to improve health and well-being.</t>
  </si>
  <si>
    <t>ID-2972</t>
  </si>
  <si>
    <t>2/25/25 - Added to database, scheduled for deliveries</t>
  </si>
  <si>
    <t>samuelkoroma@myprestigehealth.com</t>
  </si>
  <si>
    <t>Samuel Koroma</t>
  </si>
  <si>
    <t>Prestige Healthcare Resources, Inc.</t>
  </si>
  <si>
    <t>(202) 808-1440</t>
  </si>
  <si>
    <t>RENEE</t>
  </si>
  <si>
    <t>GREEN</t>
  </si>
  <si>
    <t>216 R STREET NW, APT 103, WASHINGTON, DC, 20001</t>
  </si>
  <si>
    <t>(202) 680-4426</t>
  </si>
  <si>
    <t>TRANSVERSE MYELITIS</t>
  </si>
  <si>
    <t>For the next 6 months, Ms. Green will continue utilizing her Medicaid Waivers services and supports to meet her daily care needs in my home and community, 12 hours per day – 7 days per week experiencing 0 hospital or nursing home admissions.	Ms. Green will receive quality home care and remain at home for as long as possible. She will not have premature institutional placement during the next 6 months.	Institutional Risk Person is at risk of institutional placement. TRIGGERED
For the next six months, Ms. Green will engage in low levels of physical activity such as standing up, walking outside the home with the walker, or stretching in her wheelchair daily to improve my health and well-being.	During the recertification period, Ms. Green would walk outside her home with the walker 3 x weekly or stretch in her wheelchair daily to improve her health and well-being	Physical Activity Promotion Person engages in low levels of physical activity.</t>
  </si>
  <si>
    <t>ID-3129</t>
  </si>
  <si>
    <t>2/25/25 - Added to database, client unresponsive. Followed up with CW</t>
  </si>
  <si>
    <t>kcunningham@nstreetvillage.org</t>
  </si>
  <si>
    <t>Kimberly Cunningham</t>
  </si>
  <si>
    <t>N Street Village (PWYMCA)</t>
  </si>
  <si>
    <t>(202) 390-7652</t>
  </si>
  <si>
    <t>Terrell</t>
  </si>
  <si>
    <t xml:space="preserve">901 Rhode Island Ave NW, Washington, DC </t>
  </si>
  <si>
    <t>(202) 910-9167</t>
  </si>
  <si>
    <t xml:space="preserve">diagnosed with various mental and physical health disorders. recent decline in physical health has made it challenging for the client to navigate going to groceries stores and other pantries. </t>
  </si>
  <si>
    <t>Working on other supportive services to support client with food. Working on obtiaing a home health aid for client as well.</t>
  </si>
  <si>
    <t>ID-3100</t>
  </si>
  <si>
    <t>ALICIA</t>
  </si>
  <si>
    <t>TOLLIVER</t>
  </si>
  <si>
    <t xml:space="preserve">40 ELMIRA ST SW, Washington DC </t>
  </si>
  <si>
    <t>(202) 251-9917</t>
  </si>
  <si>
    <t>PT has mental and physical disabilities that don't allow her to go out on her own to get groceries.</t>
  </si>
  <si>
    <t>They would slowly be able to go out and get groceries on their own.</t>
  </si>
  <si>
    <t>Hypertension, Obesity, Anxiety disorder, PTSD, OCD</t>
  </si>
  <si>
    <t>ID-2975</t>
  </si>
  <si>
    <t>2/25/25 - Added to database, scheduled for 2/27, 3/21, &amp; 4/18 + called on 04/24/2025 says voicemail is not set up</t>
  </si>
  <si>
    <t xml:space="preserve">William </t>
  </si>
  <si>
    <t>Hemphill</t>
  </si>
  <si>
    <t>1810 29th St SE</t>
  </si>
  <si>
    <t>(202) 834-0174</t>
  </si>
  <si>
    <t>Client has post surgery complications after a major heart bi-pass surgery.  It affects his breathing and ability to travel long distances.</t>
  </si>
  <si>
    <t xml:space="preserve">The CSW is supporting the consumer with obtaining SNAP benefits as well as utilizing other community resources within his community.  We are also working on budgeting and his ability to prioritize his needs over others when it comes to his food security. </t>
  </si>
  <si>
    <t>ID-2976</t>
  </si>
  <si>
    <t>04/24/25 set up delivery for 05/16-25 + instructed to call in June to continue</t>
  </si>
  <si>
    <t>noemi.mitchell@solace.health</t>
  </si>
  <si>
    <t>Noemi Mitchell</t>
  </si>
  <si>
    <t>Solace</t>
  </si>
  <si>
    <t>(661) 459-5851</t>
  </si>
  <si>
    <t>Virginia</t>
  </si>
  <si>
    <t xml:space="preserve"> 943 WESTMINSTER ST NW, WASHINGTON, DC </t>
  </si>
  <si>
    <t>(202) 669-1042</t>
  </si>
  <si>
    <t>75+</t>
  </si>
  <si>
    <t xml:space="preserve">The client is homebound due to medical conditions: cerebral infarction, immobility of the knee, hypertension, diabetes type 2, and is bed bound. </t>
  </si>
  <si>
    <t xml:space="preserve">Client will have improved health within 12 months due to availability of food. </t>
  </si>
  <si>
    <t>ID-2977</t>
  </si>
  <si>
    <t>New delivery scheduled for 4/24 &amp; 5/23</t>
  </si>
  <si>
    <t>dextervmcrae@gmail.com</t>
  </si>
  <si>
    <t>P&amp;G Behavioral Health Services (Alfonso Frye)</t>
  </si>
  <si>
    <t xml:space="preserve">	ALPHONSO </t>
  </si>
  <si>
    <t>Frye</t>
  </si>
  <si>
    <t>1221 T Street NW</t>
  </si>
  <si>
    <t>(202) 914-6290</t>
  </si>
  <si>
    <t>Home Bound</t>
  </si>
  <si>
    <t>ID-2978</t>
  </si>
  <si>
    <t>04/24/25 scheduled for 05/02 + 06/06 and instructed to follow up in June</t>
  </si>
  <si>
    <t>DexterMcRae</t>
  </si>
  <si>
    <t>P&amp;G behavioral health care</t>
  </si>
  <si>
    <t>Helen</t>
  </si>
  <si>
    <t xml:space="preserve">	1626 Kenilworth Ave </t>
  </si>
  <si>
    <t>(202) 361-1078</t>
  </si>
  <si>
    <t>Amputation</t>
  </si>
  <si>
    <t xml:space="preserve">
Peter</t>
  </si>
  <si>
    <t>ID-2979</t>
  </si>
  <si>
    <t>Scheduled for 9/5/25</t>
  </si>
  <si>
    <t xml:space="preserve">Tanesha </t>
  </si>
  <si>
    <t>Abbott</t>
  </si>
  <si>
    <t>410 M St, SE</t>
  </si>
  <si>
    <t>(240) 761-9078</t>
  </si>
  <si>
    <t>Ambulates with rollator, intellectual disability, living alone, diabetes.</t>
  </si>
  <si>
    <t>Balanced meals for diabetes care, HTN management. Adequate food for 3 meals per day.</t>
  </si>
  <si>
    <t>ID-2981</t>
  </si>
  <si>
    <t>04/24/25 - Scheduled 05/02/25 + 06/06 + instructed to call in June</t>
  </si>
  <si>
    <t>jtrovati@mfa.gwu.edu</t>
  </si>
  <si>
    <t>Joslyn Trovati</t>
  </si>
  <si>
    <t xml:space="preserve">GW Cancer Center </t>
  </si>
  <si>
    <t>(202) 741-3483</t>
  </si>
  <si>
    <t>Diane</t>
  </si>
  <si>
    <t>1319 Holbrook Pl NE `</t>
  </si>
  <si>
    <t>(202) 487-7334</t>
  </si>
  <si>
    <t>Pt is being treated for cancer and requires assistance with ADLs, transportation, etc.</t>
  </si>
  <si>
    <t>Restore stability and food security to her life so to ensure successful cancer treatment and favorable response. Thank you!</t>
  </si>
  <si>
    <t>ID-3139</t>
  </si>
  <si>
    <t>04/24/25 - No longer needs FFA</t>
  </si>
  <si>
    <t>lgergely@mysistersplacedc.org</t>
  </si>
  <si>
    <t>Leise Gergely</t>
  </si>
  <si>
    <t>My Sisters Place</t>
  </si>
  <si>
    <t>(202) 997-1675</t>
  </si>
  <si>
    <t xml:space="preserve">Leigh </t>
  </si>
  <si>
    <t>Monet</t>
  </si>
  <si>
    <t>11 S St NW</t>
  </si>
  <si>
    <t>(202) 749-5333</t>
  </si>
  <si>
    <t xml:space="preserve">LM is a domestic violence survivor because of this situation she is in DC's Address Confidentiality Program.  She is living with complex PTSD, depression, and anxiety. She has lupus and a spine injury. </t>
  </si>
  <si>
    <t>Weekly (for extreme emergencies ONLY)</t>
  </si>
  <si>
    <t xml:space="preserve">LM is in a particularly difficult situation and is working ardently to improve her situation. Recently her SSDI was cut completely and her SNAP benefits were reduced to $23/month.  At this point she has no income and no health care and many doctor's appointments. She is working with pro-bono attorneys to sort these issues out.  Additionally she has applied for more jobs than anyone I have ever encountered. She takes advantage of all pertinent resources and referrals. It is difficult to put specific measurable goals on the situation as so much of it is out of her hands and she truly has done everything I can think of (and then some!) to try to improve her situation. </t>
  </si>
  <si>
    <t>ID-2912</t>
  </si>
  <si>
    <t>07/17/25 - Scheduled until 09/26/25 + told to call back in september to continue</t>
  </si>
  <si>
    <t>gwalker@ebfsc.org</t>
  </si>
  <si>
    <t>Ms. G. Walker</t>
  </si>
  <si>
    <t xml:space="preserve">Edgewood Brookland Collaborative </t>
  </si>
  <si>
    <t>(240) 470-0365</t>
  </si>
  <si>
    <t xml:space="preserve">Angelica </t>
  </si>
  <si>
    <t xml:space="preserve">Johnson </t>
  </si>
  <si>
    <t>2121 First St SW Washington, DC 20024</t>
  </si>
  <si>
    <t>(202) 704-0170</t>
  </si>
  <si>
    <t>Client  is an single parent, with little to no income ,currently unemployed.</t>
  </si>
  <si>
    <t xml:space="preserve">Client is currently linked with EBFSC Rise-Up Employment Program to identify employment to increase household income </t>
  </si>
  <si>
    <t>ID-2982</t>
  </si>
  <si>
    <t>04/24/25 - Scheduled for 05/23/25</t>
  </si>
  <si>
    <t>christine</t>
  </si>
  <si>
    <t>cole</t>
  </si>
  <si>
    <t xml:space="preserve">3700 9th street se </t>
  </si>
  <si>
    <t>(202) 200-5810</t>
  </si>
  <si>
    <t>18 - 29</t>
  </si>
  <si>
    <t>living with disability, child has autism - non verbal</t>
  </si>
  <si>
    <t xml:space="preserve">mother is working and not eligible for TANF or food stamps and has food insecurity due to sensory deprivation </t>
  </si>
  <si>
    <t>working with family to access WIC and support with HSCSN to provide additional education and support for persons with autism. working with client to establish budget.</t>
  </si>
  <si>
    <t>ID-3142</t>
  </si>
  <si>
    <t>4/23 - Currently homeless. Will call when settled again</t>
  </si>
  <si>
    <t>Prestige Healthcare Inc</t>
  </si>
  <si>
    <t>Sanchino</t>
  </si>
  <si>
    <t>Hayes</t>
  </si>
  <si>
    <t xml:space="preserve">1854 Kendall St </t>
  </si>
  <si>
    <t>(202) 602-8361</t>
  </si>
  <si>
    <t>Consumer needs support with dealing with food insecurity, has went for days at a time without getting something to eat. Consumer is a young fella that would like to work but has challenges with dealing with his mental health.</t>
  </si>
  <si>
    <t>Hopefully with support from our ACT team and receiving services supported employment, the consumer would have sustainable housing and able to provide for himself.</t>
  </si>
  <si>
    <t xml:space="preserve">None </t>
  </si>
  <si>
    <t>06/20/25 - Scheduled until end of August + told to call back to continue</t>
  </si>
  <si>
    <t>Kelsie</t>
  </si>
  <si>
    <t>Anna</t>
  </si>
  <si>
    <t xml:space="preserve">904 K Street Street NE Washington, DC </t>
  </si>
  <si>
    <t>(202) 892-0897</t>
  </si>
  <si>
    <t>Family health</t>
  </si>
  <si>
    <t xml:space="preserve">Anna is a single mom of 3 and as of the last few weeks she gained another 3 minor children in her care as her sister was hospitalized early Feburary 2025. </t>
  </si>
  <si>
    <t>4 Months will give Anna a little breathing room and know how her sister is doing (if improving or not) and if the 3 additional children will be placed permentely in her care or not</t>
  </si>
  <si>
    <t>Anna has 3 kids and as of Feburary taken in her sister's 3 kids due to health decline and heart failure. Could use some food assistance in this hard time.</t>
  </si>
  <si>
    <t>Nathalie, Tarek</t>
  </si>
  <si>
    <t>ID-2984</t>
  </si>
  <si>
    <t>Added the database. - Scheduled twice a month until July</t>
  </si>
  <si>
    <t>shannon.mckinney@davita.com</t>
  </si>
  <si>
    <t>Shannon McKinney</t>
  </si>
  <si>
    <t>DaVita Renal Care (Washington SE Dialysis)</t>
  </si>
  <si>
    <t>(202) 581-9440</t>
  </si>
  <si>
    <t>Coby</t>
  </si>
  <si>
    <t xml:space="preserve">3310 F ST SE, WASHINGTON, DC USA </t>
  </si>
  <si>
    <t>(202) 584-5709</t>
  </si>
  <si>
    <t xml:space="preserve">Client is diagnosed with End Stage Renal Disease (N18.6), Type 2 Diabetes, and multiple myeloma. She has been on dialysis since 2013. Client states she doesn't have consistent help with meal preparation and wants to improve her nutrition. Additionally, her mobility is limited as she ambulates with a walker, making transportation to get groceries difficult. </t>
  </si>
  <si>
    <t xml:space="preserve">Increase protein intake, reduce phosphorous level within 3 months, reach and maintain albumin level of 4 within 6 months </t>
  </si>
  <si>
    <t>ID-2986</t>
  </si>
  <si>
    <t>3/14/2025 - The client received food on 3/14/25</t>
  </si>
  <si>
    <t>lilliemaeb@hotmail.com</t>
  </si>
  <si>
    <t>Karina Whyte</t>
  </si>
  <si>
    <t xml:space="preserve">Spring Leaf Solutions </t>
  </si>
  <si>
    <t>(202) 909-0118</t>
  </si>
  <si>
    <t xml:space="preserve">Lillimae </t>
  </si>
  <si>
    <t>Bonilla</t>
  </si>
  <si>
    <t>4508 14th St NW</t>
  </si>
  <si>
    <t>(202) 421-8834</t>
  </si>
  <si>
    <t xml:space="preserve">poor mental health, Agoraphobia </t>
  </si>
  <si>
    <t>Experiences anxiety and panic attacks when leaving the house</t>
  </si>
  <si>
    <t xml:space="preserve">Utilizing community resources </t>
  </si>
  <si>
    <t>ID-3146</t>
  </si>
  <si>
    <t>We called multiple times, but no luck</t>
  </si>
  <si>
    <t>District Heathcare</t>
  </si>
  <si>
    <t>Howards</t>
  </si>
  <si>
    <t>3900 1 st se 20032</t>
  </si>
  <si>
    <t>(771) 233-0258</t>
  </si>
  <si>
    <t>I am writing to refer Ms. Marquita Howard for your esteemed food supply services, confirming her eligibility based on the criteria outlined by your organization. Ms. Howard is a client under my care who faces significant mental health challenges and is currently grieving the loss of a loved one. These circumstances have severely impacted her ability to leave her home and independently secure food, making this referral essential for her well-being.
The following factors confirm Ms. Howard’s eligibility for your program:
Mental Health Challenges: Ms. Howard is actively receiving mental health services and is experiencing ongoing emotional distress, which limits her ability to perform daily tasks, including grocery shopping.
Grieving Process: She is coping with the profound loss of a loved one, which has further affected her ability to maintain stability and access basic necessities.
Ms. Howard’s situation aligns with the eligibility requirements for your food delivery service. I kindly request that she be considered for enrollment in your program. It is my understanding that FFA provides two bags of food per month, including fresh produce, meat, dairy, and shelf-stable staples. Given her current challenges, more frequent provisions would greatly enhance her nutritional stability and overall well-being.
Additionally, Ms. Howard has specific dietary needs that support her health condition. These details will be communicated during the intake process to ensure her food supply is aligned with her medical requirements.
Please let me know the next steps in this process or any additional information needed to proceed with this referral. I look forward to your prompt response and sincerely hope Ms. Howard receives the necessary support from your program.</t>
  </si>
  <si>
    <t>ID-3147</t>
  </si>
  <si>
    <t>JANICE</t>
  </si>
  <si>
    <t>JENNINGS</t>
  </si>
  <si>
    <t>4206 4TH ST SE</t>
  </si>
  <si>
    <t>APT 102</t>
  </si>
  <si>
    <t>(202) 749-1712</t>
  </si>
  <si>
    <t xml:space="preserve">	
Amputation, chronic pain, reduced mobility, type 2 diabetes </t>
  </si>
  <si>
    <t>For patient to be able to access fruits and vegetables to lower A1C</t>
  </si>
  <si>
    <t>ID-2989</t>
  </si>
  <si>
    <t>Added the database. - scheduled 3/14 &amp; 4/11</t>
  </si>
  <si>
    <t>DONNA HINES</t>
  </si>
  <si>
    <t>AMH</t>
  </si>
  <si>
    <t>(202) 481-1360</t>
  </si>
  <si>
    <t>DONNA</t>
  </si>
  <si>
    <t>BAXTER</t>
  </si>
  <si>
    <t xml:space="preserve">3605 Minnesota Ave </t>
  </si>
  <si>
    <t>(771) 241-0202</t>
  </si>
  <si>
    <t>Mrs. Baxter suffers with PTSA, MDD and limited mobility</t>
  </si>
  <si>
    <t>I except Mrs. Baxter to get a home health aide to assist with shopping and meal preparation within this year. She was referred for assistance and now she's wait listed</t>
  </si>
  <si>
    <t>ksmith@mbihs.com</t>
  </si>
  <si>
    <t>Kim Smith</t>
  </si>
  <si>
    <t xml:space="preserve">1900 C ST SE  Washington, DC </t>
  </si>
  <si>
    <t>Client is a diabetic and has severe back pain</t>
  </si>
  <si>
    <t>Consumer is applying for SSA Income.</t>
  </si>
  <si>
    <t>ID-2991</t>
  </si>
  <si>
    <t>Kim</t>
  </si>
  <si>
    <t>(202) 503-1424</t>
  </si>
  <si>
    <t>Melissa</t>
  </si>
  <si>
    <t>McCrea</t>
  </si>
  <si>
    <t>1900 C ST SE</t>
  </si>
  <si>
    <t>(240) 435-9100</t>
  </si>
  <si>
    <t xml:space="preserve">poor physical health, </t>
  </si>
  <si>
    <t>Kidney and digestive disorders</t>
  </si>
  <si>
    <t>Client is currently under doctor's care</t>
  </si>
  <si>
    <t>ID-2992</t>
  </si>
  <si>
    <t>06/20/25 - Scheduled until 07/24/25</t>
  </si>
  <si>
    <t>Robin</t>
  </si>
  <si>
    <t>Collins</t>
  </si>
  <si>
    <t>(202) 790-8042</t>
  </si>
  <si>
    <t>Client has Dementia and Diabetes.</t>
  </si>
  <si>
    <t>Client is under doctor's care.</t>
  </si>
  <si>
    <t>ID-2993</t>
  </si>
  <si>
    <t xml:space="preserve">Kim </t>
  </si>
  <si>
    <t xml:space="preserve">Janie </t>
  </si>
  <si>
    <t>Underwood</t>
  </si>
  <si>
    <t>(771) 216-6989</t>
  </si>
  <si>
    <t>Client has  arthritis and is under doctor's care.</t>
  </si>
  <si>
    <t>Client will continue going to the doctor.</t>
  </si>
  <si>
    <t>ID-2994</t>
  </si>
  <si>
    <t>Terry</t>
  </si>
  <si>
    <t>Kellem</t>
  </si>
  <si>
    <t>(202) 580-3831</t>
  </si>
  <si>
    <t>Mr. Kellem is under a doctor's care for mental health.</t>
  </si>
  <si>
    <t>Mr. Kellem will continue to see doctor.</t>
  </si>
  <si>
    <t>Nathalie, Angie</t>
  </si>
  <si>
    <t>ID-3154</t>
  </si>
  <si>
    <t>Added the database, scheduled 4/11 and 5/2</t>
  </si>
  <si>
    <t>actteam4@ccdc1.org</t>
  </si>
  <si>
    <t xml:space="preserve">Abby Hogenkemp </t>
  </si>
  <si>
    <t>(202) 804-6842</t>
  </si>
  <si>
    <t xml:space="preserve">1545 Girard Street </t>
  </si>
  <si>
    <t>(202) 779-2018</t>
  </si>
  <si>
    <t xml:space="preserve">Ms. Johnson is diagnosed with stage IV chronic kidney disease, anemia, HTN, Hx of colon polyps, hx of CVA with hemiparesis left side and walks with a walker. He also has a DX acute GI bleed, Chest pain, thyroid nodule, Alcohol use with withdrawal, lower left lobe pneumonia, osteopenia. Pertaining to his mental health, Mr. Johnson is diagnoses with major depressive disorder. </t>
  </si>
  <si>
    <t>Increase food security: Ensure the client has access to a sufficient and balanced diet by connecting them with Food for All services, with the goal of reducing food insecurity within the first three months of referral. Improve financial management related to food expenses: Support the client in understanding and prioritizing their financial resources for essential needs, including food, over a six-month period. This can be measured through their ability to allocate funds appropriately and consistently access food programs. Address the impact of alcoholism on nutrition and overall health: Encourage participation in a nutrition-focused program that supports individuals dealing with alcoholism, aiming for the client to attend at least 75% of available support sessions or counseling during the referral period (approximately 3–6 months).</t>
  </si>
  <si>
    <t>ID-2996</t>
  </si>
  <si>
    <t>Scheduled deliveries for 4/4 and 5/2</t>
  </si>
  <si>
    <t>anah.sinkfield@ccdc1.org</t>
  </si>
  <si>
    <t>Anah Sinkfield</t>
  </si>
  <si>
    <t>(202) 293-8799</t>
  </si>
  <si>
    <t xml:space="preserve">461 H Street </t>
  </si>
  <si>
    <t>(202) 588-8970</t>
  </si>
  <si>
    <t xml:space="preserve">Ms. Turner is diagnosed with Major Depressive Disorder, Gout, COPD, Hypertension, Overactive bladder, GERD, Gastritis, Asthma, High Cholesterol, Atrial Flutter, Osteoporosis,
Heart Murmur, and Diabetes. </t>
  </si>
  <si>
    <t>Increase food security and access: Ensure the client has reliable access to nutritious food, considering their mobility limitations. The goal is to reduce food insecurity by ensuring consistent access to food delivery or accessible pick-up services within the first 3 months of the referral. Improve physical health and nutrition: Help the client maintain a balanced and healthy diet, which is crucial for managing their physical health and supporting their mental health. This goal will be assessed by tracking the client’s participation in food program services and improvements in their nutritional intake, with a target of at least 80% participation in food distribution or delivery services over the next 6 months. Address the impact of major depressive disorder on food-related behaviors: Provide support in managing the impact of depression on eating habits, ensuring that the client receives nutrition education and encouragement. This will be measured by the client’s engagement in any related counseling or support services (aiming for at least 50% engagement in mental health-focused food-related sessions during the referral period).</t>
  </si>
  <si>
    <t>ID-2997</t>
  </si>
  <si>
    <t>Added the database, scheduled until May</t>
  </si>
  <si>
    <t>Veronica</t>
  </si>
  <si>
    <t>1124 Chicago Street SE</t>
  </si>
  <si>
    <t>(202) 744-4073</t>
  </si>
  <si>
    <t>Ms. Ambrose is on EPD and has mental and physical disability which affects her ability to take care of herself. She has in home support with ADLs and IADLs 7 days a week.</t>
  </si>
  <si>
    <t xml:space="preserve">Member is working with her medical team to support her general well-being. And she is working on being active in the community to improve especially her mental health. </t>
  </si>
  <si>
    <t>ID-2998</t>
  </si>
  <si>
    <t>shawntay.kent@ccdc1.org</t>
  </si>
  <si>
    <t>Shawntay Kent</t>
  </si>
  <si>
    <t>(202) 579-0821</t>
  </si>
  <si>
    <t>Mclamore</t>
  </si>
  <si>
    <t>2220 Bryant Place SE</t>
  </si>
  <si>
    <t>(202) 317-0970</t>
  </si>
  <si>
    <t xml:space="preserve">Client is bed bound and unable to move around freely due to medical issues. </t>
  </si>
  <si>
    <t xml:space="preserve">I would like to assist the client with budgeting so she can be able to better help herself in the future. </t>
  </si>
  <si>
    <t>ID-0198</t>
  </si>
  <si>
    <t>3/20/2025 - Scheduled for 3/27/2025</t>
  </si>
  <si>
    <t>racquel.rucker@newlivinghealthcare.com</t>
  </si>
  <si>
    <t>Racquel Rucker</t>
  </si>
  <si>
    <t xml:space="preserve">New living health care </t>
  </si>
  <si>
    <t>(240) 501-1101</t>
  </si>
  <si>
    <t>Rosalind</t>
  </si>
  <si>
    <t>Ellington</t>
  </si>
  <si>
    <t>200 K St.</t>
  </si>
  <si>
    <t>(240) 815-2781</t>
  </si>
  <si>
    <t xml:space="preserve">Davonne is a senior citizen that has trouble getting around due to surgery and mental health stressors Davonne doctor expressed concerns on her nutrition </t>
  </si>
  <si>
    <t xml:space="preserve">Working on physical health and mobility </t>
  </si>
  <si>
    <t>ID-3000</t>
  </si>
  <si>
    <t>Added the database - Scheduled 4/18</t>
  </si>
  <si>
    <t>admin@ufmssb.org</t>
  </si>
  <si>
    <t>Oluremi Agbaje</t>
  </si>
  <si>
    <t>United Family Mission Social Service Bridge</t>
  </si>
  <si>
    <t>(240) 467-1406</t>
  </si>
  <si>
    <t>Shaquanna</t>
  </si>
  <si>
    <t>Randolph</t>
  </si>
  <si>
    <t>4737 SOUTH CAPITOL TERRACE AVE.</t>
  </si>
  <si>
    <t>(202) 900-5738</t>
  </si>
  <si>
    <t>Client has no income and lack ability to move around frequently</t>
  </si>
  <si>
    <t>Client will have sufficient resources like food stamp and financial assistance to be able to buy her food.</t>
  </si>
  <si>
    <t>ID-3001</t>
  </si>
  <si>
    <t>Added the database - Scheduled 4/10, 5/8, &amp; 6/5</t>
  </si>
  <si>
    <t>Sarah</t>
  </si>
  <si>
    <t>Venable</t>
  </si>
  <si>
    <t>645 H Street</t>
  </si>
  <si>
    <t>(240) 392-9281</t>
  </si>
  <si>
    <t>Client has both mental and physical health problem that limit her ability to stand for a long period of time.</t>
  </si>
  <si>
    <t>Client will be assisted to obtain more food resource to meet her nutritional needs.</t>
  </si>
  <si>
    <t>ID-3002</t>
  </si>
  <si>
    <t>rasheeda.davis@cc-dc.org</t>
  </si>
  <si>
    <t>Rasheeda Davis</t>
  </si>
  <si>
    <t>Catholic Charities Fortitude DC</t>
  </si>
  <si>
    <t>(202) 977-5184</t>
  </si>
  <si>
    <t>Megan</t>
  </si>
  <si>
    <t>Bandy</t>
  </si>
  <si>
    <t>1309 Euclid St NW</t>
  </si>
  <si>
    <t>(479) 353-4134</t>
  </si>
  <si>
    <t xml:space="preserve">Transplant surgery. Unable to be on feet for long.  </t>
  </si>
  <si>
    <t xml:space="preserve">Client will receive assistance with food services due to her permanent disability. </t>
  </si>
  <si>
    <t>ID-3003</t>
  </si>
  <si>
    <t>5/22/25 - Set up until 07/18 + told to call back to continue 11/19 - Scheduled 11/21 &amp; 12/18</t>
  </si>
  <si>
    <t>keara@openarmshousing.org</t>
  </si>
  <si>
    <t>Keara Richardson</t>
  </si>
  <si>
    <t>Open Arms Housing</t>
  </si>
  <si>
    <t>(202) 221-0384</t>
  </si>
  <si>
    <t>Lataka</t>
  </si>
  <si>
    <t>Bell</t>
  </si>
  <si>
    <t xml:space="preserve">1435 Newton St </t>
  </si>
  <si>
    <t>(571) 418-1993</t>
  </si>
  <si>
    <t>CL is currently experiencing poor mental health conditions due to being unmedicated that impact her ability to complete daily functions independently.</t>
  </si>
  <si>
    <t>CM is currently working with CL to stabilize mental health by connecting her with core service agency for medication management as well as assistance with reapplying for financial benefits in efforts to cover daily expenses.</t>
  </si>
  <si>
    <t>ID-3004</t>
  </si>
  <si>
    <t>Added the database - Scheduled 4/17</t>
  </si>
  <si>
    <t>alfredaculmer@housingetc.org</t>
  </si>
  <si>
    <t>Alfreda Culmer</t>
  </si>
  <si>
    <t>Housing Counseling Services</t>
  </si>
  <si>
    <t>(771) 772-3432</t>
  </si>
  <si>
    <t>Lenwood</t>
  </si>
  <si>
    <t>3105 Waclark PL SE</t>
  </si>
  <si>
    <t>(202) 997-8891</t>
  </si>
  <si>
    <t xml:space="preserve">Client is a senior on limited income. Currently walking with a walker due to back surgery and has limited mobility. </t>
  </si>
  <si>
    <t xml:space="preserve">Client will be going to physical therapy which he will gain more mobility to be able to do daily task like food shopping and increase income </t>
  </si>
  <si>
    <t>Gilian</t>
  </si>
  <si>
    <t>ID-3005</t>
  </si>
  <si>
    <t xml:space="preserve">05/22/2025 - Scheduled until end of July told to follow up then to continue </t>
  </si>
  <si>
    <t>Vernon</t>
  </si>
  <si>
    <t xml:space="preserve">7 M Street NE </t>
  </si>
  <si>
    <t>(704) 756-3675</t>
  </si>
  <si>
    <t xml:space="preserve">living with disability, </t>
  </si>
  <si>
    <t xml:space="preserve">Client lost his sight and requires assistance. Client income has decreased significantly his losing his sight. </t>
  </si>
  <si>
    <t xml:space="preserve">Client is working with the agency for aging and disability to obtain skills that allow him to become employed. </t>
  </si>
  <si>
    <t>ID-3008</t>
  </si>
  <si>
    <t>Added the database - Scheduled twice a month until 6/5</t>
  </si>
  <si>
    <t>Anchor Mental Health</t>
  </si>
  <si>
    <t>Deon</t>
  </si>
  <si>
    <t>Mack</t>
  </si>
  <si>
    <t>1150 12th St NW</t>
  </si>
  <si>
    <t>(301) 875-1835</t>
  </si>
  <si>
    <t>poor mental health, living with disability, NO BENEFITS</t>
  </si>
  <si>
    <t>HIS MOTHER WAS HIS LEGAL GUARGIAN HOWEVER, SHE PASSED AWAY RECENTLY. HE HAS NO MONEY OR BENEFITS. HIS NEAREST RELATIVE LIVE IN MARYLAND SHE IS TRYING TO GET HIS BENEFITS BACK ACTIVE.  RIGHT NOW, SHE PAYS HIS RENT AND SENDS FOOD WHEN SHE CAN.</t>
  </si>
  <si>
    <t>HIS BENEFITS SHOULD BE REINSTATED AND HE SHOULD GET A HOME HEALTH AIDE</t>
  </si>
  <si>
    <t>HE DOESNT TALK, HE RESPONSES TO TEXT</t>
  </si>
  <si>
    <t>07/31/25 - Scheduled until 09/26 + told to call back in September to continue</t>
  </si>
  <si>
    <t>MMarroquin@maryscenter.org</t>
  </si>
  <si>
    <t>Michelle Marroquin</t>
  </si>
  <si>
    <t>Marys Center</t>
  </si>
  <si>
    <t>(571) 303-9582</t>
  </si>
  <si>
    <t>Jooleta</t>
  </si>
  <si>
    <t>Whitaker</t>
  </si>
  <si>
    <t>519 KENNEDY ST NW</t>
  </si>
  <si>
    <t>apt 9</t>
  </si>
  <si>
    <t>(202) 749-1331</t>
  </si>
  <si>
    <t>Client has Chronic PTSD, depression and hypertension</t>
  </si>
  <si>
    <t>To receive consistent food resources within the next 6 months, in order to reduce food insecurity and improve overall financial stability</t>
  </si>
  <si>
    <t>ID-3010</t>
  </si>
  <si>
    <t>Added the database - Scheduled 4/10, 5/9, &amp; 6/6</t>
  </si>
  <si>
    <t>marjorie.gordon@careconceptsllc.net</t>
  </si>
  <si>
    <t>Marjorie Gordon</t>
  </si>
  <si>
    <t>Care Concepts LLC</t>
  </si>
  <si>
    <t>(301) 447-0170</t>
  </si>
  <si>
    <t xml:space="preserve">Bernard </t>
  </si>
  <si>
    <t>2219 Town Center Drive SE</t>
  </si>
  <si>
    <t>(202) 321-0221</t>
  </si>
  <si>
    <t>Chronic medical co-morbidities</t>
  </si>
  <si>
    <t>To improve nutritional, diabetes, and cardiac health in 3 years ongoing.</t>
  </si>
  <si>
    <t>ID-3011</t>
  </si>
  <si>
    <t>07/31/2025 - Scheduled until 10/2 + told to call back in September to continue</t>
  </si>
  <si>
    <t>Eccles</t>
  </si>
  <si>
    <t xml:space="preserve">250 K St. NE </t>
  </si>
  <si>
    <t>#1015</t>
  </si>
  <si>
    <t>(240) 940-5776</t>
  </si>
  <si>
    <t xml:space="preserve">Client has neuropathy and has an alkaline phosphate issue that prevents him from standing. Client's legs lock up from time to time and causes him to fall. </t>
  </si>
  <si>
    <t xml:space="preserve">The goal for this client is to obtain a Home Health Aid to assist with ADLs within the next few months. </t>
  </si>
  <si>
    <t>ID-2011</t>
  </si>
  <si>
    <t>06/20/25 - Scheduled to August + told to call back to continue then</t>
  </si>
  <si>
    <t xml:space="preserve">Loutrice </t>
  </si>
  <si>
    <t>Crowder</t>
  </si>
  <si>
    <t>1900 C St SE WDC 20003</t>
  </si>
  <si>
    <t>(240) 412-7575</t>
  </si>
  <si>
    <t>Client  is making healthier choices due to weight.</t>
  </si>
  <si>
    <t>To eat healthier.</t>
  </si>
  <si>
    <t>ID-3013</t>
  </si>
  <si>
    <t>07/25/2025 - Scheduled until 09/18 + told to follow up then to continue</t>
  </si>
  <si>
    <t>Sabrina</t>
  </si>
  <si>
    <t>Fraley</t>
  </si>
  <si>
    <t xml:space="preserve">1900 C St </t>
  </si>
  <si>
    <t>(202) 852-0529</t>
  </si>
  <si>
    <t>Consumer is a diabetic and also has high blood pressure.</t>
  </si>
  <si>
    <t>Client is trying to eat heathier.</t>
  </si>
  <si>
    <t>ID-3014</t>
  </si>
  <si>
    <t>Added the database - Scheduled 4/25, 5/23</t>
  </si>
  <si>
    <t>sorekoya@hillcrest-dc.org</t>
  </si>
  <si>
    <t>hillcrest children and family center</t>
  </si>
  <si>
    <t>Carey</t>
  </si>
  <si>
    <t>(202) 300-2284</t>
  </si>
  <si>
    <t>living with disability, poor physical health, wheelchair bound, stroke victim</t>
  </si>
  <si>
    <t>diabetes, high blood pressure, food insecurity, financial constraints</t>
  </si>
  <si>
    <t>collaborate with office on aging for referral to moms meals and food and friends</t>
  </si>
  <si>
    <t>diabetes, high blood pressure, food insecurity</t>
  </si>
  <si>
    <t>ID-3015</t>
  </si>
  <si>
    <t xml:space="preserve">07/17/25 - LVM </t>
  </si>
  <si>
    <t>makinwumi@mbihs.com</t>
  </si>
  <si>
    <t xml:space="preserve">Mosunmola Akinwumi </t>
  </si>
  <si>
    <t xml:space="preserve">MBI Health Services LLC </t>
  </si>
  <si>
    <t>(301) 538-4478</t>
  </si>
  <si>
    <t xml:space="preserve">Tymesha </t>
  </si>
  <si>
    <t>1676 Maryland Ave.</t>
  </si>
  <si>
    <t>#apt 540e</t>
  </si>
  <si>
    <t>(202) 570-5162</t>
  </si>
  <si>
    <t xml:space="preserve">Mental health disability </t>
  </si>
  <si>
    <t xml:space="preserve">In the next 180 days, CSW will support the client in identifying wellness-promoting/encouraging the client for healthy meals through the food package from Food For All DC. </t>
  </si>
  <si>
    <t>ID-2999</t>
  </si>
  <si>
    <t>Duplicate. Already an exisiting client</t>
  </si>
  <si>
    <t>raquel.witherspoon@cc-dc.org</t>
  </si>
  <si>
    <t>Raquel Witherspoon</t>
  </si>
  <si>
    <t xml:space="preserve">Catholic Charities </t>
  </si>
  <si>
    <t>(202) 794-3654</t>
  </si>
  <si>
    <t xml:space="preserve">Stacy </t>
  </si>
  <si>
    <t>Chatmon</t>
  </si>
  <si>
    <t>2950 Van Ness Street NW Washington, DC</t>
  </si>
  <si>
    <t>(202) 389-8751</t>
  </si>
  <si>
    <t>Domestic Violence and Gun Violence Victim</t>
  </si>
  <si>
    <t>Decrease frequency of emergency food access, connect with additional support services over the next 3-6 months.</t>
  </si>
  <si>
    <t>ID-3016</t>
  </si>
  <si>
    <t>Added the database - Scheduled 4/18, 5/9, &amp; 5/30</t>
  </si>
  <si>
    <t>(571) 697-9763</t>
  </si>
  <si>
    <t>Metrice</t>
  </si>
  <si>
    <t>1550 First St SW</t>
  </si>
  <si>
    <t>(202) 300-8319</t>
  </si>
  <si>
    <t>Client is currently on oxygen, and connected with Hillcrest.</t>
  </si>
  <si>
    <t>To obtain an aide to assist with grocery shopping.</t>
  </si>
  <si>
    <t>ID-3017</t>
  </si>
  <si>
    <t>08/07/2025 - Scheduled until 09/12/25 + told to call back to continue</t>
  </si>
  <si>
    <t xml:space="preserve">Eleanor </t>
  </si>
  <si>
    <t xml:space="preserve">Walker </t>
  </si>
  <si>
    <t>3630 Brothers Pl</t>
  </si>
  <si>
    <t>(410) 921-5457</t>
  </si>
  <si>
    <t xml:space="preserve">COPD, Anxiety, Limited mobility, Depression, Kidney and breast issues </t>
  </si>
  <si>
    <t>To assist Client to get to better health and find another food program that can assist her.</t>
  </si>
  <si>
    <t>ID-3018</t>
  </si>
  <si>
    <t>07/17/25 - Set up until 09/25/25 + told to call back in September to continue</t>
  </si>
  <si>
    <t>Prestige Healthcare Resources Inc.</t>
  </si>
  <si>
    <t xml:space="preserve">Maggie </t>
  </si>
  <si>
    <t>410 Shepherd Street NW Washington, D.C.</t>
  </si>
  <si>
    <t>(202) 427-6440</t>
  </si>
  <si>
    <t xml:space="preserve">Ms. Washington is a 93 year old female who has Dementia and other disabilities. Due to her Dementia she is not able to go to the grocery store independently. Having a monthly food delivery would be a big help for Ms. Washington as she has to rely on others to go to the grocery store for her. </t>
  </si>
  <si>
    <t xml:space="preserve">Case Manager will work with the family to ensure that they can assist with receiving groceries and preparing meals that Ms. Washington can warm up herself over the next 12 months. </t>
  </si>
  <si>
    <t>ID-3019</t>
  </si>
  <si>
    <t>07/17/25 - Scheduled until 09/11 + told to call back in August to continue</t>
  </si>
  <si>
    <t>pascal.babila@psiservices.org</t>
  </si>
  <si>
    <t>Pascal Babila</t>
  </si>
  <si>
    <t>PSI family services</t>
  </si>
  <si>
    <t>(240) 758-0352</t>
  </si>
  <si>
    <t>VERONICA</t>
  </si>
  <si>
    <t>GRAVES</t>
  </si>
  <si>
    <t xml:space="preserve">70 I St SE </t>
  </si>
  <si>
    <t>(202) 971-0918</t>
  </si>
  <si>
    <t>The client mental health affect her ability to function better in the community</t>
  </si>
  <si>
    <t>For the client to improve her functioning and independency.</t>
  </si>
  <si>
    <t>ID-3020</t>
  </si>
  <si>
    <t>Added the database - Scheduled 4/24, &amp; 5/22</t>
  </si>
  <si>
    <t xml:space="preserve">Lydia </t>
  </si>
  <si>
    <t xml:space="preserve">901 6th Street </t>
  </si>
  <si>
    <t>508A</t>
  </si>
  <si>
    <t>(202) 749-4900</t>
  </si>
  <si>
    <t xml:space="preserve">The client is currently struggling with buying food. Monthly pension is not enough to cover new apartment amenity fees. </t>
  </si>
  <si>
    <t>The client is meeting with a mental health clinician and looking for part-time employment.</t>
  </si>
  <si>
    <t>ID-3021</t>
  </si>
  <si>
    <t>07/17/25 - Scheduled until 09/19 + told to call back in September to continue</t>
  </si>
  <si>
    <t>(202) 923-6120</t>
  </si>
  <si>
    <t>LaCreasha</t>
  </si>
  <si>
    <t>Kennedy</t>
  </si>
  <si>
    <t xml:space="preserve">6918 Willow St NW </t>
  </si>
  <si>
    <t>W207</t>
  </si>
  <si>
    <t>(202) 913-9836</t>
  </si>
  <si>
    <t>CL experiences severe physical pain due to endometrial issues and sciatica nerve damage that limits her ability to complete tasks and travel independently for food resources.</t>
  </si>
  <si>
    <t>CL is currently working with PCP to resolve issues with pain management and connection to additional food resources (i.e. Meals on Wheels, Moms Meals)</t>
  </si>
  <si>
    <t>ID-3022</t>
  </si>
  <si>
    <t>08/07/2025 - Set up until 09/26 + told to call back in September to continue</t>
  </si>
  <si>
    <t>Braetan.smith@medstar.net</t>
  </si>
  <si>
    <t>Brae Smith</t>
  </si>
  <si>
    <t>(202) 912-1503</t>
  </si>
  <si>
    <t xml:space="preserve">Gabriel </t>
  </si>
  <si>
    <t>Ejide</t>
  </si>
  <si>
    <t xml:space="preserve">5801 2ND ST NE WASHINGTON, DC </t>
  </si>
  <si>
    <t>(202) 704-0060</t>
  </si>
  <si>
    <t>Arthritis, back pain, carpal tunnel and diabetes type 2</t>
  </si>
  <si>
    <t xml:space="preserve">for the client to get off the waitlist for home delivered meals through DC gov. Currently on waitlist for several months. No access to food and no community around him. </t>
  </si>
  <si>
    <t>07/17/2025 - Scheduled until 09/26/25  + told to call back in September to continue</t>
  </si>
  <si>
    <t>sade.orekoya@bettermorninginc.com</t>
  </si>
  <si>
    <t xml:space="preserve">better morning </t>
  </si>
  <si>
    <t>T'Loni</t>
  </si>
  <si>
    <t>Fox</t>
  </si>
  <si>
    <t xml:space="preserve">520 eastern avenue </t>
  </si>
  <si>
    <t>301B</t>
  </si>
  <si>
    <t>(202) 701-6839</t>
  </si>
  <si>
    <t xml:space="preserve">poor mental health, loss of food stamps due to separation from family </t>
  </si>
  <si>
    <t xml:space="preserve">client is a homeless teen in a transitional program where there is no access to food and she does not have income.   We are in the process of trying to get her food stamps expedited </t>
  </si>
  <si>
    <t xml:space="preserve">assist with applying for expedited food stamps; assist with employment and resources for additional food banks. </t>
  </si>
  <si>
    <t>ID-3024</t>
  </si>
  <si>
    <t>07/17/2025 - Scheduled until 09/26/25 + + told to call back in September to continue</t>
  </si>
  <si>
    <t>khaos</t>
  </si>
  <si>
    <t>nwingwe</t>
  </si>
  <si>
    <t>520 eastern avenue ne</t>
  </si>
  <si>
    <t>101a</t>
  </si>
  <si>
    <t>(703) 986-3283</t>
  </si>
  <si>
    <t>poor mental health, living with disability, poor physical health, suffers from FND (Functional neurological Disorder)</t>
  </si>
  <si>
    <t>cannot apply for food stamps because undocumented / allergic to beef and green vegetables</t>
  </si>
  <si>
    <t xml:space="preserve">support with applying for vital documents; and securing medicaid other than alliance for support with food and friends </t>
  </si>
  <si>
    <t xml:space="preserve">07/17/25 - Scheduled until 10/3/25 + told to call back to September </t>
  </si>
  <si>
    <t>Slater</t>
  </si>
  <si>
    <t xml:space="preserve">6800 Georgia Ave </t>
  </si>
  <si>
    <t>Apt 331</t>
  </si>
  <si>
    <t>(240) 510-7461</t>
  </si>
  <si>
    <t>The client is wheelchair-bound, a diabetic and has poor mental health.</t>
  </si>
  <si>
    <t>The client will receive Bi-weekly food deliveries to improve food security.</t>
  </si>
  <si>
    <t>ID-3026</t>
  </si>
  <si>
    <t>07/17/25 - Scheduled until 10/2/25 + told to call back in September to continue</t>
  </si>
  <si>
    <t>Lakura</t>
  </si>
  <si>
    <t>Coppin</t>
  </si>
  <si>
    <t>1528 Second St Se</t>
  </si>
  <si>
    <t>(202) 902-3720</t>
  </si>
  <si>
    <t>Client is diagnosed with ptsd, anxiety, and depression. Client reports not being able to be around others without feeling paranoid.</t>
  </si>
  <si>
    <t xml:space="preserve">Were working on obtaining a job and going to therapy/medication management </t>
  </si>
  <si>
    <t>ID-3027</t>
  </si>
  <si>
    <t>Added the database - Scheduled until July 24</t>
  </si>
  <si>
    <t xml:space="preserve">Willie </t>
  </si>
  <si>
    <t xml:space="preserve">200 K Street </t>
  </si>
  <si>
    <t>(202) 322-1326</t>
  </si>
  <si>
    <t>The client does not receive enough SNAP benefits for food monthly.</t>
  </si>
  <si>
    <t>The client is in the process of requested food benefit resources.</t>
  </si>
  <si>
    <t>ID-2421</t>
  </si>
  <si>
    <t>Added the database - Scheduled until July 25</t>
  </si>
  <si>
    <t>400 Douglas Street</t>
  </si>
  <si>
    <t>(202) 704-0369</t>
  </si>
  <si>
    <t>The client is facing financial hardship due to recently paying moving fees.</t>
  </si>
  <si>
    <t>The client will be applying for food resources through bread for the city.</t>
  </si>
  <si>
    <t>Added the database - Scheduled twice until July 25</t>
  </si>
  <si>
    <t>James@volare-empowers.org</t>
  </si>
  <si>
    <t>Volare Empowers</t>
  </si>
  <si>
    <t>Charineen</t>
  </si>
  <si>
    <t>Stevenson</t>
  </si>
  <si>
    <t xml:space="preserve">853 HR Drive SE Washington D.C            </t>
  </si>
  <si>
    <t>(267) 356-2789</t>
  </si>
  <si>
    <t>Victim of Domestic Violence</t>
  </si>
  <si>
    <t xml:space="preserve">Client is still currently NOT working do to victimization recovery and PTSD mental instability from the arson. </t>
  </si>
  <si>
    <t>Client to get connected with Core community agency for case management support. Client is set to begin workforce program for trainings to get back into work.</t>
  </si>
  <si>
    <t xml:space="preserve">Client is a single mother of 2 young children ages 2 and 4. Client was supporting a family member with staying with her,  when at some point the family became controlling and aggressive to client home. As a result of Family member anger, they burned client home to the ground. Client and children was displaced for several months. OP(Family member) has since been detained and sentenced. Client has relocated to new resident and is facing financial hardship as she tries to re-obtain housing  necessities </t>
  </si>
  <si>
    <t>ID-3030</t>
  </si>
  <si>
    <t>07/17/25 - Scheduled until 10/3/25 + told to call in September to continue</t>
  </si>
  <si>
    <t>Gfolasade@districthealthcareservices.com</t>
  </si>
  <si>
    <t xml:space="preserve">Folasade Gbadamosi </t>
  </si>
  <si>
    <t>Delisa</t>
  </si>
  <si>
    <t>Bryant</t>
  </si>
  <si>
    <t>4403 7th street NE</t>
  </si>
  <si>
    <t>(202) 471-9549</t>
  </si>
  <si>
    <t>Delisa Bryant is my consumer currently receiving mental health services with District healthcare .She has 7 grandchildren living with her due to their parents being incarcerated ,on drugs or dead. Ms Delisa is currently diagnosed with bipolar disorder and panic disorder due to several factors such as loss of her adult son , her son -in-law amongst other losses. Ms Delisa caters to her grandchildren because their parents couldn’t and she has legal custody over them, having a supply of food for her household will relieve her from having the anxiety that there’s no food in the house and the children will have healthy meals to feed on.</t>
  </si>
  <si>
    <t>The goal is for Ms Delisa to have food to eat and also her grandchildren so as to live a healthy life and not be uncertain about where the next meal will come from.</t>
  </si>
  <si>
    <t>ID-3031</t>
  </si>
  <si>
    <t>Shirley</t>
  </si>
  <si>
    <t xml:space="preserve">Martin </t>
  </si>
  <si>
    <t xml:space="preserve">900 G street NE, </t>
  </si>
  <si>
    <t>(202) 492-4141</t>
  </si>
  <si>
    <t>Shirley Martin is currently receiving mental health treatment from District healthcare services , she is diagnosed with bipolar and generalized anxiety disorder compounded by chronic physical conditions that limit her ability to function independently. Her current living situation and unmet basic needs contribute to her psychological distress and having a supply of healthy food will greatly reduce her anxiety levels as this has always posed as a major barrier to her mental health stability.</t>
  </si>
  <si>
    <t>The goal for Shirley Martin is to make a positive difference in her life , decrease her dependence and having no worries about where the next meal comes from.</t>
  </si>
  <si>
    <t>ID-3085</t>
  </si>
  <si>
    <t xml:space="preserve">07/25/25 - Scheduled until 09/25 + told to call back in August to continue </t>
  </si>
  <si>
    <t>J. Nicole Welds</t>
  </si>
  <si>
    <t>Tenisha</t>
  </si>
  <si>
    <t>Crowe</t>
  </si>
  <si>
    <t xml:space="preserve">1331 4th St SE </t>
  </si>
  <si>
    <t>Apt 330</t>
  </si>
  <si>
    <t>(202) 710-8332</t>
  </si>
  <si>
    <t>Client has difficulty leaving her home which is complicated by financial distress and mental health challenges.</t>
  </si>
  <si>
    <t>Client has treatment goals to stabilize symptoms while increasing ability to function on a daily basis.  Treatment goals are progressive and range from 6 months to 12 months for projected completion.</t>
  </si>
  <si>
    <t>ID-0469</t>
  </si>
  <si>
    <t>Added the database - Scheduled until July 4th</t>
  </si>
  <si>
    <t>Gooche</t>
  </si>
  <si>
    <t>360 H Street NE,</t>
  </si>
  <si>
    <t>(202) 603-4931</t>
  </si>
  <si>
    <t xml:space="preserve">PART is a senior who has physical disabled and has diabetes, PART sometimes forget to shop for themselves </t>
  </si>
  <si>
    <t xml:space="preserve">To implement the support that would allow this disabled senior to live independently and healthy </t>
  </si>
  <si>
    <t>ID-3033</t>
  </si>
  <si>
    <t>Added the database - Scheduled twice a month until 7/18</t>
  </si>
  <si>
    <t>claudiac1@gwu.edu</t>
  </si>
  <si>
    <t>Claudia Campos Galvan</t>
  </si>
  <si>
    <t>GW Cancer Center</t>
  </si>
  <si>
    <t>(202) 897-6575</t>
  </si>
  <si>
    <t>Kidd</t>
  </si>
  <si>
    <t>461 H St. NW</t>
  </si>
  <si>
    <t>(202) 892-8202</t>
  </si>
  <si>
    <t>living with disability, poor physical health, Mr. Jerry Kidd is a 75-year-old patient with metastatic cancer (Stage IV) currently receiving care at the GW Cancer Center. In addition to his cancer diagnosis, he also suffers from kidney disease and heart disease. Mr. Kidd lives alone and has limited support; he has only one son who is unable to provide consistent assistance. Over the past year, he has experienced four falls, which have further increased his vulnerability.</t>
  </si>
  <si>
    <t>Mr. Jerry Kidd is a 75-year-old patient with metastatic cancer (Stage IV) currently receiving care at the GW Cancer Center. In addition to his cancer diagnosis, he also suffers from kidney disease and heart disease. Mr. Kidd lives alone and has limited support; he has only one son who is unable to provide consistent assistance. Over the past year, he has experienced four falls, which have further increased his vulnerability.</t>
  </si>
  <si>
    <t>The goal for Mr. Kidd is to improve his food security and nutritional intake through regular home-delivered meals from Food For All DC. We hope this support will reduce the burden of accessing food and help him manage his health conditions more effectively.</t>
  </si>
  <si>
    <t>ID-3035</t>
  </si>
  <si>
    <t>Scheduled until 7/25 + told to follow up to continue</t>
  </si>
  <si>
    <t>jennifer.c@gwu.edu</t>
  </si>
  <si>
    <t xml:space="preserve">Jennifer Cook </t>
  </si>
  <si>
    <t xml:space="preserve">George Washington University </t>
  </si>
  <si>
    <t>(202) 897-6566</t>
  </si>
  <si>
    <t>Dwain</t>
  </si>
  <si>
    <t>Butler</t>
  </si>
  <si>
    <t>4500 3rd Street SE</t>
  </si>
  <si>
    <t>Apt. A</t>
  </si>
  <si>
    <t>(202) 341-2571</t>
  </si>
  <si>
    <t xml:space="preserve">Patient has difficulty walking and climbing stairs and has several chronic diseases </t>
  </si>
  <si>
    <t xml:space="preserve">Client is still getting use to his new normal of his cancer diagnosis and treatment. My hope is that as he gets use to that, he will be able to focus less on need for food which have given him some worry since he no longer works. By receiving temporary assistance (12 months), he will be able to start planning for the long term as it relates to the long term. </t>
  </si>
  <si>
    <t>ID-3036</t>
  </si>
  <si>
    <t>Added the database - Scheduled until July 25th</t>
  </si>
  <si>
    <t>ozioma.scott@gwu.edu</t>
  </si>
  <si>
    <t>Ozioma Scott</t>
  </si>
  <si>
    <t xml:space="preserve">George Washington University Cancer Center </t>
  </si>
  <si>
    <t>(202) 897-6572</t>
  </si>
  <si>
    <t xml:space="preserve">Maurice </t>
  </si>
  <si>
    <t>West</t>
  </si>
  <si>
    <t>3445 22nd St SE</t>
  </si>
  <si>
    <t>(202) 946-9554</t>
  </si>
  <si>
    <t xml:space="preserve">Patient is a 54-year-old male with stage 4 (IV) cancer receiving care at the GW Cancer Center. Patient also has high blood pressure. Patient currently lives with a friend without paying rent. There aren't any pantries located within walking distance of where the patient currently stays and patient does not have the finances to take public transportation. </t>
  </si>
  <si>
    <t xml:space="preserve">The patient currently has a lot on his plate dealing with metastatic prostate cancer- he has limited support and is not financially well off. I hope that this 12-month grace period would give him time to focus on his health and treatment while getting his affairs in order. </t>
  </si>
  <si>
    <t>ID-0473</t>
  </si>
  <si>
    <t>05/22/2025 - Call won't go through</t>
  </si>
  <si>
    <t>tflowers@mbihs.com</t>
  </si>
  <si>
    <t>Tiosha Flowers</t>
  </si>
  <si>
    <t>(571) 774-8006</t>
  </si>
  <si>
    <t>(202) 617-5498</t>
  </si>
  <si>
    <t>Ms. Taylor has seizures, asthma, high blood pressure, endometriosis, and thyroids</t>
  </si>
  <si>
    <t xml:space="preserve">I am currently working with Ms. Taylor on part time job opportunities that can be flexible when she needs to deal with her physical health. Also Ms. Taylor is actively looking for employment on her own. She is motivated and wants more for herself. </t>
  </si>
  <si>
    <t>ID-3038</t>
  </si>
  <si>
    <t>Added the database - Scheduled until 7/18</t>
  </si>
  <si>
    <t>kquigley@mbihs.com</t>
  </si>
  <si>
    <t>Kathy Quigley</t>
  </si>
  <si>
    <t>Leah</t>
  </si>
  <si>
    <t>Clarke</t>
  </si>
  <si>
    <t>6120 Georgia Ave NW</t>
  </si>
  <si>
    <t>(202) 506-5736</t>
  </si>
  <si>
    <t>Client is not mobile and is blind</t>
  </si>
  <si>
    <t>I want my client to get back on track with her nutrition.</t>
  </si>
  <si>
    <t>ID-3039</t>
  </si>
  <si>
    <t xml:space="preserve">Kathy Quigley </t>
  </si>
  <si>
    <t>Desi</t>
  </si>
  <si>
    <t>Cureton</t>
  </si>
  <si>
    <t xml:space="preserve">6120 Georgia Ave NW </t>
  </si>
  <si>
    <t xml:space="preserve">Can barely walk, had both hips replaced, right hand does not open since stroke </t>
  </si>
  <si>
    <t>HHA to assist with cooking and implement exercise .</t>
  </si>
  <si>
    <t>ID-3040</t>
  </si>
  <si>
    <t>Added the database - Scheduled until 7/25</t>
  </si>
  <si>
    <t>chicquita.bryant@dc.gov</t>
  </si>
  <si>
    <t>Chicquita Bryant</t>
  </si>
  <si>
    <t>(202) 724-5626</t>
  </si>
  <si>
    <t>Edy</t>
  </si>
  <si>
    <t>Chamoun</t>
  </si>
  <si>
    <t>360 H Street NE</t>
  </si>
  <si>
    <t>(771) 217-1840</t>
  </si>
  <si>
    <t xml:space="preserve">poor physical health, Type II Diabetes, Heart Disease HBP, Parkinson's Disease, </t>
  </si>
  <si>
    <t>Leg weakness</t>
  </si>
  <si>
    <t>Improve health status, combat chronic disease and fight food insecurity annually</t>
  </si>
  <si>
    <t>Balance is off</t>
  </si>
  <si>
    <t>Added the database - Scheduled until 7/11</t>
  </si>
  <si>
    <t xml:space="preserve">Mary </t>
  </si>
  <si>
    <t>Chaney</t>
  </si>
  <si>
    <t>1827 GOOD HOPE ROAD</t>
  </si>
  <si>
    <t>A12</t>
  </si>
  <si>
    <t>(202) 845-1411</t>
  </si>
  <si>
    <t>Ms. Mary is battling with Cancer, depression and high blood pressure.</t>
  </si>
  <si>
    <t>She is keeping up with all medical appointments, and she is interested in behavioral health services to help with depression so that she will be able to work on improving her quality of life.</t>
  </si>
  <si>
    <t>Already an existig client. Scheduled until 7/11</t>
  </si>
  <si>
    <t xml:space="preserve">Veronica </t>
  </si>
  <si>
    <t>1124 Chicago St SE</t>
  </si>
  <si>
    <t>Client is diagnosed with depression, high blood pressure, type 2 diabetes and HIV</t>
  </si>
  <si>
    <t>Client is waiting to start receiving mental health services for depression. She continue to see her medical provider and takes medication as prescribed.</t>
  </si>
  <si>
    <t>ID-3042</t>
  </si>
  <si>
    <t>Oscar</t>
  </si>
  <si>
    <t>Perla</t>
  </si>
  <si>
    <t>4913 Kansas Ave NW</t>
  </si>
  <si>
    <t>(240) 614-9809</t>
  </si>
  <si>
    <t xml:space="preserve">Mr. Perla recently had a knee replacement surgery and has a depression diagnosis which has impacted his ability to heal properly with the anxiety and uncertainty of being unemployed due to his condition. His wife broke her wrist on christmas day and has lost weight rapidly due to stress and uncertainty of being able to attend physical therapy or her doctors appointments without her husbands assistance. Their child is the only person providing financial assistant as their daughter-in-law is taking care of a newborn baby. This family could use the support as they navigate these circumstances and recover from their injuries. </t>
  </si>
  <si>
    <t xml:space="preserve">To improve their overall mental health and provide a path to healing as they recover from their injuries and live with a lifelong disability. This assistance will relieve stress both emotionally and financially. </t>
  </si>
  <si>
    <t>ID-3043</t>
  </si>
  <si>
    <t>05/22/2025 - set up till end of July and told to call back to continue then</t>
  </si>
  <si>
    <t>Carpenter</t>
  </si>
  <si>
    <t>(202) 617-0434</t>
  </si>
  <si>
    <t xml:space="preserve">This client suffers from anxiety and depression. </t>
  </si>
  <si>
    <t>Ms. Carpenter will work on her depressive and anxiety symptoms to allow her to engage more in the community.</t>
  </si>
  <si>
    <t>ID-3045</t>
  </si>
  <si>
    <t>Added to the database - Scheduled until July 18th</t>
  </si>
  <si>
    <t>(202) 834-0018</t>
  </si>
  <si>
    <t>Simpson</t>
  </si>
  <si>
    <t>3460 14th st nw</t>
  </si>
  <si>
    <t>(202) 200-8179</t>
  </si>
  <si>
    <t>Ms. Simpson is diagnosed with bipolar and unable to be around others without having an maniac attack.</t>
  </si>
  <si>
    <t>To work on Coping skills to assist with her emotions and mental</t>
  </si>
  <si>
    <t>ID-0482</t>
  </si>
  <si>
    <t>06/20/25 - Moved to Maryland so can no longer recieve deliveries</t>
  </si>
  <si>
    <t>nancy.e.eddy@medstar.net</t>
  </si>
  <si>
    <t>Nancy Eddy</t>
  </si>
  <si>
    <t>MedStar Family Circle</t>
  </si>
  <si>
    <t>(667) 895-5222</t>
  </si>
  <si>
    <t>Vitaliy</t>
  </si>
  <si>
    <t>2501 Porter St, NW</t>
  </si>
  <si>
    <t>(410) 463-1534</t>
  </si>
  <si>
    <t>Client has advanced cancer and needs assistance from his spouse. They have a 1yo who can't be left alone. Spouse recently broke her foot.</t>
  </si>
  <si>
    <t>Helping family get through this period of time where spouse has a broken foot. Not adding to credit card debt.</t>
  </si>
  <si>
    <t>ID-3034</t>
  </si>
  <si>
    <t xml:space="preserve">08/14/25 - Set up until 09/18/2025 </t>
  </si>
  <si>
    <t>doladipo@nccf-cares.org</t>
  </si>
  <si>
    <t>Daniel Oladipo</t>
  </si>
  <si>
    <t>National Center of Children and Families</t>
  </si>
  <si>
    <t>(202) 674-3909</t>
  </si>
  <si>
    <t>Iesha</t>
  </si>
  <si>
    <t>White</t>
  </si>
  <si>
    <t>1213 30th ST Washington DC</t>
  </si>
  <si>
    <t>Unit 3</t>
  </si>
  <si>
    <t>(227) 238-9820</t>
  </si>
  <si>
    <t>Mrs. White often suffers from chronic pain which often may make it difficult for her to leave her home. Mrs. White also has a diagnosed mental health disability as well as some cognitive disorders.</t>
  </si>
  <si>
    <t>Working with the client to apply for jobs that best suite her monthly for the next 6 months.</t>
  </si>
  <si>
    <t>ID-3047</t>
  </si>
  <si>
    <t>07/17/25 - Scheduled until 09/11/25 + told to call back in August to continue</t>
  </si>
  <si>
    <t>leahmccullen@gmail.com</t>
  </si>
  <si>
    <t xml:space="preserve">Leah McCullen </t>
  </si>
  <si>
    <t>HOPE4YOU</t>
  </si>
  <si>
    <t>(202) 560-1186</t>
  </si>
  <si>
    <t>Lakesha</t>
  </si>
  <si>
    <t>522 Madison St NW  Washington DC 20011</t>
  </si>
  <si>
    <t>(202) 520-6115</t>
  </si>
  <si>
    <t xml:space="preserve">She participates in mental health </t>
  </si>
  <si>
    <t xml:space="preserve">Stability </t>
  </si>
  <si>
    <t>ID-3048</t>
  </si>
  <si>
    <t>Kitty</t>
  </si>
  <si>
    <t>Kohli</t>
  </si>
  <si>
    <t xml:space="preserve">4800 East Capitol St </t>
  </si>
  <si>
    <t>(202) 594-2049</t>
  </si>
  <si>
    <t>Participant has kidney cancer</t>
  </si>
  <si>
    <t>Fill 50% of lunch and dinner plate with vegetables to increase fiber intake and support healthy digestion</t>
  </si>
  <si>
    <t>ID-3212</t>
  </si>
  <si>
    <t xml:space="preserve">06/20/25 - mail box is full ; 06/12/25 - LVM; 07/17/25 - Mail box is full </t>
  </si>
  <si>
    <t>(202) 876-6562</t>
  </si>
  <si>
    <t>Patrina</t>
  </si>
  <si>
    <t xml:space="preserve">769 Gresham Place NW </t>
  </si>
  <si>
    <t>(202) 300-5371</t>
  </si>
  <si>
    <t>Client recently had surgery has poor vision and still recovering.</t>
  </si>
  <si>
    <t>Once client has fully recovered from procedure, her sight should improve</t>
  </si>
  <si>
    <t>ID-3050</t>
  </si>
  <si>
    <t>Added to the database - Scheduled until August 14th</t>
  </si>
  <si>
    <t>oluwabukola.o.oluwole@medstar.net</t>
  </si>
  <si>
    <t>Bukky Oluwole</t>
  </si>
  <si>
    <t>MedStar Health</t>
  </si>
  <si>
    <t>(202) 384-7602</t>
  </si>
  <si>
    <t>Gray</t>
  </si>
  <si>
    <t>1810 I ST NE APT 3, WASHINGTON, DC</t>
  </si>
  <si>
    <t>APT 3</t>
  </si>
  <si>
    <t>(202) 819-8579</t>
  </si>
  <si>
    <t>Patient has back issues and is unable to move around or bend and lift things</t>
  </si>
  <si>
    <t>The goal is to increase her access to healthy foods</t>
  </si>
  <si>
    <t>Client will like to be called when delivery is made so as to ensure that the delivery doesn't go missing or stolen. Thanks</t>
  </si>
  <si>
    <t>Duplicate referral. Already in the database with scheduled deliveries</t>
  </si>
  <si>
    <t>vanesha@springleafsolutions.com</t>
  </si>
  <si>
    <t>Vanesha Shields</t>
  </si>
  <si>
    <t>(202) 280-5192</t>
  </si>
  <si>
    <t xml:space="preserve">Lakesha </t>
  </si>
  <si>
    <t>522 Madison St</t>
  </si>
  <si>
    <t>clients currently has a physical disability of Lymphedema which is from Client feet to waist</t>
  </si>
  <si>
    <t>client is currently going through physical therapy twice a week with a Lymphedema doctor.</t>
  </si>
  <si>
    <t>ID-3053</t>
  </si>
  <si>
    <t>Alonzo</t>
  </si>
  <si>
    <t>Mudd</t>
  </si>
  <si>
    <t>2301 11TH ST NW APT 907, WASHINGTON, DC 20001</t>
  </si>
  <si>
    <t>Apt 907</t>
  </si>
  <si>
    <t>(301) 383-4776</t>
  </si>
  <si>
    <t>The client had a stroke and is unable to pick up groceries by himself</t>
  </si>
  <si>
    <t>Increase the client's access to healthy food</t>
  </si>
  <si>
    <t>ID-3054</t>
  </si>
  <si>
    <t>atijani@life-stride.com</t>
  </si>
  <si>
    <t>Akeem Tijani</t>
  </si>
  <si>
    <t>Life Stride Mental Health Clinic</t>
  </si>
  <si>
    <t>(202) 469-0104</t>
  </si>
  <si>
    <t>JACKIE</t>
  </si>
  <si>
    <t>WORKMAN</t>
  </si>
  <si>
    <t>1164 Bladensburg Rd NE; Washington</t>
  </si>
  <si>
    <t>(202) 597-7487</t>
  </si>
  <si>
    <t xml:space="preserve">Due to onsumer mental health disability, her present in the midst of people can trigger her symptoms </t>
  </si>
  <si>
    <t>Consumer is diagnosed with  Major depressive disorder, &amp; Bipolar Disorder and she continue with her treatment taking her medication  that help her remain function in the community</t>
  </si>
  <si>
    <t>ID-3055</t>
  </si>
  <si>
    <t>Angel Rhodes</t>
  </si>
  <si>
    <t xml:space="preserve">Angel </t>
  </si>
  <si>
    <t xml:space="preserve">Rhodes </t>
  </si>
  <si>
    <t>2926 Knox Pl SE</t>
  </si>
  <si>
    <t>(202) 967-7471</t>
  </si>
  <si>
    <t xml:space="preserve">Client struggles with major depression disorder and severe PTSD disorder. Client struggles with leaving the house due to PTSD and anxiety. Client also struggles with mobility issues at this time that makes it difficult to leave the house as well. </t>
  </si>
  <si>
    <t xml:space="preserve">We plan to continue to work towards stabilizing her mental health so she is able to reintegrate into the community with no issues. We are referring her to physical therapy to help with mobility issues. She is on an 180 day treatment plan and we expect to see changes by that time. </t>
  </si>
  <si>
    <t>07/17/2025 - Scheduled until 10/2/25 + told to call back in September to continue</t>
  </si>
  <si>
    <t>mjames@kccsinc.com</t>
  </si>
  <si>
    <t>Maureen James</t>
  </si>
  <si>
    <t>KC Community Services</t>
  </si>
  <si>
    <t>(301) 919-8887</t>
  </si>
  <si>
    <t>Marie</t>
  </si>
  <si>
    <t>Franklin</t>
  </si>
  <si>
    <t>200 34th Street, NE Washington DC</t>
  </si>
  <si>
    <t>(202) 713-0581</t>
  </si>
  <si>
    <t>living with disability, Client is bedbound</t>
  </si>
  <si>
    <t>The client has the following diagnoses: functional quadriplegia, diabetes and hypertension</t>
  </si>
  <si>
    <t xml:space="preserve">Maintain proper nutrition to improve and stabilize health status. </t>
  </si>
  <si>
    <t>ID-3057</t>
  </si>
  <si>
    <t>07/17/2025 - Scheduled until 9/12/25 + told to call back in September to continue</t>
  </si>
  <si>
    <t>mdumbuya@kinarahcs.com</t>
  </si>
  <si>
    <t xml:space="preserve">Mohamed Dumbuya </t>
  </si>
  <si>
    <t xml:space="preserve">KINARA Health and Home Care Services </t>
  </si>
  <si>
    <t>(240) 646-2003</t>
  </si>
  <si>
    <t>Tilwana</t>
  </si>
  <si>
    <t>1221 M Street NW, Washington 	DC</t>
  </si>
  <si>
    <t>#126</t>
  </si>
  <si>
    <t>(202) 910-0381</t>
  </si>
  <si>
    <t xml:space="preserve">Schizoaffective disorder, bipolar type </t>
  </si>
  <si>
    <t xml:space="preserve">My goal is help my client with community resources. </t>
  </si>
  <si>
    <t>ID-3058</t>
  </si>
  <si>
    <t xml:space="preserve">Scheduled </t>
  </si>
  <si>
    <t>Carmen</t>
  </si>
  <si>
    <t xml:space="preserve"> Villasana </t>
  </si>
  <si>
    <t>5020 Nash St NE</t>
  </si>
  <si>
    <t>(202) 391-6192</t>
  </si>
  <si>
    <t xml:space="preserve">poor mental health, poor physical health, high risk pregnancy, mother and father unemployed. Family does not have a vehicle. Mother suffers from perinatal depression and has iron-deficiency. </t>
  </si>
  <si>
    <t xml:space="preserve">Children are unable to receive additional help </t>
  </si>
  <si>
    <t xml:space="preserve">to alleviate perinatal depression and provide food for this family who is experiencing hunger. </t>
  </si>
  <si>
    <t xml:space="preserve">Mother reported that they do not eat dinner because they do not have enough groceries or money to provide food for their family of five. </t>
  </si>
  <si>
    <t>ID-3059</t>
  </si>
  <si>
    <t xml:space="preserve">9/11/25 - Scheduled for 9/12/25 </t>
  </si>
  <si>
    <t>dwaynephillips-mcnamee@myprestigehealth.com</t>
  </si>
  <si>
    <t>Bailey Daniels</t>
  </si>
  <si>
    <t>King III</t>
  </si>
  <si>
    <t xml:space="preserve">200 Rhode Island Ave NE </t>
  </si>
  <si>
    <t>#212</t>
  </si>
  <si>
    <t>(202) 538-9187</t>
  </si>
  <si>
    <t xml:space="preserve">Client recently recieved housing and reqiures nutritional meals to help him manage his high blood pressure. Client is enrolled in prestige healthcare resources for ACT services. Client expressed a need for food due to difficulties walking. </t>
  </si>
  <si>
    <t>reduce blood pressue and provide him with healthy meals that he cook as needed.</t>
  </si>
  <si>
    <t>06/12/25 - Scheduled until 08/14 + told to call back in August to continue scheduling</t>
  </si>
  <si>
    <t xml:space="preserve">Antoinette </t>
  </si>
  <si>
    <t>Hackett</t>
  </si>
  <si>
    <t>2921 Knox place</t>
  </si>
  <si>
    <t>(202) 705-4484</t>
  </si>
  <si>
    <t xml:space="preserve">poor mental health, </t>
  </si>
  <si>
    <t>Consumer is currently diagnosed with post traumatic stress disorder and major depressive disorder ,She’s undergoing treatment at district healthcare services . Consumer is a single mother of two(2) kids with one being autistic . Having enough food to eat will relieve ANtoinette of the stress of having to think of where the next meal will come from.</t>
  </si>
  <si>
    <t xml:space="preserve">To see Antoinette striving to be independent with her kids having healthy meals for growth </t>
  </si>
  <si>
    <t>ID-3061</t>
  </si>
  <si>
    <t>06/12/25 - LVM</t>
  </si>
  <si>
    <t xml:space="preserve">Paulette </t>
  </si>
  <si>
    <t>Glasgow</t>
  </si>
  <si>
    <t xml:space="preserve">4190 LIVINGSTON RD </t>
  </si>
  <si>
    <t>(267) 994-4071</t>
  </si>
  <si>
    <t xml:space="preserve">COPD, angina, stage 4 kidney disease, chronic pain, CVS </t>
  </si>
  <si>
    <t>To be able to cook food and control her diabetes/hypertension within 12 months</t>
  </si>
  <si>
    <t>ID-3062</t>
  </si>
  <si>
    <t xml:space="preserve">07/23/2025 - Set up until 09/18 + told to call back in September to continue </t>
  </si>
  <si>
    <t>Conrad</t>
  </si>
  <si>
    <t>Felder</t>
  </si>
  <si>
    <t xml:space="preserve">5232 4TH STREET </t>
  </si>
  <si>
    <t>(202) 629-8227</t>
  </si>
  <si>
    <t xml:space="preserve">Client is mostly homebound paralyzed on left side due to stroke. Has a difficult time getting to the grocery store and has a limited support system. </t>
  </si>
  <si>
    <t>Mr. Felder will continue to utilize community resources for which he qualifies and develop a meal plan to ensure that he has enough food from month to month</t>
  </si>
  <si>
    <t>ID-3066</t>
  </si>
  <si>
    <t xml:space="preserve">07/23/2025 - Set up until 09/19 + told to call back in September to continue </t>
  </si>
  <si>
    <t>jherndon@calvaryservices.org</t>
  </si>
  <si>
    <t>Josalyn Herndon</t>
  </si>
  <si>
    <t>Calvary Womens Services</t>
  </si>
  <si>
    <t>(202) 678-2341</t>
  </si>
  <si>
    <t>Tayla</t>
  </si>
  <si>
    <t>Better</t>
  </si>
  <si>
    <t xml:space="preserve">2121 First Street </t>
  </si>
  <si>
    <t>(803) 665-1439</t>
  </si>
  <si>
    <t>TAB is living with Chronic illnesses (PCOS-Asthma) which prevent her maintaining food stability. Due to mental health symptoms (anxiety-depression) it is hard for TAB to navigate large public settings such as the grocery store and general public spaces</t>
  </si>
  <si>
    <t>Sustaining mental health treatment with a goal of re-entering the work force.</t>
  </si>
  <si>
    <t>Chronic Illness</t>
  </si>
  <si>
    <t>ID-3067</t>
  </si>
  <si>
    <t>‪(771) 222-2594‬</t>
  </si>
  <si>
    <t xml:space="preserve">07/23/25 - Set up until end of 09/26/25 + told to call back in September to continue </t>
  </si>
  <si>
    <t>wesley.hairston@miriamskitchen.org</t>
  </si>
  <si>
    <t>Wesley Hairston</t>
  </si>
  <si>
    <t>Miriam’s Kitchen</t>
  </si>
  <si>
    <t>(202) 209-3419</t>
  </si>
  <si>
    <t>2121 First St SW</t>
  </si>
  <si>
    <t>(771) 241-3229</t>
  </si>
  <si>
    <t>Ms. Mitchell has difficulty obtaining food due to the various physical and mental health challenges she faces. Ms. Mitchell also has no income.</t>
  </si>
  <si>
    <t>Ms. Mitchell is currently in the process of applying for Social Security benefits. This can be a lengthy process, and we do not know when or if she will be approved to start receiving social security income. Approval for FFA will improve her nutritional intake.</t>
  </si>
  <si>
    <t>ID-0501</t>
  </si>
  <si>
    <t>lateh@mbihs.com</t>
  </si>
  <si>
    <t>Lawrence Ateh</t>
  </si>
  <si>
    <t>(240) 486-7554</t>
  </si>
  <si>
    <t xml:space="preserve">Darel </t>
  </si>
  <si>
    <t>519 Kennedy Street NW Washington DC</t>
  </si>
  <si>
    <t>(202) 734-1300</t>
  </si>
  <si>
    <t>poor mental health, living with disability, poor physical health, No Stable income</t>
  </si>
  <si>
    <t>He can only crawl down the stairs from his apartment out for doctors appointment</t>
  </si>
  <si>
    <t xml:space="preserve">Achieving and maintaining a stable income (SSI and SSDI) </t>
  </si>
  <si>
    <t>No stable income and unable to carryout his ADLs</t>
  </si>
  <si>
    <t xml:space="preserve">07/23/2025 - DUPLICATE ENTRY - Set up until 09/19 + told to call back in September to continue </t>
  </si>
  <si>
    <t>(202) 817-0128</t>
  </si>
  <si>
    <t>5201 Hayes St NE</t>
  </si>
  <si>
    <t>(240) 593-2313</t>
  </si>
  <si>
    <t>Client is legally blind, has limited income and faces challenge in accessing to community resources (food included).</t>
  </si>
  <si>
    <t>As Ms. Rita Ndum’s case worker, my measurable goals for her over the 24-month period of food assistance are to ensure she receives reliable weekly grocery deliveries to maintain consistent access to nutritious food, to monitor and reduce her experience of food insecurity through biannual assessments, to connect her with at least two additional community nutrition resources within the first six months, and to track her satisfaction and well-being with the program through regular check-ins—ultimately aiming for improved food security, increased resource utilization, and at least an 80% satisfaction rate by the end of the program.</t>
  </si>
  <si>
    <t>ID-3070</t>
  </si>
  <si>
    <t>11/24 - Client unavailable will call back again 11/30 - Call to schedule her first delivery 12/4 &amp;1/9</t>
  </si>
  <si>
    <t>Eltyler@mbihs.com</t>
  </si>
  <si>
    <t>Erica Tyler</t>
  </si>
  <si>
    <t>MBI Health Services LLC</t>
  </si>
  <si>
    <t>(240) 760-8590</t>
  </si>
  <si>
    <t xml:space="preserve">Olivia </t>
  </si>
  <si>
    <t>1627 West Virginia avenue Apt 3</t>
  </si>
  <si>
    <t>(240) 486-7382</t>
  </si>
  <si>
    <t>Client has physical health limitations.</t>
  </si>
  <si>
    <t xml:space="preserve">Within the next 3 to 6 months client has plans to identify skills to manage or budget her monthly income. </t>
  </si>
  <si>
    <t>ID-3064</t>
  </si>
  <si>
    <t>Already receiving monthly deliveries</t>
  </si>
  <si>
    <t>bethashley@volare-empowers.org</t>
  </si>
  <si>
    <t>Bethashley</t>
  </si>
  <si>
    <t>Volare (fka NVRDC)</t>
  </si>
  <si>
    <t>(202) 967-0545</t>
  </si>
  <si>
    <t xml:space="preserve">Maria </t>
  </si>
  <si>
    <t>De Garcia</t>
  </si>
  <si>
    <t xml:space="preserve">3500 14th St Nw </t>
  </si>
  <si>
    <t>(202) 878-4034</t>
  </si>
  <si>
    <t xml:space="preserve">Client suffered serious injuries after a hit-and-run accident. She currently receives disability, but it has not been enough to care for herself and the three others in her household at this time. </t>
  </si>
  <si>
    <t>Setting up claims benefits related to injuries sustained</t>
  </si>
  <si>
    <t>ID-3071</t>
  </si>
  <si>
    <t>9/15 - Awaiting SW's response 9/17 - Called/ scheduled his first delivery 9/26</t>
  </si>
  <si>
    <t>bolley@unityhealthcare.org</t>
  </si>
  <si>
    <t>Brianna Olley</t>
  </si>
  <si>
    <t>Unity Health Care- Minnesota Ave</t>
  </si>
  <si>
    <t>(202) 469-4699</t>
  </si>
  <si>
    <t>Kavin</t>
  </si>
  <si>
    <t xml:space="preserve">401 Anacostia Road </t>
  </si>
  <si>
    <t>(202) 798-9387</t>
  </si>
  <si>
    <t>Patient is currently physically disabled due to underlying physical illness.</t>
  </si>
  <si>
    <t>Patient will be able to prepare healthier meals to aid in greater overall health, evidenced by labs and patient report (12 mos). Patient will be able to decrease the amount of overall days with food insecurity (12 mos). Patient will have an increase of knowledge of nutrition and healthy eating evidenced by self report (1-6 mos).</t>
  </si>
  <si>
    <t>ID-0506</t>
  </si>
  <si>
    <t>11/24 - Client not interested</t>
  </si>
  <si>
    <t>PSI Family Services</t>
  </si>
  <si>
    <t>Jerrobia</t>
  </si>
  <si>
    <t>Mobley</t>
  </si>
  <si>
    <t>2701 R Street S.E.</t>
  </si>
  <si>
    <t>(771) 213-8258</t>
  </si>
  <si>
    <t>poor mental health affect her functioning</t>
  </si>
  <si>
    <t>For client to improve her functioning and able to engage in activities independently.</t>
  </si>
  <si>
    <t>ID-3073</t>
  </si>
  <si>
    <t>9/15 - Scheduled his first delivery on 9/8</t>
  </si>
  <si>
    <t>sihchantal@gmail.com</t>
  </si>
  <si>
    <t>Fokom Chantal</t>
  </si>
  <si>
    <t xml:space="preserve">Life care Inc </t>
  </si>
  <si>
    <t>(202) 414-4369</t>
  </si>
  <si>
    <t xml:space="preserve">Christopher </t>
  </si>
  <si>
    <t>Winston</t>
  </si>
  <si>
    <t>200 Q Street NE</t>
  </si>
  <si>
    <t>(202) 597-3207</t>
  </si>
  <si>
    <t xml:space="preserve">Client is diabetic </t>
  </si>
  <si>
    <t>Helping him with coping skills to carry on with his treatment plan goals. Making sure he takes his prescribed medications and attend all his doctors appointments.</t>
  </si>
  <si>
    <t>ID-3078</t>
  </si>
  <si>
    <t xml:space="preserve">9/15 - Awaiting CW's response 9/17 - Client phone not working, confirming with CW 10/9 - Called client with her new phone number and scheduled her first delivery on 10/9 </t>
  </si>
  <si>
    <t>abby@jaydot.org</t>
  </si>
  <si>
    <t>Abby McNaughton</t>
  </si>
  <si>
    <t>(202) 948-3140</t>
  </si>
  <si>
    <t>Bowen</t>
  </si>
  <si>
    <t>1900 Half St SW</t>
  </si>
  <si>
    <t>(202) 798-9851</t>
  </si>
  <si>
    <t xml:space="preserve">The client struggles with multiple health conditions, specifically poorly controlled diabetes and vision problems, as well as depression. We would be able to provide documentation for her conditions if needed. </t>
  </si>
  <si>
    <t xml:space="preserve">The client is currently struggling to properly nourish herself due to her various conditions. We would like to pursue a home health aide for her to assist her with shopping and cooking. The 12 month time period I have listed would give us time to pursue this for her. </t>
  </si>
  <si>
    <t>ID-3079</t>
  </si>
  <si>
    <t>9/17 - Awaiting SW's response 9/17 - scheduled her first delivery 9/25</t>
  </si>
  <si>
    <t>damany@springleafsolutions.com</t>
  </si>
  <si>
    <t>Damany Mathis</t>
  </si>
  <si>
    <t xml:space="preserve">Springleaf Solutions </t>
  </si>
  <si>
    <t>(917) 409-7835</t>
  </si>
  <si>
    <t xml:space="preserve">Claudia </t>
  </si>
  <si>
    <t>1221 M St NW</t>
  </si>
  <si>
    <t>(202) 710-2122</t>
  </si>
  <si>
    <t>When it comes to mobility, the client is not completely effective.  In addition to them coping with challenges related to their mental health</t>
  </si>
  <si>
    <t>The client is currently facing significant barriers related to both physical mobility and mental health, which severely impact their ability to access consistent, nutritious meals. Due to limited physical functioning, they are unable to travel independently to grocery stores or food distribution sites. This has resulted in periods of food insecurity, low energy levels, and further deterioration of their mental well-being.
Providing mobile food services would ensure the client has reliable access to healthy meals, which is a foundational step toward stabilizing both their physical and emotional health. With this support in place, the client can focus more effectively on therapeutic goals, medication adherence, and other case management objectives. Ensuring access to food is not only a basic need but a critical part of creating a stable, supportive environment in which the client can make long-term progress.</t>
  </si>
  <si>
    <t>ID-3080</t>
  </si>
  <si>
    <t>11/24 - Scheduled her for 11/26</t>
  </si>
  <si>
    <t>Unity Health Care-Minnesota Ave</t>
  </si>
  <si>
    <t>Holloman</t>
  </si>
  <si>
    <t xml:space="preserve">4347 Martin Luther Jr. Ave </t>
  </si>
  <si>
    <t>(202) 937-7097</t>
  </si>
  <si>
    <t xml:space="preserve">Patient is currently a diabetic which has caused DM type 2 with diabetic peripheral neuropathy </t>
  </si>
  <si>
    <t xml:space="preserve">Keep blood glucose levels stable as evidenced by lab reports and self-report 1-3 months. Promotion of healthy eating habits of foods that are lean proteins and whole grains evidenced by self-report 1-12 months. Improving weight management by reducing weight evidenced by lab reports 1-12 months. </t>
  </si>
  <si>
    <t>9/15 - Awaiting SW's response 9/17 - Spoke with the daughter where she's currently staying at. First delivery scheduled next thursday at her temporary address 1134 Barnaby Terrace SE (240) 310-5151</t>
  </si>
  <si>
    <t>Lyons</t>
  </si>
  <si>
    <t xml:space="preserve">4732 Benning Road </t>
  </si>
  <si>
    <t>(240) 310-5151</t>
  </si>
  <si>
    <t>Patient currently has dementia, hypertension, and diabetes</t>
  </si>
  <si>
    <t xml:space="preserve">Improve independence for the patient when choosing meals with pre planned meals. The patient is able to successfully heat up food independently with no issues for at least 4 out of 5 meals. </t>
  </si>
  <si>
    <t>Dementia</t>
  </si>
  <si>
    <t>ID-3083</t>
  </si>
  <si>
    <t>10/29 - Unavailable. Will call the client again 11/5 - Still unresponsive. Reached out to CW</t>
  </si>
  <si>
    <t>Department of Aging</t>
  </si>
  <si>
    <t>Alston</t>
  </si>
  <si>
    <t>3101 Pennsylvania Ave SE</t>
  </si>
  <si>
    <t>(202) 702-3331</t>
  </si>
  <si>
    <t>Client has knee issues, and is unable to ambulate stairs without assistance</t>
  </si>
  <si>
    <t>client is considering future surgery and her family is not close enough to assist at this time, but the goal is for client to eventually return back to the workforce once her heath concern improves</t>
  </si>
  <si>
    <t>ID-3084</t>
  </si>
  <si>
    <t>11/24 - Scheduled 11/26</t>
  </si>
  <si>
    <t xml:space="preserve">Medstar Georgetown University Hospital </t>
  </si>
  <si>
    <t>(202) 444-1357</t>
  </si>
  <si>
    <t>Tawanda</t>
  </si>
  <si>
    <t>912 Eastern Ave, NE</t>
  </si>
  <si>
    <t>(540) 760-5608</t>
  </si>
  <si>
    <t>Client admitted to MGUH for gallbladder surgery, Will need to take off work for recovery and need assistance with groceries</t>
  </si>
  <si>
    <t>Pt will be able to return to work with full hourly pay after 3-4 months of recovery</t>
  </si>
  <si>
    <t>Client admitted to MGUH for gallbladder surgery, Will need to take off work for recovery</t>
  </si>
  <si>
    <t>ID-3086</t>
  </si>
  <si>
    <t xml:space="preserve">9/15 - Awaiting SW's response 10/9 - Client is scheduled for a delivery </t>
  </si>
  <si>
    <t>Steve</t>
  </si>
  <si>
    <t>Watkins Jr</t>
  </si>
  <si>
    <t>2501 25th St SE Apt 103</t>
  </si>
  <si>
    <t>Apt 103</t>
  </si>
  <si>
    <t>(202) 256-3317</t>
  </si>
  <si>
    <t>Client recently hospitalized pneumonia, and stroke, unable to work or leave home without assistance</t>
  </si>
  <si>
    <t>client is seeking therapy and assistance getting aide service in place, the assistance will help him tremendously with the transition</t>
  </si>
  <si>
    <t>ID-3090</t>
  </si>
  <si>
    <t>9/15 - Awaiting SW's response - 9/17 - Scheduled her first delivery on 10/2</t>
  </si>
  <si>
    <t>tamaracoln@myprestigehealth.com</t>
  </si>
  <si>
    <t>1418 Good Hope Rd SE- Prestige</t>
  </si>
  <si>
    <t>(301) 641-3153</t>
  </si>
  <si>
    <t>Theresa</t>
  </si>
  <si>
    <t>Sherrer</t>
  </si>
  <si>
    <t>350 50th street Washington DC</t>
  </si>
  <si>
    <t>(202) 701-1224</t>
  </si>
  <si>
    <t xml:space="preserve">Consumer assigned to our ACT team at Prestige </t>
  </si>
  <si>
    <t xml:space="preserve">To acquire food resources bi - weekly to supplement food supply and nutrition. </t>
  </si>
  <si>
    <t>ID-0516</t>
  </si>
  <si>
    <t>11/24 - Scheduiled his first 11/26 &amp; 12/22</t>
  </si>
  <si>
    <t>(202) 540-9857</t>
  </si>
  <si>
    <t>MARLON</t>
  </si>
  <si>
    <t>CAUGHMAN</t>
  </si>
  <si>
    <t>4004 WHEELER RD SE</t>
  </si>
  <si>
    <t>(202) 230-6022</t>
  </si>
  <si>
    <t xml:space="preserve">Patient has residual effects from stroke, anemia, type 2 diabetes and chronic pain </t>
  </si>
  <si>
    <t>Measurable goals are for the patient's A1C to be lowered and to cook healthy meals.</t>
  </si>
  <si>
    <t>Duplicate Scheduled until 12/12</t>
  </si>
  <si>
    <t xml:space="preserve">3700 9th St Se </t>
  </si>
  <si>
    <t>Ms. Carey recently broke her hip and leg, and is unable to walk. Ms. Carey is diagnosed with depression due to her physical state and does not do well around others. She's unable to walk, wheelchair bound.</t>
  </si>
  <si>
    <t>We are working on physical therapy to help her get back on her feet, and taking her medications on time.</t>
  </si>
  <si>
    <t>Existing client and Scheduled until 12/23</t>
  </si>
  <si>
    <t>klee@dcdoors.org</t>
  </si>
  <si>
    <t>Kizan Lee</t>
  </si>
  <si>
    <t>(202) 438-8946</t>
  </si>
  <si>
    <t>1222 Van Street SE Washington, DC</t>
  </si>
  <si>
    <t>Client suffers from a mental health diagnosis- Depression, Unsteady gait/ hip replaced on one side, and needs surgery (Sept. 2025) for the other.</t>
  </si>
  <si>
    <t>Addressing physical and mental health is measured every three months</t>
  </si>
  <si>
    <t>ID-3089</t>
  </si>
  <si>
    <t>2802 Devonshire Pl NW</t>
  </si>
  <si>
    <t>(202) 745-0359</t>
  </si>
  <si>
    <t>Client homebound, reports difficulty with ambulation.</t>
  </si>
  <si>
    <t>client is in active treatment for her legs, and controlling her diabetes</t>
  </si>
  <si>
    <t xml:space="preserve">10/29 - Duplciate Scheduled until 12/25 </t>
  </si>
  <si>
    <t>Volare</t>
  </si>
  <si>
    <t>(202) 794-8681</t>
  </si>
  <si>
    <t>Devine</t>
  </si>
  <si>
    <t>535 49th Place NE</t>
  </si>
  <si>
    <t xml:space="preserve">Client is a single parent who struggles with ADL's pertaining to grocery shopping due to her multiple physical illness and mental health/trauma history. </t>
  </si>
  <si>
    <t xml:space="preserve">Identify food pantries accessible in community; identify community supports for ADL assistance </t>
  </si>
  <si>
    <t>ID-3093</t>
  </si>
  <si>
    <t>11/24 - Scheduled 11/26 &amp; 12/29</t>
  </si>
  <si>
    <t>Florinda</t>
  </si>
  <si>
    <t>Lopez</t>
  </si>
  <si>
    <t>3900 14th st NW apt 703</t>
  </si>
  <si>
    <t>(240) 427-6623</t>
  </si>
  <si>
    <t>Client suffers from anxiety and depression due to having a baby with a disability and unable to receive additional financial support from government programs. Client is seeking temporary help to assist her and her family.</t>
  </si>
  <si>
    <t xml:space="preserve">Wants to apply for SNAP. </t>
  </si>
  <si>
    <t xml:space="preserve">Client if currently unemployed with her husband, has two older children in college whom are full-time students. Client has a baby with physical disability and is unable to work as she takes care of him and ensures he visits the doctor for his surgeries and follow ups. </t>
  </si>
  <si>
    <t>ID-3094</t>
  </si>
  <si>
    <t>10/29 - Contact info is her CW's phone number since she doesn't have her own at the moment. Scheduled 10/31</t>
  </si>
  <si>
    <t>Gabriel Soto</t>
  </si>
  <si>
    <t>Leonora</t>
  </si>
  <si>
    <t>Rivas</t>
  </si>
  <si>
    <t>1448 Park Road NW</t>
  </si>
  <si>
    <t>(202) 308-4903</t>
  </si>
  <si>
    <t xml:space="preserve">My client could benefit from these resources because she is a single parent and domestic violence survivor. My client is currently unemployed and not receiving any other benefits except having health insurance. My client is still waiting to hear back from WIC services. </t>
  </si>
  <si>
    <t xml:space="preserve">My client will be applying for SNAP once her baby's social security number arrives. </t>
  </si>
  <si>
    <t xml:space="preserve">MOB is living in a short-term shelter, recently gave birth to baby two weeks ago. Shelter does not provide food resources. MOB is going to be at the shelter for two months and is unemployed due to giving birth and leaving abusive partner. </t>
  </si>
  <si>
    <t>ID-3095</t>
  </si>
  <si>
    <t>11/5 - Called client and scheduled 11/7 &amp; 12/5</t>
  </si>
  <si>
    <t>augustine.koroma@cc-dc.org</t>
  </si>
  <si>
    <t>Augustine Koroma</t>
  </si>
  <si>
    <t>Catholic Charities Archdiocese of Washington DC</t>
  </si>
  <si>
    <t>(202) 977-5328</t>
  </si>
  <si>
    <t>2505 12th Street, SE</t>
  </si>
  <si>
    <t>(771) 233-4686</t>
  </si>
  <si>
    <t>Client is wheelchair bound and going through financial and health challenges. He appears to be undernourished as well.</t>
  </si>
  <si>
    <t>Client and I plan to start working on a budget plan to purchase adequate balanced food supplies.</t>
  </si>
  <si>
    <t>ID-3098</t>
  </si>
  <si>
    <t xml:space="preserve">Mercado </t>
  </si>
  <si>
    <t>5116 2nd St NW Apt 2</t>
  </si>
  <si>
    <t>apt 2</t>
  </si>
  <si>
    <t>(202) 491-4796</t>
  </si>
  <si>
    <t xml:space="preserve">Mother is single-parent, not approved for SNAP, currently in post-partum period experiencing post-partum depression, father of children is not present and does not support Ms. Maria. She is currently unemployed due to caring for her newborn baby. Ms. Maria requested assistance for two months until she can find a job and childcare for her baby. </t>
  </si>
  <si>
    <t xml:space="preserve">Support with Ms. Maria with her post-partum depression, allow her to find part-time employment and childcare. Food delivery will support her mental health and wellness. </t>
  </si>
  <si>
    <t>ID-3099</t>
  </si>
  <si>
    <t>11/30 - Scheduled until 1/9/26</t>
  </si>
  <si>
    <t>(202) 970-7412</t>
  </si>
  <si>
    <t>Shelia</t>
  </si>
  <si>
    <t>Reid</t>
  </si>
  <si>
    <t>904 MADISON ST NW</t>
  </si>
  <si>
    <t>‪(202) 749-5472‬</t>
  </si>
  <si>
    <t>client has difficulty coming in for appointments, unsure if due to mental or physical health</t>
  </si>
  <si>
    <t>11/24 - Scheduled for 11/24 &amp; 12/22</t>
  </si>
  <si>
    <t>surekha.cohen@cohdc.org</t>
  </si>
  <si>
    <t>Surekha Cohen</t>
  </si>
  <si>
    <t>(202) 965-8619</t>
  </si>
  <si>
    <t>Alicia</t>
  </si>
  <si>
    <t>Tolliver</t>
  </si>
  <si>
    <t>40 ELMIRA ST SW , WASHINGTON, DC</t>
  </si>
  <si>
    <t>poor mental health, visual impairment, severe anxiety</t>
  </si>
  <si>
    <t xml:space="preserve">Client reports severe anxiety preventing her from leaving the home to go to the grocery store without support from aide who is only available 1 hour weekly. </t>
  </si>
  <si>
    <t xml:space="preserve">Patient is working with individual and group therapy to manage severe anxiety to be able to manage leaving the without assistance. Pt is scheduling with retinal specialist for treatment plan.  </t>
  </si>
  <si>
    <t>ID-3101</t>
  </si>
  <si>
    <t>11/24 - Called to schedule his next delivery 12/4</t>
  </si>
  <si>
    <t>eucharia.d@ahrhomecare.com</t>
  </si>
  <si>
    <t>Absolute Healthcare Resources</t>
  </si>
  <si>
    <t>(202) 375-9455</t>
  </si>
  <si>
    <t>2515 ALABAMA AVE SE, WASHINGTON, DC, 20020</t>
  </si>
  <si>
    <t>UNIT 214</t>
  </si>
  <si>
    <t>(202) 582-0495</t>
  </si>
  <si>
    <t xml:space="preserve">The beneficiary lives alone and is bed bound. </t>
  </si>
  <si>
    <t xml:space="preserve">The beneficiary is diabetic. My goal is that he would have a normal blood sugar reading in the next 12 months while eating healthier food options.  </t>
  </si>
  <si>
    <t>ID-3102</t>
  </si>
  <si>
    <t>9/15 - Awaiting CW's response 9/17 - Client unresponsive, confirming updated contact with the CW  - 10/3 - Spoke with the client and scheduled her first delivery 10/9</t>
  </si>
  <si>
    <t>Veronika</t>
  </si>
  <si>
    <t>Ward</t>
  </si>
  <si>
    <t>1301 BELMONT STREET NW, WASHINGTON, DC, 20009</t>
  </si>
  <si>
    <t>Apt 11</t>
  </si>
  <si>
    <t>(202) 290-7184</t>
  </si>
  <si>
    <t xml:space="preserve">Beneficiary is bed bound and she lives alone. </t>
  </si>
  <si>
    <t xml:space="preserve">Ms. Veronika Ward would select from and eat healthier food options. </t>
  </si>
  <si>
    <t>ID-3103</t>
  </si>
  <si>
    <t>Scheduled until 12/11</t>
  </si>
  <si>
    <t xml:space="preserve">Crystal </t>
  </si>
  <si>
    <t xml:space="preserve">1317 Columbia Road NW </t>
  </si>
  <si>
    <t>(202) 270-5532</t>
  </si>
  <si>
    <t xml:space="preserve">Patient has breast cancer, Type 2 Diabetes, Chronic Gerd and other comorbid diagnoses </t>
  </si>
  <si>
    <t xml:space="preserve">That Patient can stabilize nutrition with medical conditions and work on getting connected to SNAP benefits and other food pantry supports that her daughter might be able to help her pick up as Patient is homebound due to medical conditions. </t>
  </si>
  <si>
    <t>ID-3104</t>
  </si>
  <si>
    <t>9/15 - Awaiting SW's response 9/17 - Spoke to client and scheduled delivery 9/26</t>
  </si>
  <si>
    <t>mchafin@childrensnational.org</t>
  </si>
  <si>
    <t>Morgan Chafin</t>
  </si>
  <si>
    <t>Mommy&amp;Me Study at Children's National Hospital</t>
  </si>
  <si>
    <t>(202) 809-2834</t>
  </si>
  <si>
    <t xml:space="preserve">Laphedona </t>
  </si>
  <si>
    <t>301 G St SW</t>
  </si>
  <si>
    <t>Apt 823</t>
  </si>
  <si>
    <t>(202) 486-4099</t>
  </si>
  <si>
    <t>The client has 4 children at home (2 are deaf, 1 is an infant) and she is diagnosed with epilepsy and suffers from random seizures</t>
  </si>
  <si>
    <t xml:space="preserve">To meet the food needs of herself and her family and prevent nutrition-related physical and mental health concerns for the next 6 months.  </t>
  </si>
  <si>
    <t>ID-3106</t>
  </si>
  <si>
    <t>11/24 - Phone number has call restrictions, clarify with the CW</t>
  </si>
  <si>
    <t>6701 14th St NW</t>
  </si>
  <si>
    <t>(202) 650-3471</t>
  </si>
  <si>
    <t>Mental health diagnosis, asthma, obstructive sleep apnea, bipolar</t>
  </si>
  <si>
    <t>We are working on him taking his medication as prescribed, and budgeting his 80$in food stamps.</t>
  </si>
  <si>
    <t>ID-1437</t>
  </si>
  <si>
    <t>9/15 - Awaiting SW's response 9/17 - Spoke to client and scheduled her first delivery 9/25</t>
  </si>
  <si>
    <t>Myisha</t>
  </si>
  <si>
    <t>Wilson</t>
  </si>
  <si>
    <t xml:space="preserve">1524 Isherwood St NE </t>
  </si>
  <si>
    <t>(202) 607-5540</t>
  </si>
  <si>
    <t>Client has a severe congested heart failure condition which has caused her to have multiple stays in and out of the hospital. Ms. Wilson is diagnosed with manic depression.</t>
  </si>
  <si>
    <t>We are working on her health to ensure she's able to get up and get out to get to the grocery store.</t>
  </si>
  <si>
    <t>ID-1439</t>
  </si>
  <si>
    <t>11/24 - Scheduled for 11/25 &amp; 12/23</t>
  </si>
  <si>
    <t xml:space="preserve">4000 Benning Road </t>
  </si>
  <si>
    <t>(202) 847-8364</t>
  </si>
  <si>
    <t>Client is wheelchair bound, and suffers from poor mental health.</t>
  </si>
  <si>
    <t>We are working on his physical therapy to try to get him strength to be able to leave the house and go grocery shopping.</t>
  </si>
  <si>
    <t>ID-0534</t>
  </si>
  <si>
    <t xml:space="preserve">New living </t>
  </si>
  <si>
    <t>(301) 476-3261</t>
  </si>
  <si>
    <t xml:space="preserve">Michael </t>
  </si>
  <si>
    <t>Powell</t>
  </si>
  <si>
    <t xml:space="preserve">501 I st NW </t>
  </si>
  <si>
    <t>(202) 300-8800</t>
  </si>
  <si>
    <t>NA</t>
  </si>
  <si>
    <t xml:space="preserve">to get the client food and transportation assistance </t>
  </si>
  <si>
    <t>ID-1469</t>
  </si>
  <si>
    <t>Scheduled first delivery 10/2</t>
  </si>
  <si>
    <t>claudelia_davis@optum.com</t>
  </si>
  <si>
    <t xml:space="preserve">Claudelia Davis </t>
  </si>
  <si>
    <t>United Healthcare/Optum at Home</t>
  </si>
  <si>
    <t>(202) 579-0809</t>
  </si>
  <si>
    <t>Glasshebar</t>
  </si>
  <si>
    <t xml:space="preserve">Anderson Somerville </t>
  </si>
  <si>
    <t xml:space="preserve">2201 SAVANNAH ST </t>
  </si>
  <si>
    <t>(202) 878-4979</t>
  </si>
  <si>
    <t xml:space="preserve">member is a 69 year old African American woman who is disabled due to a BKA and chronic medical conditions.   </t>
  </si>
  <si>
    <t>improved nutrition and access to consistent food resources</t>
  </si>
  <si>
    <t>ID-1471</t>
  </si>
  <si>
    <t>Deroscoe</t>
  </si>
  <si>
    <t xml:space="preserve">Wright </t>
  </si>
  <si>
    <t xml:space="preserve">	2632 Martin Luther King Jr. Ave. </t>
  </si>
  <si>
    <t xml:space="preserve">T20 </t>
  </si>
  <si>
    <t>(404) 552-3933</t>
  </si>
  <si>
    <t xml:space="preserve">member has a serious mental illness, Parkinson's disease  and other co-morbidities.  He has left sided weakness due to a stroke and uses a wheelchair. </t>
  </si>
  <si>
    <t>improved nutrition and access to healthy groceries.</t>
  </si>
  <si>
    <t>ID-1473</t>
  </si>
  <si>
    <t>9/17 - Scheduled for 10/02 &amp; 10/31</t>
  </si>
  <si>
    <t>chernandez@wheelercreekcdc.org</t>
  </si>
  <si>
    <t>Cynthia Hernandez</t>
  </si>
  <si>
    <t>(202) 391-3515</t>
  </si>
  <si>
    <t>Escobar</t>
  </si>
  <si>
    <t xml:space="preserve">7444 Georgia Ave NW </t>
  </si>
  <si>
    <t>poor mental health, scared of getting arrested by ICE and mental health</t>
  </si>
  <si>
    <t xml:space="preserve">Anxiety due to ICE presence. </t>
  </si>
  <si>
    <t>Wait until ICE presence diminishes so he can go back out into the community to food pantries.</t>
  </si>
  <si>
    <t>ID-1475</t>
  </si>
  <si>
    <t>9/17 - Called and scheduled her first delivery on 9/25</t>
  </si>
  <si>
    <t>kimberly.s.bennett@medstar.net</t>
  </si>
  <si>
    <t>Kim Bennett</t>
  </si>
  <si>
    <t>MGUH ID</t>
  </si>
  <si>
    <t>(202) 784-2083</t>
  </si>
  <si>
    <t>Fredreicia</t>
  </si>
  <si>
    <t>Drew</t>
  </si>
  <si>
    <t>10 and Half Handover Pl NW</t>
  </si>
  <si>
    <t>(202) 286-3812</t>
  </si>
  <si>
    <t>Ms. Drew has custody of her grandson whose brother also stays with her. She has been living with several chronic health conditions since I met her in 2014. She has struggled off and on with her mental health conditions as well. There have been memory concerns as well, forgetting appointments or to send in applications for assistance. I do not think she could go alone to a food bank and transport the food home, especially since she does not drive.</t>
  </si>
  <si>
    <t>To maintain good nutrition and access food for herself (and grandchildren if possible).</t>
  </si>
  <si>
    <t>ID-1483</t>
  </si>
  <si>
    <t>Scheduled 11/14</t>
  </si>
  <si>
    <t xml:space="preserve">MBI Health Services </t>
  </si>
  <si>
    <t>Bolden</t>
  </si>
  <si>
    <t xml:space="preserve">1900 C St Washington DC </t>
  </si>
  <si>
    <t>(202) 553-1218</t>
  </si>
  <si>
    <t>This client is an amputee in a wheel chair</t>
  </si>
  <si>
    <t>CM will work with Home Health Aid to address food concern</t>
  </si>
  <si>
    <t>ID-1485</t>
  </si>
  <si>
    <t>11/24 - Needs a Spanish Speaker</t>
  </si>
  <si>
    <t>Yuridin</t>
  </si>
  <si>
    <t xml:space="preserve">Rodriguez </t>
  </si>
  <si>
    <t xml:space="preserve">1926 I ST NE Washington, DC </t>
  </si>
  <si>
    <t xml:space="preserve">apt 3 </t>
  </si>
  <si>
    <t>(202) 607-1643</t>
  </si>
  <si>
    <t xml:space="preserve">My client is requesting assistance for 3 months until she her parents health improves. </t>
  </si>
  <si>
    <t xml:space="preserve">Client, will apply for SNAP benefits once she receives documentation to become eligible. This resource will support my clients mental health and support her family who is in great need.  </t>
  </si>
  <si>
    <t xml:space="preserve">My client, is currently a single mother, unemployed and full-time caregiver to both her parents both whom have chronic disabilities. My client has informed me that she does not have income to financially support her family with food and her local foodbank closed. </t>
  </si>
  <si>
    <t>ID-1487</t>
  </si>
  <si>
    <t>11/24 - Client unavailable will call back</t>
  </si>
  <si>
    <t>felicia.norman@cc-dc.og</t>
  </si>
  <si>
    <t xml:space="preserve">Felicia Norman </t>
  </si>
  <si>
    <t>(202) 635-5993</t>
  </si>
  <si>
    <t xml:space="preserve">Latrell </t>
  </si>
  <si>
    <t xml:space="preserve">Luckey </t>
  </si>
  <si>
    <t xml:space="preserve">900 22nd St NE </t>
  </si>
  <si>
    <t>(202) 425-8523</t>
  </si>
  <si>
    <t>Stage 4 Cancer. Difficulty with mobility, swallowing, fatigue, pain, standing ,and focusing.</t>
  </si>
  <si>
    <t>Build up her stability and mobility</t>
  </si>
  <si>
    <t>ID-1489</t>
  </si>
  <si>
    <t>11/24 - Scheduled client 11/25 &amp; 12/23</t>
  </si>
  <si>
    <t xml:space="preserve">David </t>
  </si>
  <si>
    <t>Alde</t>
  </si>
  <si>
    <t xml:space="preserve">1801 Clydesdale Place </t>
  </si>
  <si>
    <t>(301) 460-6129</t>
  </si>
  <si>
    <t xml:space="preserve">Consumer recently had to have his tendon re-attached to his knee cap. Mobility is limited. </t>
  </si>
  <si>
    <t xml:space="preserve">Taking medications, attending appointments in the community. </t>
  </si>
  <si>
    <t xml:space="preserve">DUPLICATE ENTRY </t>
  </si>
  <si>
    <t>Christy</t>
  </si>
  <si>
    <t>510 I st Nw apt 401 Washington DC, 20001</t>
  </si>
  <si>
    <t xml:space="preserve">Client is dealing with on going mental health stressors and physical health due to accident </t>
  </si>
  <si>
    <t>Work with client to get food assistance and home health aide to assist with cooking and taking care of daily needs</t>
  </si>
  <si>
    <t>ID-1493</t>
  </si>
  <si>
    <t>11/5 - Client is scheduled 11/7 &amp; 12/5</t>
  </si>
  <si>
    <t xml:space="preserve">United Healthcare/Optum at Home </t>
  </si>
  <si>
    <t xml:space="preserve">Patricia </t>
  </si>
  <si>
    <t>Trim</t>
  </si>
  <si>
    <t>3201 8th St NE Apt 1210</t>
  </si>
  <si>
    <t>Apt 1210</t>
  </si>
  <si>
    <t>(202) 971-2727</t>
  </si>
  <si>
    <t xml:space="preserve">Member is bedbound and with several co-morbidities.  </t>
  </si>
  <si>
    <t xml:space="preserve">improved nutrition and access to food resources </t>
  </si>
  <si>
    <t>ID-1495</t>
  </si>
  <si>
    <t>nicole.goldman@medstar.net</t>
  </si>
  <si>
    <t>Nicole Goldman</t>
  </si>
  <si>
    <t>MGUH</t>
  </si>
  <si>
    <t>(202) 444-0386</t>
  </si>
  <si>
    <t>Russell</t>
  </si>
  <si>
    <t xml:space="preserve">200 RHODE ISLAND AVE </t>
  </si>
  <si>
    <t>APT 216</t>
  </si>
  <si>
    <t>(240) 616-5977</t>
  </si>
  <si>
    <t>Pt has lupus and bipolar. She also has chronic pain and chronic neutropenia​​​​​​​</t>
  </si>
  <si>
    <t>To receive meal deliveries in the next month</t>
  </si>
  <si>
    <t>ID-1497</t>
  </si>
  <si>
    <t>10/3 - Called client and scheduled her first delivery 10/9</t>
  </si>
  <si>
    <t>Hatfield</t>
  </si>
  <si>
    <t>2 L Street NW</t>
  </si>
  <si>
    <t>(202) 567-1875</t>
  </si>
  <si>
    <t>Client is afraid to leave her home because she has been criminally harassed, stalked and assaulted by her neighbors. She tends to be homebound.</t>
  </si>
  <si>
    <t>Client is not only afraid to leave her house but also has various ailments that prevent her from going very far.</t>
  </si>
  <si>
    <t xml:space="preserve">I am working with the client to help her break her lease so she can move to another location, and am helping her to feel more comfortable in her surroundings and her environment. I hope that she can get the appropriate sustenance to fuel her mind and body. </t>
  </si>
  <si>
    <t>See above</t>
  </si>
  <si>
    <t>ID-1499</t>
  </si>
  <si>
    <t>11/24 - Sent a text message to CW since client doesnt have a phone.</t>
  </si>
  <si>
    <t>ehollandsworth25@risingforjustice.org</t>
  </si>
  <si>
    <t>Emma Hollandsworth</t>
  </si>
  <si>
    <t>Rising for Justice</t>
  </si>
  <si>
    <t>(202) 559-4924</t>
  </si>
  <si>
    <t>Kabore</t>
  </si>
  <si>
    <t xml:space="preserve">5233 N Capitol St NE </t>
  </si>
  <si>
    <t>This client has limited vision and respiratory issues.</t>
  </si>
  <si>
    <t xml:space="preserve">Over the months this client receives food aid, he will have more stability which would help him be able to search for a job or volunteer opportunity to engage in. He would not have to take time to go to food banks that are inaccessible for him due to his vision and lack of family/friends to accompany him. </t>
  </si>
  <si>
    <t>ID-1501</t>
  </si>
  <si>
    <t>11/24 - Client unavailable will call back again</t>
  </si>
  <si>
    <t>Kinara Health and Home Care Servies.</t>
  </si>
  <si>
    <t>Wynter</t>
  </si>
  <si>
    <t>200 North Capitol Street NW, Washington, DC</t>
  </si>
  <si>
    <t>(301) 996-5588</t>
  </si>
  <si>
    <t xml:space="preserve">My Client is presently having medical condition and also client has a mental health issue and presently with Kinara Health and Home Care Services. </t>
  </si>
  <si>
    <t xml:space="preserve">My goal is for Ms. Mack to maintain consistent access to sufficient and nutritious food to support overall physical and mental well-being. </t>
  </si>
  <si>
    <t>ID-1503</t>
  </si>
  <si>
    <t xml:space="preserve">Kinara Health and Home Care Services. </t>
  </si>
  <si>
    <t>Byrd</t>
  </si>
  <si>
    <t>800 SOUTHERN AVENUE SE, WASHINGTON, DC</t>
  </si>
  <si>
    <t>APT#111</t>
  </si>
  <si>
    <t>(301) 537-3193</t>
  </si>
  <si>
    <t xml:space="preserve">My client is presently with Kinara HCS  for mental health services to help with his depression. </t>
  </si>
  <si>
    <t xml:space="preserve">My goals is for my client to have sufficient food in next 12 months. </t>
  </si>
  <si>
    <t>ID-1505</t>
  </si>
  <si>
    <t>11/30 - Unavailable, will call again</t>
  </si>
  <si>
    <t>dsainvil@childrensnational.org</t>
  </si>
  <si>
    <t>Darlene Sainvil</t>
  </si>
  <si>
    <t>Children's National</t>
  </si>
  <si>
    <t>(202) 476-3190</t>
  </si>
  <si>
    <t>Dawntay</t>
  </si>
  <si>
    <t>Satterwhite</t>
  </si>
  <si>
    <t xml:space="preserve"> 2115 2ND ST</t>
  </si>
  <si>
    <t>(202) 445-4968</t>
  </si>
  <si>
    <t xml:space="preserve">She is on disability due to mental health challenges/diagnosis. </t>
  </si>
  <si>
    <t xml:space="preserve">I have only worked with the family while one of the children were admitted. I no longer work with the family. </t>
  </si>
  <si>
    <t>ID-1507</t>
  </si>
  <si>
    <t>10/29 Scheduled first delivery 10/31 and in advance for 11/28 &amp; 12/26</t>
  </si>
  <si>
    <t>DaVita Kidney Care (Washington Southeast Dialysis)</t>
  </si>
  <si>
    <t>Pierce</t>
  </si>
  <si>
    <t xml:space="preserve">2531 SAVANNAH ST SE, WASHINGTON, DC </t>
  </si>
  <si>
    <t>(202) 971-2278</t>
  </si>
  <si>
    <t xml:space="preserve">Pt diagnosed with End-Stage Renal Disease and receives dialysis 3/week since 1/21/25. Pt recently had a stroke earlier in September and has appeared less alert and oriented. Pt also has Type 2 Diabetes. Pt ambulates with a wheelchair and requires assistance with ADLs. </t>
  </si>
  <si>
    <t>Complete full treatment time; improve and maintain stable parathyroid hormone, albumin, and phosphorous levels</t>
  </si>
  <si>
    <t>DUPLICATE ENTRY - Client already receiving deliveries</t>
  </si>
  <si>
    <t>Janet.obi-rapu@ccdc1.org</t>
  </si>
  <si>
    <t>Janet Obi-Rapu</t>
  </si>
  <si>
    <t>(202) 230-9411</t>
  </si>
  <si>
    <t xml:space="preserve">Myisha </t>
  </si>
  <si>
    <t>Client has chronic physical health problems and mental health problems.</t>
  </si>
  <si>
    <t>Clients wants to work on maintaining her housing and provide quality meals for her children.</t>
  </si>
  <si>
    <t>ID-1511</t>
  </si>
  <si>
    <t>11/05 - Scheduled 11/07</t>
  </si>
  <si>
    <t>jliteral@hschealth.org</t>
  </si>
  <si>
    <t>Justine Literal</t>
  </si>
  <si>
    <t>(771) 216-4556</t>
  </si>
  <si>
    <t>Marlene</t>
  </si>
  <si>
    <t>Todd</t>
  </si>
  <si>
    <t>3915 R St SE Apt 3</t>
  </si>
  <si>
    <t>(240) 444-9220</t>
  </si>
  <si>
    <t>Marlene is a single mom who has both of her daughters living at home with her. Her youngest daughter, Evah, has a disability that qualifies her for HSCSN benefits. Ms. Todd works full time to support her family and does not receive any support, physically or monetarily, from the girls' father. She is having extreme trouble making ends meet and the family has, at times, gone without food. She works during the day and has not been able to find a food bank that is open during the times when she does not work. Any assistance that could be provided would be extremely helpful!</t>
  </si>
  <si>
    <t xml:space="preserve">Ms. Todd's daughter, Evah, is my client, and all of our goals are related to her mental health and receiving services over the next 6 months to assist with mitigation of the symptoms she experiences. </t>
  </si>
  <si>
    <t>ID-3113</t>
  </si>
  <si>
    <t>11/30 - Unavailable trying schedule his first delivery. Will call back</t>
  </si>
  <si>
    <t>ethomas@lesdc.org</t>
  </si>
  <si>
    <t>Edna Thomas</t>
  </si>
  <si>
    <t>(703) 687-8609</t>
  </si>
  <si>
    <t xml:space="preserve">Reather </t>
  </si>
  <si>
    <t>3721 D Street SE</t>
  </si>
  <si>
    <t>(202) 802-0725</t>
  </si>
  <si>
    <t>Client suffers with mental illness, limited physical ability</t>
  </si>
  <si>
    <t xml:space="preserve"> not income qualified when previously applied reapplying</t>
  </si>
  <si>
    <t>ID-3114</t>
  </si>
  <si>
    <t>11/05 - Duplicate only for recertification - Scheduled 11/5 &amp; 12/4</t>
  </si>
  <si>
    <t>aleia_fagan@optum.com</t>
  </si>
  <si>
    <t>Aleia Fagan,LICSW</t>
  </si>
  <si>
    <t>United Health Care Optum at Home</t>
  </si>
  <si>
    <t>(202) 308-8945</t>
  </si>
  <si>
    <t>Eleanora</t>
  </si>
  <si>
    <t xml:space="preserve">Wilson </t>
  </si>
  <si>
    <t xml:space="preserve">1422 N Street Apt 512 </t>
  </si>
  <si>
    <t>(202) 597-0353</t>
  </si>
  <si>
    <t>Member is a fall risk and requires supervision when ambulating</t>
  </si>
  <si>
    <t>none</t>
  </si>
  <si>
    <t xml:space="preserve">Eleanora will consume 2-3 fruits, vegetables and healthy proteins 5-7 times a week for the next 4 months. </t>
  </si>
  <si>
    <t>11/10 - Duplicate entry. Already an exisitng client. Will call to schedule a new delivery</t>
  </si>
  <si>
    <t xml:space="preserve">1827 GOOD HOPE ROAD </t>
  </si>
  <si>
    <t>Client has diagnosis of Cancer, high blood pressure and assistance with mobility</t>
  </si>
  <si>
    <t>She work with her case manager monthly and as needed to assess need resources to maintain physical and emotional health.</t>
  </si>
  <si>
    <t>ID-3116</t>
  </si>
  <si>
    <t>Sonora</t>
  </si>
  <si>
    <t xml:space="preserve">2714 WADE RD </t>
  </si>
  <si>
    <t>(202) 830-8984</t>
  </si>
  <si>
    <t xml:space="preserve">Client is receiving behavioral health services for substance use. She has high blood pressure and arthritis. </t>
  </si>
  <si>
    <t xml:space="preserve">She continue to attain therapy weekly with her behavioral health specialist. </t>
  </si>
  <si>
    <t>ID-3117</t>
  </si>
  <si>
    <t>11/30 - Scheduled his first this 12/4 &amp; 1/8/26</t>
  </si>
  <si>
    <t>Kenea09@yahoo.com</t>
  </si>
  <si>
    <t>New living</t>
  </si>
  <si>
    <t xml:space="preserve">Browne </t>
  </si>
  <si>
    <t>5920 14th st NW</t>
  </si>
  <si>
    <t>(240) 962-3689</t>
  </si>
  <si>
    <t xml:space="preserve">Elderly client dealing with Physical disability </t>
  </si>
  <si>
    <t xml:space="preserve">Waiting on Home health aide </t>
  </si>
  <si>
    <t>ID-3118</t>
  </si>
  <si>
    <t>10/29 - Scheduled 11/7</t>
  </si>
  <si>
    <t>Curry</t>
  </si>
  <si>
    <t>1100 Dahlia St NW</t>
  </si>
  <si>
    <t>Apt 459</t>
  </si>
  <si>
    <t>(202) 373-2879</t>
  </si>
  <si>
    <t>poor physical health, just received multiple surgeries on left leg</t>
  </si>
  <si>
    <t xml:space="preserve">Client will be homebound as she heals from her operations. </t>
  </si>
  <si>
    <t xml:space="preserve">My client will heal and work with home physical therapy over the next 5 months to regain strength and mobility. She will then be able to resume her activities of daily living like grocery shopping. </t>
  </si>
  <si>
    <t>discharging hospital on 10/21/25 in wheelchair after receiving multiple surgeries on left leg</t>
  </si>
  <si>
    <t>ID-3119</t>
  </si>
  <si>
    <t>11/30 - Scheduled her first 12/5 &amp; 1/9/26</t>
  </si>
  <si>
    <t>Greene</t>
  </si>
  <si>
    <t xml:space="preserve">2946 2nd Se </t>
  </si>
  <si>
    <t>(202) 594-1832</t>
  </si>
  <si>
    <t>Ms. Greene is currently in physical therapy for her medical diagnosis. She is in need of weekly deliveries due to her not being able to walk up and down the steps, having a heart surgery, not receiving food stamps due to Trump orders, and not receiving any income.</t>
  </si>
  <si>
    <t>ID-3120</t>
  </si>
  <si>
    <t>10/17 - Scheduled until 12/12</t>
  </si>
  <si>
    <t>James@Volare-Empowers.org</t>
  </si>
  <si>
    <t>Volare-Empowers</t>
  </si>
  <si>
    <t xml:space="preserve">Angela </t>
  </si>
  <si>
    <t>Butts</t>
  </si>
  <si>
    <t xml:space="preserve">1835 3rd St NE </t>
  </si>
  <si>
    <t>(202) 697-8249</t>
  </si>
  <si>
    <t>poor mental health, Survivor of SA and DV</t>
  </si>
  <si>
    <t xml:space="preserve">Client recently supported and relocated by DC SAFE and House of Ruth Womens shelter for safety placement from experiencing SA/DV. Client has recently been placed in long-term housing placement and in dire need for food delivery. </t>
  </si>
  <si>
    <t xml:space="preserve">I measure that the client would obtain gainful employment with-in a 4-6 month span. </t>
  </si>
  <si>
    <t>ID-3121</t>
  </si>
  <si>
    <t>11/30 - Spoke with the daughter and scheduled their first delivery 12/5 &amp; 1/15/26</t>
  </si>
  <si>
    <t>Corrine</t>
  </si>
  <si>
    <t xml:space="preserve">225 I ST NE, </t>
  </si>
  <si>
    <t>(202) 361-0906</t>
  </si>
  <si>
    <t xml:space="preserve">Ms. Corrine is diagnosed with COPD, high blood pressure, She has a Pace maker, and she is dependent with ADLs and IADLs. </t>
  </si>
  <si>
    <t xml:space="preserve">She continue to attend scheduled medical appointments. She takes her medication daily, and work along side her Case Manager to implement healthy lifestyles as needed. </t>
  </si>
  <si>
    <t>Already an exisitng client and has scheduled deliveries</t>
  </si>
  <si>
    <t>Lena.Naves@medstar.net</t>
  </si>
  <si>
    <t xml:space="preserve">Lena Naves </t>
  </si>
  <si>
    <t xml:space="preserve">Medstar </t>
  </si>
  <si>
    <t>(202) 909-7723</t>
  </si>
  <si>
    <t xml:space="preserve">Nakita </t>
  </si>
  <si>
    <t xml:space="preserve">Baylor </t>
  </si>
  <si>
    <t xml:space="preserve"> 44 GALVESTON ST SW </t>
  </si>
  <si>
    <t>(771) 221-0573</t>
  </si>
  <si>
    <t xml:space="preserve">Patient can't pick up food due to her disability </t>
  </si>
  <si>
    <t>Goals will be reviewed and evaluated over a 3-month period, with check-ins every 4–6 weeks to assess progress and adjust services as needed.</t>
  </si>
  <si>
    <t>ID-3122</t>
  </si>
  <si>
    <t>11/30 - Client unavailable. Will try again</t>
  </si>
  <si>
    <t>Tiffanyholmes@myprestigehealth.com</t>
  </si>
  <si>
    <t xml:space="preserve">Tiffany Holmes </t>
  </si>
  <si>
    <t xml:space="preserve">Prestige Healthcare Resources </t>
  </si>
  <si>
    <t>(202) 227-0414</t>
  </si>
  <si>
    <t xml:space="preserve">Patrise </t>
  </si>
  <si>
    <t xml:space="preserve">Holden </t>
  </si>
  <si>
    <t xml:space="preserve">40 Galveston St.  </t>
  </si>
  <si>
    <t>#102</t>
  </si>
  <si>
    <t>(202) 489-7413</t>
  </si>
  <si>
    <t xml:space="preserve">The client is living with a chronic illness that requires a whole food diet but based on her low socioeconomic level it is difficult to obtain fresh produce. </t>
  </si>
  <si>
    <t xml:space="preserve">Client will work with case manager to increase access to fresh produce to support nutrition and overall health within a year. </t>
  </si>
  <si>
    <t>ID-3123</t>
  </si>
  <si>
    <t>11/24 - Client unavailable will call back again 11/30 - Scheduled 12/5 &amp; 1/15/26</t>
  </si>
  <si>
    <t>Pierre</t>
  </si>
  <si>
    <t>Pollard</t>
  </si>
  <si>
    <t>2844 Wisconsin Ave NW</t>
  </si>
  <si>
    <t>(202) 770-6254</t>
  </si>
  <si>
    <t>Mr. Pollard is diagnosed with schizophrenia and depression.</t>
  </si>
  <si>
    <t>We are currently working on his social anxiety around others.</t>
  </si>
  <si>
    <t>11/30 - Existing client. Scheduled for 12/5</t>
  </si>
  <si>
    <t>DANIELLE</t>
  </si>
  <si>
    <t>RYALS</t>
  </si>
  <si>
    <t>4203 EDSON PL NE</t>
  </si>
  <si>
    <t>APT 1A</t>
  </si>
  <si>
    <t>(202) 315-7710</t>
  </si>
  <si>
    <t>Hard to get out to the grocery store</t>
  </si>
  <si>
    <t>One of the goal is to get to the grocery store. Another goal is to cook and prepare healthier foods.</t>
  </si>
  <si>
    <t>ID-3125</t>
  </si>
  <si>
    <t>11/30 - Scheduled 12/5 &amp; 1/9/26</t>
  </si>
  <si>
    <t>agallagher@maryscenter.org</t>
  </si>
  <si>
    <t>Alexa Gallagher</t>
  </si>
  <si>
    <t>(202) 931-8304</t>
  </si>
  <si>
    <t>Stephens</t>
  </si>
  <si>
    <t>5129 Nannie Helen Burroughs Ave NE</t>
  </si>
  <si>
    <t>Apt 411</t>
  </si>
  <si>
    <t>(202) 200-2967</t>
  </si>
  <si>
    <t xml:space="preserve">severe sciatica in the hip and legs with chronic pain, leaving her homebound </t>
  </si>
  <si>
    <t>I would like her to work on her protein consumption to improve her muscle mass and help with muscle weakness. I talked with Peter from Food For All and he suggested that I fill this form out. Thank you!</t>
  </si>
  <si>
    <t>ID-3126</t>
  </si>
  <si>
    <t>11/24 - Scheduled 11/26 &amp; 12/22</t>
  </si>
  <si>
    <t>Kiri</t>
  </si>
  <si>
    <t>Morton</t>
  </si>
  <si>
    <t>3910 Georgia Ave NW</t>
  </si>
  <si>
    <t>(202) 860-1874</t>
  </si>
  <si>
    <t>Mr. Morton is diagnosed with PTSD, schizoaffective, and bipolar disorder.</t>
  </si>
  <si>
    <t>Mr. Morton and I are working on Mr. Morton taking his injection as prescribed, and coping with being around other individuals.</t>
  </si>
  <si>
    <t>ID-3127</t>
  </si>
  <si>
    <t xml:space="preserve">Arlene </t>
  </si>
  <si>
    <t xml:space="preserve">2486 SKYLAND PL SE, WASHINGTON, DC, </t>
  </si>
  <si>
    <t>(202) 438-2764</t>
  </si>
  <si>
    <t>Client is diagnosed with Parkinson's disease, she has unstable gait, heart disease and Arthritis</t>
  </si>
  <si>
    <t>She continue to attend scheduled preventive medical checkups. She works with case managers to support personal and health goals.</t>
  </si>
  <si>
    <t>ID-3128</t>
  </si>
  <si>
    <t>Waitlisted indefinitely</t>
  </si>
  <si>
    <t>Lamia Smith</t>
  </si>
  <si>
    <t>Sherrie</t>
  </si>
  <si>
    <t>McGrier</t>
  </si>
  <si>
    <t xml:space="preserve">4235 Edson Place  </t>
  </si>
  <si>
    <t>(202) 981-3857</t>
  </si>
  <si>
    <t>Pt has multiple fractures and is unable to travel, shop or stand at pantries or distribution locations</t>
  </si>
  <si>
    <t>Patient is currently under the care of Orthopedics for condition with a goal to fully recover.</t>
  </si>
  <si>
    <t>ID-0571</t>
  </si>
  <si>
    <t>Adrian</t>
  </si>
  <si>
    <t>2301 11th St NW</t>
  </si>
  <si>
    <t>(202) 582-9439</t>
  </si>
  <si>
    <t>Client suffers from mental health, and recently had eye surgery, unable to go out.</t>
  </si>
  <si>
    <t>Once client heals from eye surgery, we will work on Mr. Alexander obtaining a job.</t>
  </si>
  <si>
    <t>ID-3130</t>
  </si>
  <si>
    <t>Pierrette</t>
  </si>
  <si>
    <t xml:space="preserve">653 16th St NE </t>
  </si>
  <si>
    <t>(202) 847-7802</t>
  </si>
  <si>
    <t>Client is diagnosed  with bipolar and an eye condition which causes her to stay inside the house.</t>
  </si>
  <si>
    <t>Once Ms. Garland heals from her eye condition, we will work on getting her to food banks.</t>
  </si>
  <si>
    <t>ID-3131</t>
  </si>
  <si>
    <t>kimberly_west@optum.com</t>
  </si>
  <si>
    <t>Kimberly West</t>
  </si>
  <si>
    <t>Optum/ United Healthcare</t>
  </si>
  <si>
    <t>(202) 655-9351</t>
  </si>
  <si>
    <t>Ragland</t>
  </si>
  <si>
    <t>1250 16th NE</t>
  </si>
  <si>
    <t>(202) 486-8886</t>
  </si>
  <si>
    <t>Fibromyalgia, morbid (severe) obesity, diabetes, hypertension, Dizziness and giddiness, Primary generalized (osteo)arthritis</t>
  </si>
  <si>
    <t>Improve access to prepared food (short term), build consistency with low energy nutrition options (mid term) and reduce impact of fatigue on nutritional intake (long term)</t>
  </si>
  <si>
    <t>ID-3132</t>
  </si>
  <si>
    <t>Teona</t>
  </si>
  <si>
    <t>Watson</t>
  </si>
  <si>
    <t xml:space="preserve">200 RHode Island Ave </t>
  </si>
  <si>
    <t>(202) 749-2493</t>
  </si>
  <si>
    <t>Client is diagnosed with bipolar, PTSD, and high blood pressure.</t>
  </si>
  <si>
    <t>Ms. Watson and I are working on her social anxiety, bipolar, and PTSD.</t>
  </si>
  <si>
    <t>ID-3133</t>
  </si>
  <si>
    <t>rmckinley@mbihs.com</t>
  </si>
  <si>
    <t>Reggie McKinley</t>
  </si>
  <si>
    <t>(202) 325-1006</t>
  </si>
  <si>
    <t>Rosetta</t>
  </si>
  <si>
    <t>Archie</t>
  </si>
  <si>
    <t xml:space="preserve">	4656 Livingston Road SE, Washington DC, 20032 </t>
  </si>
  <si>
    <t>(202) 749-6442</t>
  </si>
  <si>
    <t>This client is bedridden most of the time due to obesity.</t>
  </si>
  <si>
    <t>To increase activity and comply with mental health treatment.</t>
  </si>
  <si>
    <t>Obesity, Mental health diagnosis</t>
  </si>
  <si>
    <t>ID-3134</t>
  </si>
  <si>
    <t>Long</t>
  </si>
  <si>
    <t xml:space="preserve">202 Elmira St SW </t>
  </si>
  <si>
    <t>(202) 905-8787</t>
  </si>
  <si>
    <t>Client is diagnosed with schizoaffective disorder.</t>
  </si>
  <si>
    <t>To help strengthen Mr. Long’s confidence and mental readiness to independently go to the store and purchase his own groceries, supporting his overall goal of increasing self-sufficiency.</t>
  </si>
  <si>
    <t>ID-3135</t>
  </si>
  <si>
    <t>UHC/ Optum</t>
  </si>
  <si>
    <t>Spears</t>
  </si>
  <si>
    <t>5908 southern ave, se</t>
  </si>
  <si>
    <t>(202) 415-9930</t>
  </si>
  <si>
    <t>Gastro-esophageal reflux disease, Dysphagia, Cerebral infarction, Weakness, Malignant Neoplasm of Breast, Diabetes mellitus</t>
  </si>
  <si>
    <t>goals: ensure adequate nutrition, reduce GERD symptoms and aspiration risk, and improve diabetes management and nutrition quality. Member's condition limits her ability to cook, eat safely, and maintain consistent nutrition, With meal referral to FFA, it can ensure weekly dysphagia safe food, reduce aspiration and reflux risk, support diabetes friendly meal intake, and improve functional mobility.</t>
  </si>
  <si>
    <t>ID-3136</t>
  </si>
  <si>
    <t>myunmbam@life-stride.com</t>
  </si>
  <si>
    <t>Mercy Yunmbam</t>
  </si>
  <si>
    <t>Life Stride</t>
  </si>
  <si>
    <t>(240) 305-5241</t>
  </si>
  <si>
    <t xml:space="preserve">Marjorie </t>
  </si>
  <si>
    <t>Gleaton</t>
  </si>
  <si>
    <t xml:space="preserve">881 3rd St </t>
  </si>
  <si>
    <t>(202) 280-9694</t>
  </si>
  <si>
    <t>Client has difficulties with standing for long periods of times and have difficulties with walking. Client also had a mental health diagnosis. Client also has physical disabilities. Client is home bound</t>
  </si>
  <si>
    <t>The goal is to get my client to be able to prepare weekly meal plan to reduce food waste, tracking food inventory, successfully accessing food on her own. All this should be done within her six months of assistance with FFA.</t>
  </si>
  <si>
    <t>ID-3137</t>
  </si>
  <si>
    <t>12/4 - Scheduled 12/11 &amp; 1/8</t>
  </si>
  <si>
    <t>ORobertson@wheelercreekcdc.org</t>
  </si>
  <si>
    <t>Octavia Robertson</t>
  </si>
  <si>
    <t>(202) 696-3483</t>
  </si>
  <si>
    <t xml:space="preserve">3146 16th St NW </t>
  </si>
  <si>
    <t>(240) 478-3404</t>
  </si>
  <si>
    <t>The client is a senior and is bedredding with has a nursing aid daily.</t>
  </si>
  <si>
    <t>continue to work on housing stability</t>
  </si>
  <si>
    <t>ID-3138</t>
  </si>
  <si>
    <t>Gordon</t>
  </si>
  <si>
    <t xml:space="preserve">2320 Chester St </t>
  </si>
  <si>
    <t>(202) 743-9985</t>
  </si>
  <si>
    <t>The client is a senior, broken leg, and doesn't leave her home.</t>
  </si>
  <si>
    <t>to remain stable in her unit</t>
  </si>
  <si>
    <t>hcoryell@iona.org</t>
  </si>
  <si>
    <t>Heather Coryell, LGSW</t>
  </si>
  <si>
    <t>Iona Senior Services</t>
  </si>
  <si>
    <t>(202) 961-1137</t>
  </si>
  <si>
    <t>WIlliam</t>
  </si>
  <si>
    <t>1501 T Street SE</t>
  </si>
  <si>
    <t>(202) 294-4471</t>
  </si>
  <si>
    <t>Due to age and disability client cannot shop safely alone.</t>
  </si>
  <si>
    <t>To meet the client's personal goal of safely aging in place (in his home) for as long as possible.</t>
  </si>
  <si>
    <t>ID-3140</t>
  </si>
  <si>
    <t>alshia.sampene@cc-dc.org</t>
  </si>
  <si>
    <t>Alshia Sampene</t>
  </si>
  <si>
    <t xml:space="preserve">Anchor Mental Health </t>
  </si>
  <si>
    <t>(202) 481-1446</t>
  </si>
  <si>
    <t>McAlister</t>
  </si>
  <si>
    <t xml:space="preserve">1400 FAIRMONT STREET NW </t>
  </si>
  <si>
    <t>(202) 676-6797</t>
  </si>
  <si>
    <t xml:space="preserve">She has very limited mobility which continues to decline. She has been diagnosed with mental health diagnosis and has difficulty being out in crowded places. </t>
  </si>
  <si>
    <t xml:space="preserve">Be able to locate a more permanent food delivery services as her mobility declines. </t>
  </si>
  <si>
    <t>Syarbrough@wheelercreekcdc.org</t>
  </si>
  <si>
    <t>Shaniya Yarbrough</t>
  </si>
  <si>
    <t>(202) 696-3480</t>
  </si>
  <si>
    <t>Brent</t>
  </si>
  <si>
    <t>2121 First Street SW Washington DC 20024</t>
  </si>
  <si>
    <t>Apt#554</t>
  </si>
  <si>
    <t>(202) 945-0102</t>
  </si>
  <si>
    <t>Suffers from PTSD/ Physical Injuries disable</t>
  </si>
  <si>
    <t>Living in healthy environments, keeping up with physical therapy, and maintaining his mental health appts.</t>
  </si>
  <si>
    <t>Bigspoon1976@gmail.com</t>
  </si>
  <si>
    <t>Keisha Johnson</t>
  </si>
  <si>
    <t>(301) 410-1510</t>
  </si>
  <si>
    <t>A.</t>
  </si>
  <si>
    <t>2121 First street</t>
  </si>
  <si>
    <t>Slow walking and mentally ill</t>
  </si>
  <si>
    <t>Keeping all appts</t>
  </si>
  <si>
    <t>ID-6970</t>
  </si>
  <si>
    <t xml:space="preserve">Guadalupe Rodriguez </t>
  </si>
  <si>
    <t>no info</t>
  </si>
  <si>
    <t>Randy Bitrus MD</t>
  </si>
  <si>
    <t>(410) 657-1997</t>
  </si>
  <si>
    <t>Guadalupe</t>
  </si>
  <si>
    <t>Rodriguez Jr</t>
  </si>
  <si>
    <t>519 Kennedy St, NW</t>
  </si>
  <si>
    <t>(202) 597-4825</t>
  </si>
  <si>
    <t>Chronic respiratory disease, specific antibody deficiency, and bilateral knee osteoarthritis</t>
  </si>
  <si>
    <t>Client Name</t>
  </si>
  <si>
    <t>Phone Number</t>
  </si>
  <si>
    <t>FFA STATUS</t>
  </si>
  <si>
    <t>Most Recent Call Date</t>
  </si>
  <si>
    <t>Volunteer (Called By)</t>
  </si>
  <si>
    <t>Call Outcome</t>
  </si>
  <si>
    <t>Notes</t>
  </si>
  <si>
    <t>Scheduled Until</t>
  </si>
  <si>
    <r>
      <rPr>
        <rFont val="Calibri"/>
        <b/>
        <color theme="1"/>
        <sz val="20.0"/>
      </rPr>
      <t>Consecutive Unreached</t>
    </r>
    <r>
      <rPr>
        <rFont val="Calibri"/>
        <b/>
        <color theme="1"/>
        <sz val="20.0"/>
      </rPr>
      <t xml:space="preserve"> </t>
    </r>
    <r>
      <rPr>
        <rFont val="Calibri"/>
        <b/>
        <color theme="1"/>
        <sz val="20.0"/>
      </rPr>
      <t>(Increment +1 for each voicemail / no answer, reset to 0 if Reached.)</t>
    </r>
  </si>
  <si>
    <t>Donica hemphill</t>
  </si>
  <si>
    <t>ACTIVE CLIENT</t>
  </si>
  <si>
    <t>Can't Reach</t>
  </si>
  <si>
    <t>vm box not set up</t>
  </si>
  <si>
    <t>Trayvon Odoms</t>
  </si>
  <si>
    <t>Carolyn</t>
  </si>
  <si>
    <t>msg: number cannot be dialed</t>
  </si>
  <si>
    <t>June Paige</t>
  </si>
  <si>
    <t>msg:  number is restricted or unavailable</t>
  </si>
  <si>
    <t>Shirely Coleman</t>
  </si>
  <si>
    <t>Janelle</t>
  </si>
  <si>
    <t>LVM</t>
  </si>
  <si>
    <t>Lillimae  Bonilla</t>
  </si>
  <si>
    <t>Claire</t>
  </si>
  <si>
    <t>hung up on me (didn't pick up when I called back)</t>
  </si>
  <si>
    <t>Jeanette Miller</t>
  </si>
  <si>
    <t xml:space="preserve">VM not set up yet </t>
  </si>
  <si>
    <t>Shawn Mallory</t>
  </si>
  <si>
    <t>Subscriber not in service"</t>
  </si>
  <si>
    <t>Tekesia Hancock</t>
  </si>
  <si>
    <t>Dashai Logan</t>
  </si>
  <si>
    <t xml:space="preserve">"Your request cannot be processed" </t>
  </si>
  <si>
    <t>Gina Walker</t>
  </si>
  <si>
    <t>Allen Harrison</t>
  </si>
  <si>
    <t xml:space="preserve">Reach out to CW for new number. CW info is Oluwafolajimi "Jimi" Akinsiku, District Healthcare Services, oakinsiku@districthealthcareservices.com, 571-464-4372 </t>
  </si>
  <si>
    <t>Metrice Jones</t>
  </si>
  <si>
    <t>not in service</t>
  </si>
  <si>
    <t>Deon Mack</t>
  </si>
  <si>
    <t>Reach out to CW: Donna Hines, Anchor mental health, donna.hines@cc-dc.org, (202) 706-0554</t>
  </si>
  <si>
    <t>Deleona Holland</t>
  </si>
  <si>
    <t>Reach out to CW: Bailey N Daniel Jc, Prestige Healthcare Inc, baileydaniel@myprestigehealth.com, 2028030074</t>
  </si>
  <si>
    <t>Derek Gooche</t>
  </si>
  <si>
    <t>Number not in service</t>
  </si>
  <si>
    <t>Deloris McNair</t>
  </si>
  <si>
    <t>Reach out to CW: Oluwafolajimi Akinsiku, District Healthcare Services, oakinsiku@districthealthcareservices.com, 571-464-4372</t>
  </si>
  <si>
    <t>Lisa Reaves</t>
  </si>
  <si>
    <t>Terri Jordan</t>
  </si>
  <si>
    <t>Call CW: Lola Maraiyesa, Network for Victim Recovery of DC (NVRDC), lola@nvrdc.org, 202-938-5816</t>
  </si>
  <si>
    <t>Donna Gardner</t>
  </si>
  <si>
    <t>spoke with cw Emil; he will send email; Recertified (see notes in Recert. Process.)</t>
  </si>
  <si>
    <t>Richard Carter</t>
  </si>
  <si>
    <t>Reach out to CW: Zack Henstrand, Food &amp; Friends, zhenstrand@foodandfriends.org, 202-269-6897</t>
  </si>
  <si>
    <t>Joseph Blue</t>
  </si>
  <si>
    <t>Needs New Delivery</t>
  </si>
  <si>
    <t>Gabi (Cinthia) Peraza-Rosales</t>
  </si>
  <si>
    <t>Don'Nika Jenkins</t>
  </si>
  <si>
    <t>Betty Shabazz</t>
  </si>
  <si>
    <t>Jacob Brunson</t>
  </si>
  <si>
    <t>Elizabeth Newman</t>
  </si>
  <si>
    <t>David smith</t>
  </si>
  <si>
    <t>LVM; his account is inactive; duplicate account</t>
  </si>
  <si>
    <t>Steven Plummer</t>
  </si>
  <si>
    <t>number listed is for cm Lawanda Armstrong; I lvm for her to contact us</t>
  </si>
  <si>
    <t>Branden Garnett</t>
  </si>
  <si>
    <t>phone off/disconnected</t>
  </si>
  <si>
    <t>Earline Simmons</t>
  </si>
  <si>
    <t># not in service</t>
  </si>
  <si>
    <t>Rosa Mejia</t>
  </si>
  <si>
    <t>Need a Spanish speaker</t>
  </si>
  <si>
    <t>Tony Edwards</t>
  </si>
  <si>
    <t>Marquita Coleman-Scales</t>
  </si>
  <si>
    <t>Sharon Mason</t>
  </si>
  <si>
    <t xml:space="preserve">If she doesn't pick up, try (202) 848-0690. Then change number in here / Client database depending on what number works / she prefers. </t>
  </si>
  <si>
    <t>TYNIESHA  GRAHAM</t>
  </si>
  <si>
    <t>lawrence berry</t>
  </si>
  <si>
    <t>John Davall</t>
  </si>
  <si>
    <t>Larry Clay</t>
  </si>
  <si>
    <t>Melvin  Brown</t>
  </si>
  <si>
    <t>Yolanda Penny</t>
  </si>
  <si>
    <t>DONNA BAXTER</t>
  </si>
  <si>
    <t>phone #  changed, disconnected or not in service</t>
  </si>
  <si>
    <t>Luther Bullock</t>
  </si>
  <si>
    <t>Luis Cambero</t>
  </si>
  <si>
    <t>STEPHANIE  ELLERBEE</t>
  </si>
  <si>
    <t>donnice tyler</t>
  </si>
  <si>
    <t>Arthur Shade</t>
  </si>
  <si>
    <t>Stephanie Adams</t>
  </si>
  <si>
    <t>Champagne  Rhodes</t>
  </si>
  <si>
    <t>Suncerera Neal</t>
  </si>
  <si>
    <t>Patrice  Brown</t>
  </si>
  <si>
    <t>Keara McLeod</t>
  </si>
  <si>
    <t>Vm says diff name, LVM anyway</t>
  </si>
  <si>
    <t xml:space="preserve"> </t>
  </si>
  <si>
    <t>Tokumbo Childress</t>
  </si>
  <si>
    <t>Anthony Johnson</t>
  </si>
  <si>
    <t>JACQUELYN SAMUELS</t>
  </si>
  <si>
    <t>christine cole</t>
  </si>
  <si>
    <t>GEORGE OUTTEN</t>
  </si>
  <si>
    <t>Helen Smith</t>
  </si>
  <si>
    <t>WANDA COLEMAN</t>
  </si>
  <si>
    <t>Jerry Kidd</t>
  </si>
  <si>
    <t>Leah Clarke</t>
  </si>
  <si>
    <t>Desi Cureton</t>
  </si>
  <si>
    <t>Charlotte Baker</t>
  </si>
  <si>
    <t>Willie  Curtis</t>
  </si>
  <si>
    <t>Cheryl Smith</t>
  </si>
  <si>
    <t>Maurice  West</t>
  </si>
  <si>
    <t>Anderson Betancourt</t>
  </si>
  <si>
    <t>Concepta Davis Perry</t>
  </si>
  <si>
    <t>Alonzo Mudd</t>
  </si>
  <si>
    <t>Sandra Romero</t>
  </si>
  <si>
    <t>Tanesha  Abbott</t>
  </si>
  <si>
    <t>keith williams</t>
  </si>
  <si>
    <t>Dwain Butler</t>
  </si>
  <si>
    <t>Conrad Felder</t>
  </si>
  <si>
    <t>Rita Ndum</t>
  </si>
  <si>
    <t>LaCreasha Kennedy</t>
  </si>
  <si>
    <t>JACKIE WORKMAN</t>
  </si>
  <si>
    <t>Carmen  Villasana</t>
  </si>
  <si>
    <t>Darel  Whitaker</t>
  </si>
  <si>
    <t>Ashleigh  Palmer</t>
  </si>
  <si>
    <t>khaos nwingwe</t>
  </si>
  <si>
    <t>Kavin Gray</t>
  </si>
  <si>
    <t>Christopher  Winston</t>
  </si>
  <si>
    <t>Rosalind Ellington</t>
  </si>
  <si>
    <t>Joseph Eccles</t>
  </si>
  <si>
    <t>Paulette  Glasgow</t>
  </si>
  <si>
    <t>Laphedona  Johnson</t>
  </si>
  <si>
    <t>FRANCES RICHARDSON</t>
  </si>
  <si>
    <t>Jojan Aldonate</t>
  </si>
  <si>
    <t>John  Roberts</t>
  </si>
  <si>
    <t>Diane Curtis</t>
  </si>
  <si>
    <t>Coby Jones</t>
  </si>
  <si>
    <t>Steve Watkins Jr</t>
  </si>
  <si>
    <t>Gricelda Martinez</t>
  </si>
  <si>
    <t xml:space="preserve">Needs spanish speaker </t>
  </si>
  <si>
    <t>Theresa Sherrer</t>
  </si>
  <si>
    <t>RENEE GREEN</t>
  </si>
  <si>
    <t>STEVEN TERRY</t>
  </si>
  <si>
    <t>ANDRE STEVENSON</t>
  </si>
  <si>
    <t>Nely Martinez</t>
  </si>
  <si>
    <t>Needs Spanish Speaker</t>
  </si>
  <si>
    <t>Joselin Velasquez-Valasquez</t>
  </si>
  <si>
    <t>Need Spanish Speaker</t>
  </si>
  <si>
    <t>Ana Sanchez</t>
  </si>
  <si>
    <t>Spanish speaker</t>
  </si>
  <si>
    <t>Maria Chavez</t>
  </si>
  <si>
    <t xml:space="preserve">Needs Spanish Speaker! </t>
  </si>
  <si>
    <t>Lydia  Simms</t>
  </si>
  <si>
    <t>Yvette Smith</t>
  </si>
  <si>
    <t>Norma Mancia De Peralta</t>
  </si>
  <si>
    <t>Kitty Kohli</t>
  </si>
  <si>
    <t>Leonora Rivas</t>
  </si>
  <si>
    <t>Deroscoe Wright</t>
  </si>
  <si>
    <t>phone # listed is for his case manager; he was driving and could not talk</t>
  </si>
  <si>
    <t>Luis Escobar</t>
  </si>
  <si>
    <t>Margaret Chalaire</t>
  </si>
  <si>
    <t>Narcisco Hernandez</t>
  </si>
  <si>
    <t>Need a spanish speaker</t>
  </si>
  <si>
    <t>Elaine Hubbard</t>
  </si>
  <si>
    <t>Veronika Ward</t>
  </si>
  <si>
    <t>dawn henderson</t>
  </si>
  <si>
    <t>Chantel Upsher-Morgan</t>
  </si>
  <si>
    <t>Doris Warren</t>
  </si>
  <si>
    <t>Raymond Wilkins Wilkins</t>
  </si>
  <si>
    <t>Eric Copeland</t>
  </si>
  <si>
    <t>Sondra Battle</t>
  </si>
  <si>
    <t>Melissa McCrea</t>
  </si>
  <si>
    <t>Robin Collins</t>
  </si>
  <si>
    <t>Janie  Underwood</t>
  </si>
  <si>
    <t>Terry Kellem</t>
  </si>
  <si>
    <t>Veronica Ambrose</t>
  </si>
  <si>
    <t>Loutrice  Crowder</t>
  </si>
  <si>
    <t>Eleanor  Walker</t>
  </si>
  <si>
    <t>Veronica  Ambrose</t>
  </si>
  <si>
    <t>Deborah Gray</t>
  </si>
  <si>
    <t>Glasshebar Anderson Somerville</t>
  </si>
  <si>
    <t>Marlene Todd</t>
  </si>
  <si>
    <t>Kim Curry</t>
  </si>
  <si>
    <t>Joseph Johnson</t>
  </si>
  <si>
    <t>Josephine Williams</t>
  </si>
  <si>
    <t>Sreejana Shrestha</t>
  </si>
  <si>
    <t>Brenda Jenkins</t>
  </si>
  <si>
    <t>Confirm which number works / is better. make sure it's consistent with Client data base which has a different number: (202) 300-7333</t>
  </si>
  <si>
    <t>Sidney Robertson</t>
  </si>
  <si>
    <t>Iesha White</t>
  </si>
  <si>
    <t>RECERTIFYING</t>
  </si>
  <si>
    <t>Georges Azubike</t>
  </si>
  <si>
    <t>Donovan Mayo</t>
  </si>
  <si>
    <t>CONNIE GUEVARA</t>
  </si>
  <si>
    <t>Cheryl Boykins</t>
  </si>
  <si>
    <t>Jacqueline Dunbar</t>
  </si>
  <si>
    <t>Cornelius  Gaskins</t>
  </si>
  <si>
    <t>Robert King III</t>
  </si>
  <si>
    <t>Maria  De Garcia</t>
  </si>
  <si>
    <t>Monica Bolden</t>
  </si>
  <si>
    <t>Terre Matthews</t>
  </si>
  <si>
    <t>Shari McHayle</t>
  </si>
  <si>
    <t>Sadie Turner</t>
  </si>
  <si>
    <t>Andre Broadway</t>
  </si>
  <si>
    <t>Sandra Dickerson</t>
  </si>
  <si>
    <t>Fred Cameron</t>
  </si>
  <si>
    <t>Yvette Hawkins</t>
  </si>
  <si>
    <t>Janay Johnson</t>
  </si>
  <si>
    <t>‪(202) 867-8203‬</t>
  </si>
  <si>
    <t>LIZETTE MCKINNEY</t>
  </si>
  <si>
    <t>Confirm what number to use, number here is different than client data base</t>
  </si>
  <si>
    <t>Fainess Lipenga</t>
  </si>
  <si>
    <t>Kareema Thomas-Montgomery</t>
  </si>
  <si>
    <t>Larry Walden</t>
  </si>
  <si>
    <t>Robert Miller</t>
  </si>
  <si>
    <t>Bernard  Brown</t>
  </si>
  <si>
    <t>LVM to call us back re: continuing with deliveries</t>
  </si>
  <si>
    <t>Alice Mitchell</t>
  </si>
  <si>
    <t>Michelle Alexander</t>
  </si>
  <si>
    <t>Fonda Allen</t>
  </si>
  <si>
    <t>Linda Willis</t>
  </si>
  <si>
    <t>Lynda Hanson</t>
  </si>
  <si>
    <t>Claude Jackson</t>
  </si>
  <si>
    <t>Ethelbert  Dawson</t>
  </si>
  <si>
    <t>Gabriel  Ejide</t>
  </si>
  <si>
    <t>Claudia  Whitaker</t>
  </si>
  <si>
    <t>Fredreicia Drew</t>
  </si>
  <si>
    <t>Andrea Woods</t>
  </si>
  <si>
    <t>Randrica Bowman</t>
  </si>
  <si>
    <t>LETICIA DEL CARMEN SANDOVAL DE AXUME</t>
  </si>
  <si>
    <t>Robert Lindsey</t>
  </si>
  <si>
    <t>Francis Bankins</t>
  </si>
  <si>
    <t>Josephine Washington</t>
  </si>
  <si>
    <t>Ayanna Marshall</t>
  </si>
  <si>
    <t>Sherri Shedon</t>
  </si>
  <si>
    <t>mailbox full</t>
  </si>
  <si>
    <t>Virginia Nelson</t>
  </si>
  <si>
    <t>Lakura Coppin</t>
  </si>
  <si>
    <t>Delisa Bryant</t>
  </si>
  <si>
    <t>Shirley Martin</t>
  </si>
  <si>
    <t>Oscar Perla</t>
  </si>
  <si>
    <t>Tayla Better</t>
  </si>
  <si>
    <t>Nicole Russell</t>
  </si>
  <si>
    <t>William Coleman</t>
  </si>
  <si>
    <t>Dannie Green</t>
  </si>
  <si>
    <t>Michelle Strong</t>
  </si>
  <si>
    <t>Confirm what number is correct. Number in this sheet is diff from client database</t>
  </si>
  <si>
    <t>Fozeya Ahmed</t>
  </si>
  <si>
    <t>Charles Lacey</t>
  </si>
  <si>
    <t>Informed him that his delivery has been rescheduled since we are closed Friday</t>
  </si>
  <si>
    <t>BONFILIO CASARRUBIAS-CORDERO</t>
  </si>
  <si>
    <t>IRENE BRANHAM</t>
  </si>
  <si>
    <t>Vivian Henderson</t>
  </si>
  <si>
    <t>Shaquanna Randolph</t>
  </si>
  <si>
    <t>Lakesha Mason</t>
  </si>
  <si>
    <t>Lakesha  Mason</t>
  </si>
  <si>
    <t>Sharon Holloman</t>
  </si>
  <si>
    <t>Tawanda Harrison</t>
  </si>
  <si>
    <t>Maria Mercado</t>
  </si>
  <si>
    <t>Michael  Powell</t>
  </si>
  <si>
    <t>Alicia Byrd</t>
  </si>
  <si>
    <t>Stella Washington</t>
  </si>
  <si>
    <t>DAVIS DENESE</t>
  </si>
  <si>
    <t>Dorothy Martin</t>
  </si>
  <si>
    <t>Annette Jackson</t>
  </si>
  <si>
    <t>Patricia Washington</t>
  </si>
  <si>
    <t>Monica Cole</t>
  </si>
  <si>
    <t>(202) 424-4204</t>
  </si>
  <si>
    <t>Taria Darden</t>
  </si>
  <si>
    <t>ANDRESSE WILSON</t>
  </si>
  <si>
    <t>LUCILLE TILLMAN</t>
  </si>
  <si>
    <t>Angelica  Johnson</t>
  </si>
  <si>
    <t>no cw listed; she said her cw name is Ms. Walker from Edgewood Brooklyn Collaborative, 202-832-9400,not found on our cw list.</t>
  </si>
  <si>
    <t>Annette Turner</t>
  </si>
  <si>
    <t>George Hemphill</t>
  </si>
  <si>
    <t>Eleanora Wilson</t>
  </si>
  <si>
    <t>Client is for recertification. CW updated her info. Called client to schedule deliveries</t>
  </si>
  <si>
    <t>Jerome Peele</t>
  </si>
  <si>
    <t>Randy Allen</t>
  </si>
  <si>
    <t>Thomasine BENNETT</t>
  </si>
  <si>
    <t>Gustavo Benavides</t>
  </si>
  <si>
    <t>Flaurette Curtis</t>
  </si>
  <si>
    <t>She will call us when she wants another delivery</t>
  </si>
  <si>
    <t>Talynthia Johnson</t>
  </si>
  <si>
    <t>Tilwana Thomas</t>
  </si>
  <si>
    <t>Pamela Bowen</t>
  </si>
  <si>
    <t>William  Settles</t>
  </si>
  <si>
    <t>Patricia  Trim</t>
  </si>
  <si>
    <t>Michelle Hatfield</t>
  </si>
  <si>
    <t>DARRYL MCGUIRE</t>
  </si>
  <si>
    <t>Keshia STRONG</t>
  </si>
  <si>
    <t>771-245-6885</t>
  </si>
  <si>
    <t>Updated phone number.</t>
  </si>
  <si>
    <t>Edward Jones</t>
  </si>
  <si>
    <t>Nadia Joseph-Polanco</t>
  </si>
  <si>
    <t>Larry Braxton</t>
  </si>
  <si>
    <t>ALPHONSO  Frye</t>
  </si>
  <si>
    <t>Sarah Venable</t>
  </si>
  <si>
    <t>Lenwood Johnson</t>
  </si>
  <si>
    <t>Crystal  Johnson</t>
  </si>
  <si>
    <t>Myisha Wilson</t>
  </si>
  <si>
    <t>Myisha  Wilson</t>
  </si>
  <si>
    <t>Lydia  Lee</t>
  </si>
  <si>
    <t>David Smith</t>
  </si>
  <si>
    <t>spoke with nephew; he will have David call us.</t>
  </si>
  <si>
    <t>Lorena Portillo</t>
  </si>
  <si>
    <t>Alice Adams</t>
  </si>
  <si>
    <t>Chrystal Wanzer</t>
  </si>
  <si>
    <t>Starling Browne</t>
  </si>
  <si>
    <t>Nakita Baylor</t>
  </si>
  <si>
    <t>Angela Vessels</t>
  </si>
  <si>
    <t>Stephanie Carey</t>
  </si>
  <si>
    <t>Edy Chamoun</t>
  </si>
  <si>
    <t>Tracy Carpenter</t>
  </si>
  <si>
    <t>Angela  Butts</t>
  </si>
  <si>
    <t>Nakita  Baylor</t>
  </si>
  <si>
    <t>Desando Murphy</t>
  </si>
  <si>
    <t>Scheduled</t>
  </si>
  <si>
    <t>Natasha Thomas</t>
  </si>
  <si>
    <t>Yvonne Allen</t>
  </si>
  <si>
    <t>ERIKA MCRAE</t>
  </si>
  <si>
    <t>Arvine Anthony</t>
  </si>
  <si>
    <t>DAVID NORRIS</t>
  </si>
  <si>
    <t>Christine Ellis</t>
  </si>
  <si>
    <t>Thomas Brewington</t>
  </si>
  <si>
    <t>KRYSTAL WHITE</t>
  </si>
  <si>
    <t>Markeisha Henderson</t>
  </si>
  <si>
    <t>Mitchel Broadway</t>
  </si>
  <si>
    <t>Deborah Simms</t>
  </si>
  <si>
    <t>Confirm what the correct number is. it's different between queue and client database</t>
  </si>
  <si>
    <t>William  Hemphill</t>
  </si>
  <si>
    <t>Barbara Mclamore</t>
  </si>
  <si>
    <t>Megan Bandy</t>
  </si>
  <si>
    <t>Lataka Bell</t>
  </si>
  <si>
    <t>Stacy  Chatmon</t>
  </si>
  <si>
    <t>Maggie  Washington</t>
  </si>
  <si>
    <t>VERONICA GRAVES</t>
  </si>
  <si>
    <t>Tenisha Crowe</t>
  </si>
  <si>
    <t>Marie Franklin</t>
  </si>
  <si>
    <t>Antoinette  Hackett</t>
  </si>
  <si>
    <t>CHARLESETTA PRATHER</t>
  </si>
  <si>
    <t>Annushka Wade</t>
  </si>
  <si>
    <t>Fonda Roy-Hankerson</t>
  </si>
  <si>
    <t>Ethel Young</t>
  </si>
  <si>
    <t>Kimberly Anderson</t>
  </si>
  <si>
    <t>Georgia Lawson</t>
  </si>
  <si>
    <t>Tara Woodard</t>
  </si>
  <si>
    <t>Jeanella Taylor</t>
  </si>
  <si>
    <t>Laverne Webb</t>
  </si>
  <si>
    <t>Paul  Copeland</t>
  </si>
  <si>
    <t>Yvonne Simpson</t>
  </si>
  <si>
    <t>Florinda Lopez</t>
  </si>
  <si>
    <t>ARLETHA SCOTT</t>
  </si>
  <si>
    <t>voicemail 11/2</t>
  </si>
  <si>
    <t>Janene George</t>
  </si>
  <si>
    <t>Jennifer Johnson-Hicks</t>
  </si>
  <si>
    <t>Tarisha Settles</t>
  </si>
  <si>
    <t>Lolillian Smith</t>
  </si>
  <si>
    <t>Anita Crews</t>
  </si>
  <si>
    <t>Sabrina  DeVine</t>
  </si>
  <si>
    <t>ALICIA TOLLIVER</t>
  </si>
  <si>
    <t>MARLON CAUGHMAN</t>
  </si>
  <si>
    <t>Sabrina Devine</t>
  </si>
  <si>
    <t>Alicia Tolliver</t>
  </si>
  <si>
    <t>Kiri Morton</t>
  </si>
  <si>
    <t>Tiandre Osborne</t>
  </si>
  <si>
    <t>Vernon Smith</t>
  </si>
  <si>
    <t>Andre Lewis</t>
  </si>
  <si>
    <t>David  Alde</t>
  </si>
  <si>
    <t>Tracy Pierce</t>
  </si>
  <si>
    <t>James Browne</t>
  </si>
  <si>
    <t>Olivia  Johnson</t>
  </si>
  <si>
    <t>Shelia Reid</t>
  </si>
  <si>
    <t>Jacqueline Greene</t>
  </si>
  <si>
    <t>Doris Stephens</t>
  </si>
  <si>
    <t>Pierre Pollard</t>
  </si>
  <si>
    <t>Corrine Garrett</t>
  </si>
  <si>
    <t>Allis Godoy-Gutierrez</t>
  </si>
  <si>
    <t>Gloria  Johnson</t>
  </si>
  <si>
    <t>Aaron Doughty</t>
  </si>
  <si>
    <t>PAMELA COMER</t>
  </si>
  <si>
    <t>Mary Kamara</t>
  </si>
  <si>
    <t>Anthony Dailey</t>
  </si>
  <si>
    <t>Melanie Scott</t>
  </si>
  <si>
    <t>Yuridin Rodriguez</t>
  </si>
  <si>
    <t>Trying to schedule her first delivery but doesn't speak English. Needs a Spanish Speaker</t>
  </si>
  <si>
    <t>Tracy Alston</t>
  </si>
  <si>
    <t>WAITLISTED</t>
  </si>
  <si>
    <t xml:space="preserve">Called 2x but unresponsive. Emailed CW but no response. </t>
  </si>
  <si>
    <t>Edward Hawkins</t>
  </si>
  <si>
    <t>Client has call restriction set up. Reached out to his CW</t>
  </si>
  <si>
    <t>Latrell  Luckey</t>
  </si>
  <si>
    <t>Joseph Kabore</t>
  </si>
  <si>
    <t>Mack Wynter</t>
  </si>
  <si>
    <t>Dawntay Satterwhite</t>
  </si>
  <si>
    <t>Reather  James</t>
  </si>
  <si>
    <t>Sonora Marshall</t>
  </si>
  <si>
    <t>Patrise  Holden</t>
  </si>
  <si>
    <t>Arlene  Smith</t>
  </si>
  <si>
    <t>Anderson Daeshauna</t>
  </si>
  <si>
    <t>St John TONYA</t>
  </si>
  <si>
    <t>Sherrie McGrier</t>
  </si>
  <si>
    <t>Adrian Alexander</t>
  </si>
  <si>
    <t>Pierrette Garland</t>
  </si>
  <si>
    <t>Patricia Ragland</t>
  </si>
  <si>
    <t>Teona Watson</t>
  </si>
  <si>
    <t>Rosetta Archie</t>
  </si>
  <si>
    <t>James Long</t>
  </si>
  <si>
    <t>Guadalupe Rodriguez</t>
  </si>
  <si>
    <t>Mary  Spears</t>
  </si>
  <si>
    <t>Marjorie  Gleaton</t>
  </si>
  <si>
    <t>Sharon Gordon</t>
  </si>
  <si>
    <t>Chrystal McAlister</t>
  </si>
  <si>
    <t>cynthia crawford</t>
  </si>
  <si>
    <t>INACTIVE</t>
  </si>
  <si>
    <t>Deanna Morgan</t>
  </si>
  <si>
    <t xml:space="preserve">"The number has calling restrictions" , 10/16 - Reached out to CW via email </t>
  </si>
  <si>
    <t>Marcus Wilhite</t>
  </si>
  <si>
    <t xml:space="preserve">10/16 - Reached out to CW via email, email didn't work </t>
  </si>
  <si>
    <t>Janet Thomas</t>
  </si>
  <si>
    <t>She said for now she's ok.</t>
  </si>
  <si>
    <t>Brandi Young</t>
  </si>
  <si>
    <t>DEONA THORNTON</t>
  </si>
  <si>
    <t>Karen Carter</t>
  </si>
  <si>
    <t>She will call us when she returns after holiday</t>
  </si>
  <si>
    <t>Angela Peek</t>
  </si>
  <si>
    <t>Kisha Harmon-Morgan</t>
  </si>
  <si>
    <t xml:space="preserve">She said call back in January </t>
  </si>
  <si>
    <t>Juanita wade</t>
  </si>
  <si>
    <t>Jooleta Fogle</t>
  </si>
  <si>
    <t>Kendrick Jacobs</t>
  </si>
  <si>
    <t>Shykayla Jackson</t>
  </si>
  <si>
    <t>If no response by 11/7, discontinue</t>
  </si>
  <si>
    <t>Tracy Ford</t>
  </si>
  <si>
    <t>No delivery Needed</t>
  </si>
  <si>
    <t>Lily Foglio</t>
  </si>
  <si>
    <t>Edward Mitchell</t>
  </si>
  <si>
    <t>CW says he hasn't worked with him in over a year on 10/16</t>
  </si>
  <si>
    <t>Jose Martinez</t>
  </si>
  <si>
    <t>Latrelle McInnis</t>
  </si>
  <si>
    <t>Charles Willie</t>
  </si>
  <si>
    <t>Passed away</t>
  </si>
  <si>
    <t>Charnell Gant</t>
  </si>
  <si>
    <t>Eunice Elliot</t>
  </si>
  <si>
    <t>BRIANNA ANDERSON</t>
  </si>
  <si>
    <t>Cherish Hunter</t>
  </si>
  <si>
    <t>Chavonica Wynn</t>
  </si>
  <si>
    <t>She does not need food any more</t>
  </si>
  <si>
    <t>Latasha Trotter</t>
  </si>
  <si>
    <t>TOYE AL ILAH</t>
  </si>
  <si>
    <t>Unresponsive</t>
  </si>
  <si>
    <t>Cordell Valentine</t>
  </si>
  <si>
    <t>John FERRELL</t>
  </si>
  <si>
    <t>Quanisha Talbert</t>
  </si>
  <si>
    <t>Jessica Catolico Becerra</t>
  </si>
  <si>
    <t>Dorothy Lynn</t>
  </si>
  <si>
    <t>Ambrose King</t>
  </si>
  <si>
    <t>tanyia tapp</t>
  </si>
  <si>
    <t>James Robinson</t>
  </si>
  <si>
    <t>Getenesh Woldetsadik</t>
  </si>
  <si>
    <t>Donita Martin</t>
  </si>
  <si>
    <t>Lee Repass</t>
  </si>
  <si>
    <t>Aiesha Chase-White</t>
  </si>
  <si>
    <t>Jerry Hicks</t>
  </si>
  <si>
    <t>Alvin Chun</t>
  </si>
  <si>
    <t>Tonya Jefferson</t>
  </si>
  <si>
    <t>Derek Lewis</t>
  </si>
  <si>
    <t>Yenneylis Jimez</t>
  </si>
  <si>
    <t>Milton Henderson</t>
  </si>
  <si>
    <t>Delonte Williams</t>
  </si>
  <si>
    <t>Jennifer Harris</t>
  </si>
  <si>
    <t>Odell Hillman</t>
  </si>
  <si>
    <t>Ronald Anthony</t>
  </si>
  <si>
    <t>Howard Poole</t>
  </si>
  <si>
    <t>Stephen Nebel</t>
  </si>
  <si>
    <t>Jatease Hall</t>
  </si>
  <si>
    <t>Lena Tobin</t>
  </si>
  <si>
    <t>Eric Smith</t>
  </si>
  <si>
    <t>Mfon Udonkang</t>
  </si>
  <si>
    <t>JOHNNY SMITH</t>
  </si>
  <si>
    <t>Barry Hawkins</t>
  </si>
  <si>
    <t>CHANDRALYN TAYLOR-RHANEY</t>
  </si>
  <si>
    <t>BARBARA CARTER</t>
  </si>
  <si>
    <t>Nicole Rollins</t>
  </si>
  <si>
    <t>CATHY AUSTIN GUNTER</t>
  </si>
  <si>
    <t>Chantelle Harris</t>
  </si>
  <si>
    <t>Cornelia Stark</t>
  </si>
  <si>
    <t>Dajon Howard Masterson</t>
  </si>
  <si>
    <t>VIRGINIA WILLIFORD</t>
  </si>
  <si>
    <t>St. Clair Parks</t>
  </si>
  <si>
    <t>Sebastian Castillo</t>
  </si>
  <si>
    <t>Sharone Bunn</t>
  </si>
  <si>
    <t>Valarie Garland</t>
  </si>
  <si>
    <t>Barbara Jones</t>
  </si>
  <si>
    <t>Pamela Burrello</t>
  </si>
  <si>
    <t>Lossie Locks</t>
  </si>
  <si>
    <t>Joan Moore</t>
  </si>
  <si>
    <t>Nannie Beard</t>
  </si>
  <si>
    <t>Jerome Stroud</t>
  </si>
  <si>
    <t>Mariaangela Mokwe</t>
  </si>
  <si>
    <t>Evette Bailey</t>
  </si>
  <si>
    <t>Kymberly Grafton</t>
  </si>
  <si>
    <t>Vontia Nelson</t>
  </si>
  <si>
    <t>Steed Yoness</t>
  </si>
  <si>
    <t>Farangiz Goolfamsoorkhabi</t>
  </si>
  <si>
    <t>Ma'Shaila Darby</t>
  </si>
  <si>
    <t>Evangela Adams</t>
  </si>
  <si>
    <t>Garland Green</t>
  </si>
  <si>
    <t>Denise Jackson</t>
  </si>
  <si>
    <t>dean clark</t>
  </si>
  <si>
    <t>Hawa Mansaray</t>
  </si>
  <si>
    <t>on 10/30 told me to discontinue her nolonger interested</t>
  </si>
  <si>
    <t>Angela Terrell</t>
  </si>
  <si>
    <t>Leigh  Monet</t>
  </si>
  <si>
    <t>Sanchino Hayes</t>
  </si>
  <si>
    <t>Anna Mason</t>
  </si>
  <si>
    <t>Marquita Howards</t>
  </si>
  <si>
    <t>JANICE JENNINGS</t>
  </si>
  <si>
    <t>Ronald Johnson</t>
  </si>
  <si>
    <t>Sabrina Fraley</t>
  </si>
  <si>
    <t>James Tymesha</t>
  </si>
  <si>
    <t>T'Loni Fox</t>
  </si>
  <si>
    <t>Sabrina Slater</t>
  </si>
  <si>
    <t>Charineen Stevenson</t>
  </si>
  <si>
    <t>Stephanie Taylor</t>
  </si>
  <si>
    <t>Mary  Chaney</t>
  </si>
  <si>
    <t>Thomas Vitaliy</t>
  </si>
  <si>
    <t>Patrina Johnson</t>
  </si>
  <si>
    <t>Jerrobia Mobley</t>
  </si>
  <si>
    <t>Diane Lyons</t>
  </si>
  <si>
    <t>DANIELLE RYALS</t>
  </si>
  <si>
    <t>WIlliam Brown</t>
  </si>
  <si>
    <t>Client ID</t>
  </si>
  <si>
    <t xml:space="preserve">First Name </t>
  </si>
  <si>
    <t xml:space="preserve">Last Name </t>
  </si>
  <si>
    <t xml:space="preserve">Phone Number </t>
  </si>
  <si>
    <t>Name of CW</t>
  </si>
  <si>
    <t>Volunteer Caller</t>
  </si>
  <si>
    <t>Date Contacted (Initial outreach regarding recertification)</t>
  </si>
  <si>
    <t xml:space="preserve">Did we speak? </t>
  </si>
  <si>
    <t>Notes Key details from call, any challenges, etc)</t>
  </si>
  <si>
    <t>Did you shade LN on client data base blue and write "IN RECERTIFICATION PROCESS"?</t>
  </si>
  <si>
    <t>Caseworker Submitted Form? *Volunteers routinely check*</t>
  </si>
  <si>
    <t>Client Courtesy Follow-Up Date (Auto-filled: 3 weeks post-call if no CW form received)</t>
  </si>
  <si>
    <t>Volunteer Caller for Call #2 (Courtesy Call)</t>
  </si>
  <si>
    <t xml:space="preserve">Client Courtesy Reminder Completed? </t>
  </si>
  <si>
    <t>Date of Final outreach attempt to client before pausing deliveries</t>
  </si>
  <si>
    <t>If No Response from CW, pause deliveries on (Auto 7 weeks from column G)</t>
  </si>
  <si>
    <t>FFA Recertification Status</t>
  </si>
  <si>
    <t>ID-1651</t>
  </si>
  <si>
    <t>Paulette</t>
  </si>
  <si>
    <t>Phillips</t>
  </si>
  <si>
    <t>‪(202) 200-2170‬</t>
  </si>
  <si>
    <t>No Record</t>
  </si>
  <si>
    <t>Understands, will have CW fill out form</t>
  </si>
  <si>
    <t>Not Yet</t>
  </si>
  <si>
    <t>Pending Client Response – Client has been contacted and told to recertify, awaiting CW form</t>
  </si>
  <si>
    <t>ID-1678</t>
  </si>
  <si>
    <t>Roben</t>
  </si>
  <si>
    <t>Corley</t>
  </si>
  <si>
    <t>(202) 709-1751</t>
  </si>
  <si>
    <r>
      <rPr>
        <rFont val="Arial"/>
        <color theme="1"/>
      </rPr>
      <t>Understands, will have CW fill out form;</t>
    </r>
    <r>
      <rPr>
        <rFont val="Arial"/>
        <color rgb="FF0000FF"/>
      </rPr>
      <t>10/28 I spoke with her and explained CW has to go through website</t>
    </r>
  </si>
  <si>
    <t>ID-1628</t>
  </si>
  <si>
    <t>Gregory</t>
  </si>
  <si>
    <t>Tillman</t>
  </si>
  <si>
    <t>(202) 550-0608</t>
  </si>
  <si>
    <t>Unable to LVM</t>
  </si>
  <si>
    <t>Recertified - Removed Banner</t>
  </si>
  <si>
    <t>Pending Contact – Attempted contact, but have not spoken to client yet (e.g., voicemail left)</t>
  </si>
  <si>
    <t>ID-2813</t>
  </si>
  <si>
    <t>Arethra</t>
  </si>
  <si>
    <t>(202) 271 4384</t>
  </si>
  <si>
    <t>ID-0415</t>
  </si>
  <si>
    <t>Joshua</t>
  </si>
  <si>
    <t>Davis</t>
  </si>
  <si>
    <t>240-643-2037</t>
  </si>
  <si>
    <t>Approved (Recertified) – All set, active client</t>
  </si>
  <si>
    <t>ID-0107</t>
  </si>
  <si>
    <t>Batten</t>
  </si>
  <si>
    <t>202-760-9279</t>
  </si>
  <si>
    <t>Understands; will contact CM or Dr. to fill out form</t>
  </si>
  <si>
    <t>ID-1285</t>
  </si>
  <si>
    <t>Reginald</t>
  </si>
  <si>
    <t>Hill</t>
  </si>
  <si>
    <t xml:space="preserve">Yes </t>
  </si>
  <si>
    <t>Denied / Ineligible – Determined not to qualify</t>
  </si>
  <si>
    <t>ID-1546</t>
  </si>
  <si>
    <t xml:space="preserve">Janice </t>
  </si>
  <si>
    <t>(771)-224-6117</t>
  </si>
  <si>
    <r>
      <rPr>
        <rFont val="Arial"/>
        <color theme="1"/>
      </rPr>
      <t>Understands; has Dr. appt. end of Sept and will speak to Dr.</t>
    </r>
    <r>
      <rPr>
        <rFont val="Arial"/>
        <b/>
        <color rgb="FF0000FF"/>
      </rPr>
      <t>11/18-I told her I could not schedule a delivery until a cw or dr contacted us; she said she left all that info and hung up.</t>
    </r>
  </si>
  <si>
    <t>Pending (Initial contact made, no CW contact yet)</t>
  </si>
  <si>
    <t>ID-0937</t>
  </si>
  <si>
    <t>Maurice</t>
  </si>
  <si>
    <t>Spivey</t>
  </si>
  <si>
    <t>202-701-3882</t>
  </si>
  <si>
    <t>Says he has no case worker. I said we need someone to certify that he is homebound.</t>
  </si>
  <si>
    <t>ID-1313</t>
  </si>
  <si>
    <t>Valerie</t>
  </si>
  <si>
    <t>Williams-Conner</t>
  </si>
  <si>
    <t>202-271-0053</t>
  </si>
  <si>
    <t>ID-3269</t>
  </si>
  <si>
    <t>202-617-7448</t>
  </si>
  <si>
    <t>peter</t>
  </si>
  <si>
    <t>ID-1413</t>
  </si>
  <si>
    <t>McLean</t>
  </si>
  <si>
    <t>ID-3195</t>
  </si>
  <si>
    <t>Aeysha</t>
  </si>
  <si>
    <t>See database</t>
  </si>
  <si>
    <t>12/3/2025 Caseworker contacted by Peter</t>
  </si>
  <si>
    <t>ID-0003</t>
  </si>
  <si>
    <t>Winifred</t>
  </si>
  <si>
    <t>Speight</t>
  </si>
  <si>
    <t>202-946-9298</t>
  </si>
  <si>
    <t xml:space="preserve">No Record </t>
  </si>
  <si>
    <t>ID-0050</t>
  </si>
  <si>
    <t xml:space="preserve">Danita </t>
  </si>
  <si>
    <t>Wright</t>
  </si>
  <si>
    <t>202-868-2876</t>
  </si>
  <si>
    <t>Venya Lottier</t>
  </si>
  <si>
    <t>Will send contact info for Medstar case worker</t>
  </si>
  <si>
    <t>ID-0512</t>
  </si>
  <si>
    <t xml:space="preserve">Tiffany </t>
  </si>
  <si>
    <t>Tyson</t>
  </si>
  <si>
    <t>227-268-2702</t>
  </si>
  <si>
    <t>ID-1510</t>
  </si>
  <si>
    <t>Trey</t>
  </si>
  <si>
    <t>202-367-3113</t>
  </si>
  <si>
    <t>ID-1647</t>
  </si>
  <si>
    <t>Bernadette</t>
  </si>
  <si>
    <t>Benton</t>
  </si>
  <si>
    <t>202-528-2175</t>
  </si>
  <si>
    <t>Cordelia</t>
  </si>
  <si>
    <t>202-315-7795</t>
  </si>
  <si>
    <t>ID-0281</t>
  </si>
  <si>
    <t>Cassandra</t>
  </si>
  <si>
    <t>Morris</t>
  </si>
  <si>
    <t>(202) 250-0535</t>
  </si>
  <si>
    <t>ID-0161</t>
  </si>
  <si>
    <t>202-367-3197</t>
  </si>
  <si>
    <t xml:space="preserve">Told her doctor to reach out </t>
  </si>
  <si>
    <t>ID-0938</t>
  </si>
  <si>
    <t>Boone</t>
  </si>
  <si>
    <t>202-612-0996</t>
  </si>
  <si>
    <t>No record</t>
  </si>
  <si>
    <t>Cathy L</t>
  </si>
  <si>
    <t>Said will get  referal</t>
  </si>
  <si>
    <t>ID-0944</t>
  </si>
  <si>
    <t>Malloy</t>
  </si>
  <si>
    <t>(743) 233-8282</t>
  </si>
  <si>
    <t>SOME</t>
  </si>
  <si>
    <t>Said he need to have the caseworker contact FFA</t>
  </si>
  <si>
    <t>ID-2839</t>
  </si>
  <si>
    <t>202-880-0917</t>
  </si>
  <si>
    <t>Spoke with someone at his residence who gave me CM #, Mr. Enouch 347-261-4409, I LVM</t>
  </si>
  <si>
    <t>ID-1780</t>
  </si>
  <si>
    <t xml:space="preserve">Pamela </t>
  </si>
  <si>
    <t>202-200-2968</t>
  </si>
  <si>
    <t>Will contact DR to submit referral</t>
  </si>
  <si>
    <t>Lorraine</t>
  </si>
  <si>
    <t>Bud</t>
  </si>
  <si>
    <t>202-412-8446</t>
  </si>
  <si>
    <t>Will ask Dr. to call us</t>
  </si>
  <si>
    <t>ID-1766</t>
  </si>
  <si>
    <t>771-21-8889</t>
  </si>
  <si>
    <t>Will ask CW to call us</t>
  </si>
  <si>
    <t>ID-0582</t>
  </si>
  <si>
    <t>McComb</t>
  </si>
  <si>
    <t>202-300-2506</t>
  </si>
  <si>
    <t>Simone Boyd</t>
  </si>
  <si>
    <t>Will  ask Dr on Thurs, to fill out referral; 10/4 reminded him to call SW to submit referral</t>
  </si>
  <si>
    <t>ID-2848</t>
  </si>
  <si>
    <t>Holmes</t>
  </si>
  <si>
    <t>202-491-1654</t>
  </si>
  <si>
    <r>
      <rPr>
        <rFont val="Arial"/>
        <color theme="1"/>
      </rPr>
      <t xml:space="preserve">Will ask Dr to fill out referral; </t>
    </r>
    <r>
      <rPr>
        <rFont val="Arial"/>
        <color rgb="FF0000FF"/>
      </rPr>
      <t>11/15-Dr. Sara Henn, 202-248-0871;I will call her next week.</t>
    </r>
  </si>
  <si>
    <t>ID-2252</t>
  </si>
  <si>
    <t>Michael</t>
  </si>
  <si>
    <t>Bennett</t>
  </si>
  <si>
    <t>202-9401294</t>
  </si>
  <si>
    <t>Ms. Hamilton</t>
  </si>
  <si>
    <t>Spoke with CW and aksed her to submit referral</t>
  </si>
  <si>
    <t>ID-0105</t>
  </si>
  <si>
    <t xml:space="preserve">Sherry </t>
  </si>
  <si>
    <t>Holloway</t>
  </si>
  <si>
    <t>202-840-9130</t>
  </si>
  <si>
    <t>Ashley Hayslip</t>
  </si>
  <si>
    <t>Asked her to submit referral on website</t>
  </si>
  <si>
    <t>ID-0673</t>
  </si>
  <si>
    <t>Vikki</t>
  </si>
  <si>
    <t>Ross</t>
  </si>
  <si>
    <t xml:space="preserve">202 329 5999 </t>
  </si>
  <si>
    <t>ID-1795</t>
  </si>
  <si>
    <t>Freeman</t>
  </si>
  <si>
    <t>202-577-1258</t>
  </si>
  <si>
    <t>ID-2147</t>
  </si>
  <si>
    <t>(410) 858-8882</t>
  </si>
  <si>
    <t>Aquanda</t>
  </si>
  <si>
    <t>ID-0278</t>
  </si>
  <si>
    <t>202-749-6928</t>
  </si>
  <si>
    <r>
      <rPr>
        <rFont val="Arial"/>
        <color theme="1"/>
      </rPr>
      <t xml:space="preserve">Asked her to have Dr. submit referral; </t>
    </r>
    <r>
      <rPr>
        <rFont val="Arial"/>
        <color rgb="FFFF0000"/>
      </rPr>
      <t>12/6 She said to take her off list as she is able to get out. I gave her CAFB info.</t>
    </r>
  </si>
  <si>
    <t>ID-1599</t>
  </si>
  <si>
    <t>Clifton</t>
  </si>
  <si>
    <t>Burse</t>
  </si>
  <si>
    <t>202-940-2778</t>
  </si>
  <si>
    <t>Will ask CM to submit referral</t>
  </si>
  <si>
    <t>ID-0470</t>
  </si>
  <si>
    <t>Nathaniel</t>
  </si>
  <si>
    <t>202-615-6075</t>
  </si>
  <si>
    <t>Joss Goyanko</t>
  </si>
  <si>
    <t>Asked him to contact CW, if possible, for referral; 8/26-CM, Josh Gallenko, 240-620-8052, left us a message to which I responded in a message esplaining referral process</t>
  </si>
  <si>
    <t>ID-2519</t>
  </si>
  <si>
    <t xml:space="preserve">Jacqueline </t>
  </si>
  <si>
    <t>202-407-3399</t>
  </si>
  <si>
    <t>She will contact CM to submit referral</t>
  </si>
  <si>
    <t>ID-1490</t>
  </si>
  <si>
    <t xml:space="preserve">Tyrone </t>
  </si>
  <si>
    <t>Fields</t>
  </si>
  <si>
    <t>202-847-8362</t>
  </si>
  <si>
    <t>Caroyn</t>
  </si>
  <si>
    <r>
      <rPr>
        <rFont val="Arial"/>
        <color theme="1"/>
      </rPr>
      <t>He will find the name of his current CM and have them call us.</t>
    </r>
    <r>
      <rPr>
        <rFont val="Arial"/>
        <b/>
        <color rgb="FF0000FF"/>
      </rPr>
      <t xml:space="preserve"> Update 9/22/25: He left message saying he would talk with Dr. 9/29 and have her call us.9/30, He left message saying Dr. would call us this week.</t>
    </r>
    <r>
      <rPr>
        <rFont val="Arial"/>
        <b/>
        <color theme="1"/>
      </rPr>
      <t xml:space="preserve"> 10/20-Dr. sent referral to FFA, according to Mr. Fields.</t>
    </r>
  </si>
  <si>
    <t>ID-1969</t>
  </si>
  <si>
    <t>Shoulars</t>
  </si>
  <si>
    <t>202-878-9557</t>
  </si>
  <si>
    <t>No recored</t>
  </si>
  <si>
    <t>Will contact DR.</t>
  </si>
  <si>
    <t>ID-2075</t>
  </si>
  <si>
    <t>Anastasia</t>
  </si>
  <si>
    <t>Black</t>
  </si>
  <si>
    <t>301-356-1828</t>
  </si>
  <si>
    <t xml:space="preserve">Sonya </t>
  </si>
  <si>
    <t>202-460-4732</t>
  </si>
  <si>
    <t>She wil contact CM to submit referral; She said she received confirmation re: referral.</t>
  </si>
  <si>
    <t>ID-2053</t>
  </si>
  <si>
    <t>Abner Cordell</t>
  </si>
  <si>
    <t>202-907-5809</t>
  </si>
  <si>
    <t>He will contactCM to submit referral;</t>
  </si>
  <si>
    <t>ID-0049</t>
  </si>
  <si>
    <t>Shelley</t>
  </si>
  <si>
    <t>Exton</t>
  </si>
  <si>
    <t>202-702-3649</t>
  </si>
  <si>
    <t>Tol her to have CM leave us a message and we will call back with instructions</t>
  </si>
  <si>
    <t>ID-1735</t>
  </si>
  <si>
    <t>Lashawn</t>
  </si>
  <si>
    <t>VanBuren</t>
  </si>
  <si>
    <t>202-517-4853</t>
  </si>
  <si>
    <t>ID-2671</t>
  </si>
  <si>
    <t>Deidre</t>
  </si>
  <si>
    <t>Turkvan</t>
  </si>
  <si>
    <t>202-425-9430</t>
  </si>
  <si>
    <t>Will contact CW to submit referral</t>
  </si>
  <si>
    <t>ID-2203</t>
  </si>
  <si>
    <t xml:space="preserve">Linda </t>
  </si>
  <si>
    <t>240-423-4485</t>
  </si>
  <si>
    <t>Will contact SW to submit referral</t>
  </si>
  <si>
    <t>ID-1449</t>
  </si>
  <si>
    <t>Christal</t>
  </si>
  <si>
    <t>Euell</t>
  </si>
  <si>
    <t>202-390-2260</t>
  </si>
  <si>
    <t>Anetta Miles</t>
  </si>
  <si>
    <t>Will contact CSW tomorrow</t>
  </si>
  <si>
    <t>202-578-5952</t>
  </si>
  <si>
    <t>Will talk with DR but doesn't think she'll qualify; She will have Dr send email to Peter, 12/1</t>
  </si>
  <si>
    <t>ID-0765</t>
  </si>
  <si>
    <t>202-718-1476</t>
  </si>
  <si>
    <t xml:space="preserve">Chantavia Smith </t>
  </si>
  <si>
    <t>He will tell DR to submit referral; 11/08-will have DR email  FFA11/17-sent email to Peter</t>
  </si>
  <si>
    <t>ID-2239</t>
  </si>
  <si>
    <t>Nancy</t>
  </si>
  <si>
    <t>202-281-7626</t>
  </si>
  <si>
    <t>202-910-5014</t>
  </si>
  <si>
    <t>Will call DR and have him go to website or calll us for info</t>
  </si>
  <si>
    <t>His CM is on maternity leave, asked him to contact org. and ask someone else to submit referral</t>
  </si>
  <si>
    <t>ID-2842</t>
  </si>
  <si>
    <t>Campbell</t>
  </si>
  <si>
    <t>667-403-1549</t>
  </si>
  <si>
    <t>She said she is not homebound and understands our situation, her last delivery is 10/9; I said we'd call to see if her situation has changed or if deliveries will stop; She is very understanding .</t>
  </si>
  <si>
    <t>ID-1639</t>
  </si>
  <si>
    <t>Amber</t>
  </si>
  <si>
    <t>Gross-Gray</t>
  </si>
  <si>
    <t>202-248-0871</t>
  </si>
  <si>
    <t>Martin Ekumbo Ndorh</t>
  </si>
  <si>
    <t>ID-1720</t>
  </si>
  <si>
    <t>Ivy</t>
  </si>
  <si>
    <t>Richarson</t>
  </si>
  <si>
    <t>202-910-5863</t>
  </si>
  <si>
    <t>She will contact someone to submit referral</t>
  </si>
  <si>
    <t>ID-2365</t>
  </si>
  <si>
    <t>Sylvia</t>
  </si>
  <si>
    <t>Alemu</t>
  </si>
  <si>
    <t>703-870-5015</t>
  </si>
  <si>
    <t>She wants us to call Dr. Bayeh, 202-797-8806 SOME clinic re: referral</t>
  </si>
  <si>
    <t>ID-2068</t>
  </si>
  <si>
    <t>Althea</t>
  </si>
  <si>
    <t>Thompson</t>
  </si>
  <si>
    <t>(771) 243-6663</t>
  </si>
  <si>
    <t>Still no referral after 6 weeks</t>
  </si>
  <si>
    <t>ID-0731</t>
  </si>
  <si>
    <t xml:space="preserve">Walter </t>
  </si>
  <si>
    <t>Stanley III</t>
  </si>
  <si>
    <t>202-749-9977</t>
  </si>
  <si>
    <t>Will contact CM to submit referral</t>
  </si>
  <si>
    <t>ID-1657</t>
  </si>
  <si>
    <t>(202) 830-4904</t>
  </si>
  <si>
    <t>ID-2507</t>
  </si>
  <si>
    <t>202-597-0353</t>
  </si>
  <si>
    <t>ID-2102</t>
  </si>
  <si>
    <t>Madeline</t>
  </si>
  <si>
    <t>McCoy</t>
  </si>
  <si>
    <t>704-707-7416</t>
  </si>
  <si>
    <t>Will get a new doctor and ask to submit referral</t>
  </si>
  <si>
    <t>ID-0255</t>
  </si>
  <si>
    <t>Sharita</t>
  </si>
  <si>
    <t>Savage</t>
  </si>
  <si>
    <t>She is looking into walk-in food banks, or trying to get a referral (mental health).  I said we'd get back in touch with her.</t>
  </si>
  <si>
    <t>ID-2841</t>
  </si>
  <si>
    <t>Nathan</t>
  </si>
  <si>
    <t>DeSosa</t>
  </si>
  <si>
    <t>202-400-7432</t>
  </si>
  <si>
    <t>He will get in touch with someone to submit referral</t>
  </si>
  <si>
    <t>ID-2817</t>
  </si>
  <si>
    <t>Stacy</t>
  </si>
  <si>
    <t>301-687-2828</t>
  </si>
  <si>
    <t>Waiting for her response</t>
  </si>
  <si>
    <t>ID-0368</t>
  </si>
  <si>
    <t>Lolita</t>
  </si>
  <si>
    <t>Gbolade</t>
  </si>
  <si>
    <t>(240) 877-5049</t>
  </si>
  <si>
    <t>Evelyn Akumsi</t>
  </si>
  <si>
    <t>Please send form to evelyne.akumsi@nyahsi.com; phone 2405478289</t>
  </si>
  <si>
    <t>Cornelius</t>
  </si>
  <si>
    <t>‪(202) 912-0836‬</t>
  </si>
  <si>
    <t>Ashleigh</t>
  </si>
  <si>
    <t>Palmer</t>
  </si>
  <si>
    <t>(202)375-4298</t>
  </si>
  <si>
    <t>Will contact SW</t>
  </si>
  <si>
    <t>ID-2973</t>
  </si>
  <si>
    <t>Cluff</t>
  </si>
  <si>
    <t>771-208-3084</t>
  </si>
  <si>
    <t>no record</t>
  </si>
  <si>
    <t>Will contact CM</t>
  </si>
  <si>
    <t>ID-0367</t>
  </si>
  <si>
    <t>Mary Spears</t>
  </si>
  <si>
    <t>202-415-9930</t>
  </si>
  <si>
    <t>Kim-United Health Care, 202-524-3625</t>
  </si>
  <si>
    <t>Will ask cw to email peter</t>
  </si>
  <si>
    <t>202-468-9754</t>
  </si>
  <si>
    <t>Emile-New Hope Mental Health 702-881-4251</t>
  </si>
  <si>
    <t>Spoke with Emile; he will send email to peter</t>
  </si>
  <si>
    <t xml:space="preserve">Liz </t>
  </si>
  <si>
    <t>202-902-3847</t>
  </si>
  <si>
    <t>Mlitu Kimolo, City Care Services, 320-434-0747</t>
  </si>
  <si>
    <t>spoke with Melitu Kimolo, cw;12/6, I lLVM with Mr. Kimolo to send email to Peter asap.</t>
  </si>
  <si>
    <t>ID-2627</t>
  </si>
  <si>
    <t xml:space="preserve">Katherine </t>
  </si>
  <si>
    <t>202-561-7895</t>
  </si>
  <si>
    <t>told her of need for qualifying email</t>
  </si>
  <si>
    <t>ID-0932</t>
  </si>
  <si>
    <t>(202) 923-0667</t>
  </si>
  <si>
    <t>Abdulwehab</t>
  </si>
  <si>
    <t>Alshami</t>
  </si>
  <si>
    <t>(202) 945-8792</t>
  </si>
  <si>
    <t>Keesa Robinson</t>
  </si>
  <si>
    <t>ID-2585</t>
  </si>
  <si>
    <t>(202) 539-7075</t>
  </si>
  <si>
    <t>ID-0979</t>
  </si>
  <si>
    <t xml:space="preserve">Sharon </t>
  </si>
  <si>
    <t>Musgrove</t>
  </si>
  <si>
    <t>(202)845-1779</t>
  </si>
  <si>
    <t>She will have Dr. send email</t>
  </si>
  <si>
    <t>ID-3270</t>
  </si>
  <si>
    <t xml:space="preserve">Chrystal </t>
  </si>
  <si>
    <t>McAllister</t>
  </si>
  <si>
    <t>cm, Alicia Sampene, is waiting for Referral from FFA</t>
  </si>
  <si>
    <t>ID-2624</t>
  </si>
  <si>
    <t>Eolus</t>
  </si>
  <si>
    <t>202-883-2996</t>
  </si>
  <si>
    <t>Akosua Kwakyewaa, Community Connections, Akosua.kwakyewaa@ccdc1.org, 202-981-8998</t>
  </si>
  <si>
    <t>cm-Akosua from Communiy Connections, 202-636-6964,I gave her email address to send verification, 11/11/25</t>
  </si>
  <si>
    <t>ID-2673</t>
  </si>
  <si>
    <t xml:space="preserve">Marie </t>
  </si>
  <si>
    <t>(202) 766-9132</t>
  </si>
  <si>
    <t>None</t>
  </si>
  <si>
    <t xml:space="preserve">No </t>
  </si>
  <si>
    <t>Caseworker Name</t>
  </si>
  <si>
    <t>Caseworker Affiliation</t>
  </si>
  <si>
    <t>Caseworker Email</t>
  </si>
  <si>
    <t>Date of Referral</t>
  </si>
  <si>
    <t>Kiara Morgan</t>
  </si>
  <si>
    <t>Housing Case Manager</t>
  </si>
  <si>
    <t>kiara@openarmshousing.org</t>
  </si>
  <si>
    <t>Not mention</t>
  </si>
  <si>
    <t>Olubunmi Adetunji</t>
  </si>
  <si>
    <t>Life Care, Inc.</t>
  </si>
  <si>
    <t>oadetunji@lifecareinc.net</t>
  </si>
  <si>
    <t>Sanny Lonyem</t>
  </si>
  <si>
    <t>One Care DC Inc.</t>
  </si>
  <si>
    <t>dlonyem-csw@onecaredc.com</t>
  </si>
  <si>
    <t>Pauline Ngala</t>
  </si>
  <si>
    <t>pngala@mbihs.com</t>
  </si>
  <si>
    <t>Jenny Gonzalez</t>
  </si>
  <si>
    <t>Family Support Worker at Mary's Center</t>
  </si>
  <si>
    <t>jengonzalez@maryscenter.org</t>
  </si>
  <si>
    <t xml:space="preserve">Francisca Rodriguez </t>
  </si>
  <si>
    <t>SSG Fox Case Manager III</t>
  </si>
  <si>
    <t>FRodriguez@usvets.org</t>
  </si>
  <si>
    <t>Agnes Ross</t>
  </si>
  <si>
    <t>Abigail Borgman</t>
  </si>
  <si>
    <t>aborgman@houseofruth.org</t>
  </si>
  <si>
    <t>Athena Horne</t>
  </si>
  <si>
    <t>HUD/VASH Veterans Affairs</t>
  </si>
  <si>
    <t>athena.horne@va.gov</t>
  </si>
  <si>
    <t>Linwood Parker</t>
  </si>
  <si>
    <t>Kathryn Morris</t>
  </si>
  <si>
    <t>Restore Hope, Inc.</t>
  </si>
  <si>
    <t>kathryn.morris@restorehopeforwomen.org</t>
  </si>
  <si>
    <t>Isaiah Lewis</t>
  </si>
  <si>
    <t>ilewis25@risingforjustice.org</t>
  </si>
  <si>
    <t>Catholic Charities</t>
  </si>
  <si>
    <t>Willie Curtis</t>
  </si>
  <si>
    <t>Shermaine Campbell</t>
  </si>
  <si>
    <t>shermaine_campbell@optum.com</t>
  </si>
  <si>
    <t>Dachelle</t>
  </si>
  <si>
    <t>Patient Advocate Foundation</t>
  </si>
  <si>
    <t>virginiadarter@gmail.com</t>
  </si>
  <si>
    <t>Virginia Darter</t>
  </si>
  <si>
    <t>Akosua Kwakyewaa</t>
  </si>
  <si>
    <t>akosua.kwakyewaa@ccdc1.org</t>
  </si>
  <si>
    <t>T’éclaire Kedi</t>
  </si>
  <si>
    <t>District health care</t>
  </si>
  <si>
    <t>kteclaire@districthealthcareservices.com</t>
  </si>
  <si>
    <t>Dept of Verteran Affairs</t>
  </si>
  <si>
    <t>bret.zdanowicz@va.gov</t>
  </si>
  <si>
    <t>Tina Johnson</t>
  </si>
  <si>
    <t>Advoquate Health Services, LLC</t>
  </si>
  <si>
    <t>tjohnson@advoquatehealth.com</t>
  </si>
  <si>
    <t>Shaquei Luwaan</t>
  </si>
  <si>
    <t>Simone Risdon</t>
  </si>
  <si>
    <t>Care Coordinator</t>
  </si>
  <si>
    <t>simonealexis.risdon@cc-dc.org</t>
  </si>
  <si>
    <t>Jeffery Taylor</t>
  </si>
  <si>
    <t>Lucky Stanley</t>
  </si>
  <si>
    <t xml:space="preserve">Wellpoint DC formally Amerigroup DC
</t>
  </si>
  <si>
    <t>lucky.stanley@wellpoint.com</t>
  </si>
  <si>
    <t>Leteasha Liggans</t>
  </si>
  <si>
    <t>lliggans@friendshipplace.org</t>
  </si>
  <si>
    <t>Tezhina Bradley</t>
  </si>
  <si>
    <t>CareFirst</t>
  </si>
  <si>
    <t>tezhina.bradley@carefirst.com</t>
  </si>
  <si>
    <t>Jennell Green</t>
  </si>
  <si>
    <t>Ryan White Program</t>
  </si>
  <si>
    <t>jennell.green@medstar.net</t>
  </si>
  <si>
    <t xml:space="preserve">Joslyn Trovati
</t>
  </si>
  <si>
    <t>LCSW at GW Cancer Center</t>
  </si>
  <si>
    <t>Latina Gary</t>
  </si>
  <si>
    <t>Kristian Caulley</t>
  </si>
  <si>
    <t>kcaulley@cohdc.org</t>
  </si>
  <si>
    <t>Housing Counseling Services, Inc.</t>
  </si>
  <si>
    <t>James Willis</t>
  </si>
  <si>
    <t>Halley Fon</t>
  </si>
  <si>
    <t>fonfon-csw@onecaredc.com</t>
  </si>
  <si>
    <t>Eric Gorman</t>
  </si>
  <si>
    <t>Ansley Gerhard</t>
  </si>
  <si>
    <t>Jaydot LLC</t>
  </si>
  <si>
    <t>ansley@jaydot.org</t>
  </si>
  <si>
    <t>Oluwabukola Afolayan</t>
  </si>
  <si>
    <t xml:space="preserve">Mbi Health Services
</t>
  </si>
  <si>
    <t>oafolayan@mbihs.com</t>
  </si>
  <si>
    <t>Samara Kurien</t>
  </si>
  <si>
    <t>N Street Village</t>
  </si>
  <si>
    <t>skurien@nstreetvillage.org</t>
  </si>
  <si>
    <t>Cecilia Ward</t>
  </si>
  <si>
    <t>HSCSN- Health Services for Children with Special Needs</t>
  </si>
  <si>
    <t>cward@hschealth.org</t>
  </si>
  <si>
    <t>Acquetta Smith</t>
  </si>
  <si>
    <t>N Street Village Case Manager</t>
  </si>
  <si>
    <t>asmith@nstreetvillage.org</t>
  </si>
  <si>
    <t>Zina</t>
  </si>
  <si>
    <t>School Justice Project</t>
  </si>
  <si>
    <t>zcharles@sjpdc.org</t>
  </si>
  <si>
    <t>Sarah Creighton</t>
  </si>
  <si>
    <t>Carmenia Diggs</t>
  </si>
  <si>
    <t>Hattie Lewis</t>
  </si>
  <si>
    <t>Michelle Booze</t>
  </si>
  <si>
    <t>Keisha Gary</t>
  </si>
  <si>
    <t>Jacqueline Dompereh</t>
  </si>
  <si>
    <t>jacqueline.dompereh@ccdc1.org</t>
  </si>
  <si>
    <t>Calvin Perkins</t>
  </si>
  <si>
    <t>Tola Iroko</t>
  </si>
  <si>
    <t>Family and Medical Counseling Service</t>
  </si>
  <si>
    <t>tiroko@fmcsinc.org</t>
  </si>
  <si>
    <t>Ayanna Free</t>
  </si>
  <si>
    <t>Washington Yu Ying Public Charter School</t>
  </si>
  <si>
    <t>ayanna.free@washingtonyuying.org</t>
  </si>
  <si>
    <t>Aleia Fagan</t>
  </si>
  <si>
    <t>United health care</t>
  </si>
  <si>
    <t>Karen Chicas referral</t>
  </si>
  <si>
    <t>Single mother with mental health issues</t>
  </si>
  <si>
    <t>Date Received</t>
  </si>
  <si>
    <t>Email</t>
  </si>
  <si>
    <t>Reason for Email</t>
  </si>
  <si>
    <t>Follow Up Notes</t>
  </si>
  <si>
    <t>Actions Done</t>
  </si>
  <si>
    <t>Status</t>
  </si>
  <si>
    <t>Jasmine Thomas</t>
  </si>
  <si>
    <t>jthomas@lesdc.org</t>
  </si>
  <si>
    <t>Deidre Turkvan</t>
  </si>
  <si>
    <t xml:space="preserve">Recertification </t>
  </si>
  <si>
    <t>Completed</t>
  </si>
  <si>
    <t>Referral</t>
  </si>
  <si>
    <t>Provided form to the CW</t>
  </si>
  <si>
    <t>CW filled out. Added client to the database</t>
  </si>
  <si>
    <t>joss.goyanko@edenbridgehealth.org</t>
  </si>
  <si>
    <t>Mr. N Ellis.</t>
  </si>
  <si>
    <t>venya.t.lottier@medstar.net</t>
  </si>
  <si>
    <t>Danita Wright</t>
  </si>
  <si>
    <t>Confirming with the CW that the client still needs assistance</t>
  </si>
  <si>
    <t>Called client and scheduled her first delivery</t>
  </si>
  <si>
    <t>Antoinette Miles</t>
  </si>
  <si>
    <t>amiles@life-stride.com</t>
  </si>
  <si>
    <t xml:space="preserve">Christal Euell </t>
  </si>
  <si>
    <t>LaTonya Price</t>
  </si>
  <si>
    <t>lprice@springleafsolutions.com</t>
  </si>
  <si>
    <t>Nancy Jones</t>
  </si>
  <si>
    <t>Added the client in the main database and scheduled her first delivery next week</t>
  </si>
  <si>
    <t>Did not include</t>
  </si>
  <si>
    <t>Waitlisted</t>
  </si>
  <si>
    <t>VERA A TEBO</t>
  </si>
  <si>
    <t>tebovera@yahoo.com</t>
  </si>
  <si>
    <t>Laphedona Johnson</t>
  </si>
  <si>
    <t>This is one of the highlighted referrals to prioritize. Called the client and scheduled his first delivery next Friday (next week).</t>
  </si>
  <si>
    <t>Claudelia Davis</t>
  </si>
  <si>
    <t>CW filled out the form. Added client to the databse</t>
  </si>
  <si>
    <t>Client is eligible. Provided the client referral form</t>
  </si>
  <si>
    <t>Chamir Haynes</t>
  </si>
  <si>
    <t>chamir.haynes@newlivinghealthcare.com</t>
  </si>
  <si>
    <t>Pending</t>
  </si>
  <si>
    <t>Reather James</t>
  </si>
  <si>
    <t>Lawrence Everrett Kelly</t>
  </si>
  <si>
    <t>lkelly@lesdc.org</t>
  </si>
  <si>
    <t>Princess brown</t>
  </si>
  <si>
    <t>pbrown@frienshipplace.org</t>
  </si>
  <si>
    <t>Lamonika hammonds</t>
  </si>
  <si>
    <t>Existing Client - Delivery Request</t>
  </si>
  <si>
    <t>Scheduled for a delivery</t>
  </si>
  <si>
    <t>endorh@neighborsc.org</t>
  </si>
  <si>
    <t xml:space="preserve">Amber Gross-Gray </t>
  </si>
  <si>
    <t>Maheteme Bayeh</t>
  </si>
  <si>
    <t>mbayeh@some.org</t>
  </si>
  <si>
    <t>Need more info</t>
  </si>
  <si>
    <t>BOlley@unityhealthcare.org</t>
  </si>
  <si>
    <t xml:space="preserve">Kavin Gray </t>
  </si>
  <si>
    <t>This is one of the highlighted referrals to prioritize. Spoke to the daughter and scheduled her first delivery next Thursday (next week).</t>
  </si>
  <si>
    <t>This is one of the highlighted referrals to prioritize. Called client and scheduled her first delivery.</t>
  </si>
  <si>
    <t>This is one of the highlighted referrals to prioritize. Called the client and scheduled her first delivery next Thursday (next week).</t>
  </si>
  <si>
    <t xml:space="preserve">
Ayanna Free</t>
  </si>
  <si>
    <r>
      <rPr>
        <rFont val="Arial"/>
        <color rgb="FF000000"/>
      </rPr>
      <t>ayanna.free@washingtonyuying.</t>
    </r>
    <r>
      <rPr>
        <rFont val="Arial"/>
        <color rgb="FF000000"/>
      </rPr>
      <t>org</t>
    </r>
  </si>
  <si>
    <t>Nathalie to follow up by offering to waitlist. No need for referral form as yet</t>
  </si>
  <si>
    <t>Informed of the waitlist policy and added to waitlisted</t>
  </si>
  <si>
    <t>Damany Mattis</t>
  </si>
  <si>
    <t>Claudia Whitaker</t>
  </si>
  <si>
    <t>Caseworker will provide more information about client</t>
  </si>
  <si>
    <t>Mosunmola Akinwumi</t>
  </si>
  <si>
    <t>David Williams</t>
  </si>
  <si>
    <t>Update client info</t>
  </si>
  <si>
    <t>Caseworker provided a new address</t>
  </si>
  <si>
    <t>Updated both phone and address</t>
  </si>
  <si>
    <t>Tracey Crew</t>
  </si>
  <si>
    <t>tcrew@amerihealthcaritasdc.com</t>
  </si>
  <si>
    <t>jen.r@volare-empowers.org</t>
  </si>
  <si>
    <t xml:space="preserve">Michelle Hatfield </t>
  </si>
  <si>
    <t>CW completed the form. Called the client to schedule her first delivery</t>
  </si>
  <si>
    <t>JLITERAL@hschealth.org</t>
  </si>
  <si>
    <t>She referred a client in April, but did not receive a response from FFA</t>
  </si>
  <si>
    <t>CW filled out referral and informed of delayed assistance</t>
  </si>
  <si>
    <t>Shayla Wilson</t>
  </si>
  <si>
    <t>shayla@ounceofcare.com</t>
  </si>
  <si>
    <t>Waiting for CW to confirm client's eligibility</t>
  </si>
  <si>
    <t>Wendy Rivas</t>
  </si>
  <si>
    <t>wendy@volare-empowers.org</t>
  </si>
  <si>
    <t>simone.boyd@va.gov</t>
  </si>
  <si>
    <t>Thomas McComb</t>
  </si>
  <si>
    <t>Waiting for CW to confirm client's details</t>
  </si>
  <si>
    <t>Confirmed client information</t>
  </si>
  <si>
    <t>janet.obi-rapu@ccdc1.org</t>
  </si>
  <si>
    <t>CW completed the form.</t>
  </si>
  <si>
    <t>Melissa Gleaton</t>
  </si>
  <si>
    <t>mgleaton@lifecareinc.net</t>
  </si>
  <si>
    <t>Amanda Diggs</t>
  </si>
  <si>
    <t>adiggs@metroedsolutions.com</t>
  </si>
  <si>
    <t>Ms. Fischl</t>
  </si>
  <si>
    <t>Lena Naves</t>
  </si>
  <si>
    <t>Community Health worker</t>
  </si>
  <si>
    <t>orobertson@wheelercreekcdc.org</t>
  </si>
  <si>
    <t>CW requesting food assistance for Ms.Chalaire</t>
  </si>
  <si>
    <t>Scheduled client for 2 mos delivery</t>
  </si>
  <si>
    <t>Nadia Joseph Polanco</t>
  </si>
  <si>
    <t>CW requesting food assistance for Ms. Polanco</t>
  </si>
  <si>
    <t>Florence Scott</t>
  </si>
  <si>
    <t>CW requesting food assistance for Ms. Scott</t>
  </si>
  <si>
    <t>Schedule clients for 3 mos delivery</t>
  </si>
  <si>
    <t>Emma Dunn</t>
  </si>
  <si>
    <t>edunn@interaction.org</t>
  </si>
  <si>
    <t>Ronald Jeanty</t>
  </si>
  <si>
    <t>rjeanty25@risingforjustice.org</t>
  </si>
  <si>
    <t>CW reported that the client didn't receive her last delivery</t>
  </si>
  <si>
    <t>Called the client to schedule a redelivery and scheduled her in advance for November and December</t>
  </si>
  <si>
    <t>james@volare-empowers.org</t>
  </si>
  <si>
    <t>CW requested for a new delivery</t>
  </si>
  <si>
    <t>Scheduled client until December</t>
  </si>
  <si>
    <t>Scheduled a delivery this Friday</t>
  </si>
  <si>
    <t>Jen.R Ramos</t>
  </si>
  <si>
    <t>CW requested to call the client to clarify the scheduled delivery as she might not be home to receive</t>
  </si>
  <si>
    <t>Unable to reach the client but clarified with CW that the delivery is for next week and not this week</t>
  </si>
  <si>
    <t>nathalie@foodforalldc.org</t>
  </si>
  <si>
    <t>CW is asking for updates on her referral from 10/17</t>
  </si>
  <si>
    <t>Tried to call but unable to reach client. Will call again</t>
  </si>
  <si>
    <t>lynette.anderson@ccdc1.org</t>
  </si>
  <si>
    <t>CW is asking for the status of her referral</t>
  </si>
  <si>
    <t xml:space="preserve">Informed of the waitlist process </t>
  </si>
  <si>
    <t xml:space="preserve">Azzami Rosso
</t>
  </si>
  <si>
    <t>Nadia Polanco</t>
  </si>
  <si>
    <t>Scheduled client until Dec</t>
  </si>
  <si>
    <t>CW asked for the client's next delivery date</t>
  </si>
  <si>
    <t>Provided info to the CW</t>
  </si>
  <si>
    <t xml:space="preserve">Francisca Rodriguez
</t>
  </si>
  <si>
    <t>CW asked if we are now accepting clients</t>
  </si>
  <si>
    <t>Provided referral form since client she initially referred was eligible but her referral now is for another client with another CW. Provided the criteria to the new CW</t>
  </si>
  <si>
    <t>CW reached out to recertify the client</t>
  </si>
  <si>
    <t>Updated the client's info</t>
  </si>
  <si>
    <t>CW asked to postpone client's delivery due to travels</t>
  </si>
  <si>
    <t>Cancelled December delivery</t>
  </si>
  <si>
    <t>Eolus Davis</t>
  </si>
  <si>
    <t xml:space="preserve">Simpson </t>
  </si>
  <si>
    <t>CW reported her client didn't receive the scheduled delivery</t>
  </si>
  <si>
    <t>Advised that it's scheduled a week after her expected delivery date</t>
  </si>
  <si>
    <t>Called client to schedule a delivery</t>
  </si>
  <si>
    <t>keesa.robinson@ccdc1.org</t>
  </si>
  <si>
    <t>Abdulwahab Alshami</t>
  </si>
  <si>
    <t>tbrown@lesdc.org</t>
  </si>
  <si>
    <t>Rose Scott</t>
  </si>
  <si>
    <t>CW requested a delivery</t>
  </si>
  <si>
    <t>Daphne Palmer</t>
  </si>
  <si>
    <t>CW reported that the client already passed away</t>
  </si>
  <si>
    <t>Updated client's info and make her status inactive</t>
  </si>
  <si>
    <t>Chantal Fokom</t>
  </si>
  <si>
    <t>Jamika LewisSimms</t>
  </si>
  <si>
    <t>Referral needed for client</t>
  </si>
  <si>
    <t>Reached out to CW and provided the referral form</t>
  </si>
  <si>
    <t>Evelyne Akumsi</t>
  </si>
  <si>
    <t>evelyne.akumsi@nyahsi.com</t>
  </si>
  <si>
    <t>Lolita Gbolade</t>
  </si>
  <si>
    <t>Client needs to be recertified</t>
  </si>
  <si>
    <t>Marjorie Gleaton</t>
  </si>
  <si>
    <t>CW reached out to refer client</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</si>
</sst>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d/yyyy h:mm:ss"/>
    <numFmt numFmtId="165" formatCode="M/d/yyyy"/>
    <numFmt numFmtId="166" formatCode="(000) 000-0000"/>
    <numFmt numFmtId="167" formatCode="m/d"/>
    <numFmt numFmtId="168" formatCode="m/d/yyyy"/>
    <numFmt numFmtId="169" formatCode="mm/dd/yyyy"/>
    <numFmt numFmtId="170" formatCode="mm/dd"/>
    <numFmt numFmtId="171" formatCode="m/d/yy"/>
    <numFmt numFmtId="172" formatCode="mm/dd/yy"/>
  </numFmts>
  <fonts count="31">
    <font>
      <sz val="10.0"/>
      <color rgb="FF000000"/>
      <name val="Arial"/>
      <scheme val="minor"/>
    </font>
    <font>
      <color rgb="FFFFFFFF"/>
      <name val="Arial"/>
      <scheme val="minor"/>
    </font>
    <font>
      <b/>
      <color rgb="FFFFFFFF"/>
      <name val="Arial"/>
      <scheme val="minor"/>
    </font>
    <font>
      <b/>
      <color theme="0"/>
      <name val="Arial"/>
      <scheme val="minor"/>
    </font>
    <font>
      <color theme="0"/>
      <name val="Arial"/>
      <scheme val="minor"/>
    </font>
    <font>
      <color theme="1"/>
      <name val="Arial"/>
      <scheme val="minor"/>
    </font>
    <font>
      <color rgb="FF000000"/>
      <name val="Arial"/>
    </font>
    <font>
      <color rgb="FF000000"/>
      <name val="Arial"/>
      <scheme val="minor"/>
    </font>
    <font>
      <color rgb="FFFF0000"/>
      <name val="Arial"/>
      <scheme val="minor"/>
    </font>
    <font>
      <color theme="1"/>
      <name val="Calibri"/>
    </font>
    <font>
      <sz val="10.0"/>
      <color theme="1"/>
      <name val="Calibri"/>
    </font>
    <font>
      <b/>
      <sz val="15.0"/>
      <color theme="1"/>
      <name val="Calibri"/>
    </font>
    <font>
      <b/>
      <sz val="17.0"/>
      <color theme="1"/>
      <name val="Calibri"/>
    </font>
    <font>
      <b/>
      <sz val="20.0"/>
      <color theme="1"/>
      <name val="Calibri"/>
    </font>
    <font>
      <sz val="15.0"/>
      <color theme="1"/>
      <name val="Calibri"/>
    </font>
    <font>
      <sz val="17.0"/>
      <color theme="1"/>
      <name val="Calibri"/>
    </font>
    <font>
      <sz val="19.0"/>
      <color theme="1"/>
      <name val="Calibri"/>
    </font>
    <font>
      <sz val="15.0"/>
      <color rgb="FF000000"/>
      <name val="Calibri"/>
    </font>
    <font>
      <sz val="17.0"/>
      <color rgb="FF000000"/>
      <name val="Calibri"/>
    </font>
    <font>
      <sz val="20.0"/>
      <color theme="1"/>
      <name val="Calibri"/>
    </font>
    <font>
      <sz val="18.0"/>
      <color theme="1"/>
      <name val="Calibri"/>
    </font>
    <font>
      <sz val="11.0"/>
      <color theme="1"/>
      <name val="Calibri"/>
    </font>
    <font>
      <sz val="10.0"/>
      <color rgb="FF000000"/>
      <name val="Calibri"/>
    </font>
    <font>
      <color rgb="FF666666"/>
      <name val="Calibri"/>
    </font>
    <font>
      <b/>
      <sz val="10.0"/>
      <color rgb="FFFFFFFF"/>
      <name val="Arial"/>
      <scheme val="minor"/>
    </font>
    <font>
      <b/>
      <sz val="12.0"/>
      <color rgb="FFFFFFFF"/>
      <name val="Arial"/>
      <scheme val="minor"/>
    </font>
    <font>
      <b/>
      <sz val="36.0"/>
      <color rgb="FFFFFFFF"/>
      <name val="Arial"/>
      <scheme val="minor"/>
    </font>
    <font>
      <sz val="10.0"/>
      <color theme="1"/>
      <name val="Arial"/>
      <scheme val="minor"/>
    </font>
    <font>
      <b/>
      <sz val="11.0"/>
      <color rgb="FF000000"/>
      <name val="Arial"/>
      <scheme val="minor"/>
    </font>
    <font>
      <b/>
      <sz val="11.0"/>
      <color theme="1"/>
      <name val="Arial"/>
      <scheme val="minor"/>
    </font>
    <font>
      <color theme="1"/>
      <name val="Arial"/>
    </font>
  </fonts>
  <fills count="17">
    <fill>
      <patternFill patternType="none"/>
    </fill>
    <fill>
      <patternFill patternType="lightGray"/>
    </fill>
    <fill>
      <patternFill patternType="solid">
        <fgColor rgb="FF0000FF"/>
        <bgColor rgb="FF0000FF"/>
      </patternFill>
    </fill>
    <fill>
      <patternFill patternType="solid">
        <fgColor rgb="FFFFFF00"/>
        <bgColor rgb="FFFFFF00"/>
      </patternFill>
    </fill>
    <fill>
      <patternFill patternType="solid">
        <fgColor rgb="FF93C47D"/>
        <bgColor rgb="FF93C47D"/>
      </patternFill>
    </fill>
    <fill>
      <patternFill patternType="solid">
        <fgColor rgb="FFE6B8AF"/>
        <bgColor rgb="FFE6B8AF"/>
      </patternFill>
    </fill>
    <fill>
      <patternFill patternType="solid">
        <fgColor rgb="FFCFE2F3"/>
        <bgColor rgb="FFCFE2F3"/>
      </patternFill>
    </fill>
    <fill>
      <patternFill patternType="solid">
        <fgColor rgb="FFFF9900"/>
        <bgColor rgb="FFFF9900"/>
      </patternFill>
    </fill>
    <fill>
      <patternFill patternType="solid">
        <fgColor rgb="FFB7E1CD"/>
        <bgColor rgb="FFB7E1CD"/>
      </patternFill>
    </fill>
    <fill>
      <patternFill patternType="solid">
        <fgColor rgb="FF999999"/>
        <bgColor rgb="FF999999"/>
      </patternFill>
    </fill>
    <fill>
      <patternFill patternType="solid">
        <fgColor rgb="FFFFFFFF"/>
        <bgColor rgb="FFFFFFFF"/>
      </patternFill>
    </fill>
    <fill>
      <patternFill patternType="solid">
        <fgColor rgb="FFB6D7A8"/>
        <bgColor rgb="FFB6D7A8"/>
      </patternFill>
    </fill>
    <fill>
      <patternFill patternType="solid">
        <fgColor rgb="FFD9EAD3"/>
        <bgColor rgb="FFD9EAD3"/>
      </patternFill>
    </fill>
    <fill>
      <patternFill patternType="solid">
        <fgColor rgb="FFF9CB9C"/>
        <bgColor rgb="FFF9CB9C"/>
      </patternFill>
    </fill>
    <fill>
      <patternFill patternType="solid">
        <fgColor rgb="FF38761D"/>
        <bgColor rgb="FF38761D"/>
      </patternFill>
    </fill>
    <fill>
      <patternFill patternType="solid">
        <fgColor rgb="FFFF0000"/>
        <bgColor rgb="FFFF0000"/>
      </patternFill>
    </fill>
    <fill>
      <patternFill patternType="solid">
        <fgColor rgb="FFFFE599"/>
        <bgColor rgb="FFFFE599"/>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s>
  <cellStyleXfs count="1">
    <xf borderId="0" fillId="0" fontId="0" numFmtId="0" applyAlignment="1" applyFont="1"/>
  </cellStyleXfs>
  <cellXfs count="176">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2" fontId="2" numFmtId="0" xfId="0" applyAlignment="1" applyBorder="1" applyFont="1">
      <alignment horizontal="center" readingOrder="0" shrinkToFit="0" vertical="center" wrapText="1"/>
    </xf>
    <xf borderId="1" fillId="2" fontId="3" numFmtId="0" xfId="0" applyAlignment="1" applyBorder="1" applyFont="1">
      <alignment horizontal="center" vertical="center"/>
    </xf>
    <xf borderId="1" fillId="2" fontId="4" numFmtId="0" xfId="0" applyAlignment="1" applyBorder="1" applyFont="1">
      <alignment horizontal="center" shrinkToFit="0" vertical="center" wrapText="1"/>
    </xf>
    <xf borderId="1" fillId="2" fontId="1" numFmtId="0" xfId="0" applyAlignment="1" applyBorder="1" applyFont="1">
      <alignment horizontal="left" readingOrder="0" shrinkToFit="0" vertical="center" wrapText="1"/>
    </xf>
    <xf borderId="1" fillId="2" fontId="2" numFmtId="0" xfId="0" applyAlignment="1" applyBorder="1" applyFont="1">
      <alignment horizontal="center" readingOrder="0" vertical="center"/>
    </xf>
    <xf borderId="1" fillId="2" fontId="3" numFmtId="0" xfId="0" applyAlignment="1" applyBorder="1" applyFont="1">
      <alignment horizontal="center" shrinkToFit="0" vertical="center" wrapText="1"/>
    </xf>
    <xf borderId="1" fillId="2" fontId="4" numFmtId="0" xfId="0" applyAlignment="1" applyBorder="1" applyFont="1">
      <alignment horizontal="center" vertical="center"/>
    </xf>
    <xf borderId="1" fillId="2" fontId="1" numFmtId="0" xfId="0" applyAlignment="1" applyBorder="1" applyFont="1">
      <alignment horizontal="center" readingOrder="0" shrinkToFit="0" vertical="center" wrapText="1"/>
    </xf>
    <xf borderId="1" fillId="2" fontId="4" numFmtId="0" xfId="0" applyAlignment="1" applyBorder="1" applyFont="1">
      <alignment horizontal="center" readingOrder="0" shrinkToFit="0" vertical="center" wrapText="1"/>
    </xf>
    <xf borderId="0" fillId="2" fontId="4" numFmtId="0" xfId="0" applyAlignment="1" applyFont="1">
      <alignment horizontal="center" readingOrder="0" shrinkToFit="0" vertical="center" wrapText="1"/>
    </xf>
    <xf borderId="0" fillId="0" fontId="5" numFmtId="0" xfId="0" applyAlignment="1" applyFont="1">
      <alignment horizontal="center" vertical="center"/>
    </xf>
    <xf borderId="1" fillId="3" fontId="5" numFmtId="164" xfId="0" applyAlignment="1" applyBorder="1" applyFill="1" applyFont="1" applyNumberFormat="1">
      <alignment horizontal="center" readingOrder="0" vertical="center"/>
    </xf>
    <xf borderId="1" fillId="4" fontId="5" numFmtId="165" xfId="0" applyAlignment="1" applyBorder="1" applyFill="1" applyFont="1" applyNumberFormat="1">
      <alignment horizontal="center" readingOrder="0" shrinkToFit="0" vertical="center" wrapText="1"/>
    </xf>
    <xf borderId="1" fillId="4" fontId="5" numFmtId="0" xfId="0" applyAlignment="1" applyBorder="1" applyFont="1">
      <alignment horizontal="center" readingOrder="0" shrinkToFit="0" vertical="center" wrapText="1"/>
    </xf>
    <xf borderId="1" fillId="4" fontId="5" numFmtId="166" xfId="0" applyAlignment="1" applyBorder="1" applyFont="1" applyNumberFormat="1">
      <alignment horizontal="center" readingOrder="0" shrinkToFit="0" vertical="center" wrapText="1"/>
    </xf>
    <xf borderId="1" fillId="5" fontId="5" numFmtId="0" xfId="0" applyAlignment="1" applyBorder="1" applyFill="1" applyFont="1">
      <alignment horizontal="center" readingOrder="0" shrinkToFit="0" vertical="center" wrapText="1"/>
    </xf>
    <xf borderId="1" fillId="5" fontId="5" numFmtId="0" xfId="0" applyAlignment="1" applyBorder="1" applyFont="1">
      <alignment horizontal="center" readingOrder="0" vertical="center"/>
    </xf>
    <xf borderId="1" fillId="5" fontId="5" numFmtId="166" xfId="0" applyAlignment="1" applyBorder="1" applyFont="1" applyNumberFormat="1">
      <alignment horizontal="center" readingOrder="0" shrinkToFit="0" vertical="center" wrapText="1"/>
    </xf>
    <xf borderId="1" fillId="5" fontId="5" numFmtId="0" xfId="0" applyAlignment="1" applyBorder="1" applyFont="1">
      <alignment horizontal="left" readingOrder="0" shrinkToFit="0" vertical="center" wrapText="1"/>
    </xf>
    <xf borderId="1" fillId="6" fontId="5" numFmtId="0" xfId="0" applyAlignment="1" applyBorder="1" applyFill="1" applyFont="1">
      <alignment horizontal="center" readingOrder="0" vertical="center"/>
    </xf>
    <xf borderId="1" fillId="6" fontId="5" numFmtId="0" xfId="0" applyAlignment="1" applyBorder="1" applyFont="1">
      <alignment horizontal="center" readingOrder="0" shrinkToFit="0" vertical="center" wrapText="1"/>
    </xf>
    <xf borderId="1" fillId="6" fontId="5" numFmtId="0" xfId="0" applyAlignment="1" applyBorder="1" applyFont="1">
      <alignment horizontal="center" shrinkToFit="0" vertical="center" wrapText="1"/>
    </xf>
    <xf borderId="1" fillId="6" fontId="5" numFmtId="0" xfId="0" applyAlignment="1" applyBorder="1" applyFont="1">
      <alignment horizontal="center" readingOrder="0" shrinkToFit="0" vertical="center" wrapText="1"/>
    </xf>
    <xf borderId="0" fillId="6" fontId="5" numFmtId="0" xfId="0" applyAlignment="1" applyFont="1">
      <alignment horizontal="center" readingOrder="0" shrinkToFit="0" vertical="center" wrapText="1"/>
    </xf>
    <xf borderId="1" fillId="5" fontId="5" numFmtId="166" xfId="0" applyAlignment="1" applyBorder="1" applyFont="1" applyNumberFormat="1">
      <alignment horizontal="center" readingOrder="0" vertical="center"/>
    </xf>
    <xf borderId="1" fillId="5" fontId="5" numFmtId="0" xfId="0" applyAlignment="1" applyBorder="1" applyFont="1">
      <alignment horizontal="left" readingOrder="0" vertical="center"/>
    </xf>
    <xf borderId="1" fillId="6" fontId="5" numFmtId="0" xfId="0" applyAlignment="1" applyBorder="1" applyFont="1">
      <alignment horizontal="center" vertical="center"/>
    </xf>
    <xf borderId="1" fillId="6" fontId="5" numFmtId="166" xfId="0" applyAlignment="1" applyBorder="1" applyFont="1" applyNumberFormat="1">
      <alignment horizontal="center" readingOrder="0" vertical="center"/>
    </xf>
    <xf borderId="1" fillId="4" fontId="6" numFmtId="0" xfId="0" applyAlignment="1" applyBorder="1" applyFont="1">
      <alignment horizontal="center" readingOrder="0" shrinkToFit="0" vertical="center" wrapText="1"/>
    </xf>
    <xf borderId="1" fillId="3" fontId="5" numFmtId="0" xfId="0" applyAlignment="1" applyBorder="1" applyFont="1">
      <alignment horizontal="center" readingOrder="0" vertical="center"/>
    </xf>
    <xf quotePrefix="1" borderId="1" fillId="6" fontId="5" numFmtId="0" xfId="0" applyAlignment="1" applyBorder="1" applyFont="1">
      <alignment horizontal="center" readingOrder="0" vertical="center"/>
    </xf>
    <xf borderId="1" fillId="7" fontId="5" numFmtId="164" xfId="0" applyAlignment="1" applyBorder="1" applyFill="1" applyFont="1" applyNumberFormat="1">
      <alignment horizontal="center" readingOrder="0" vertical="center"/>
    </xf>
    <xf borderId="1" fillId="5" fontId="5" numFmtId="164" xfId="0" applyAlignment="1" applyBorder="1" applyFont="1" applyNumberFormat="1">
      <alignment horizontal="center" readingOrder="0" vertical="center"/>
    </xf>
    <xf borderId="1" fillId="6" fontId="5" numFmtId="166" xfId="0" applyAlignment="1" applyBorder="1" applyFont="1" applyNumberFormat="1">
      <alignment horizontal="center" readingOrder="0" vertical="center"/>
    </xf>
    <xf borderId="1" fillId="3" fontId="5" numFmtId="167" xfId="0" applyAlignment="1" applyBorder="1" applyFont="1" applyNumberFormat="1">
      <alignment horizontal="center" readingOrder="0" vertical="center"/>
    </xf>
    <xf borderId="1" fillId="4" fontId="7" numFmtId="0" xfId="0" applyAlignment="1" applyBorder="1" applyFont="1">
      <alignment horizontal="center" readingOrder="0" shrinkToFit="0" vertical="center" wrapText="1"/>
    </xf>
    <xf borderId="1" fillId="4" fontId="8" numFmtId="0" xfId="0" applyAlignment="1" applyBorder="1" applyFont="1">
      <alignment horizontal="center" readingOrder="0" shrinkToFit="0" vertical="center" wrapText="1"/>
    </xf>
    <xf borderId="0" fillId="6" fontId="5" numFmtId="0" xfId="0" applyAlignment="1" applyFont="1">
      <alignment horizontal="center" shrinkToFit="0" vertical="center" wrapText="1"/>
    </xf>
    <xf borderId="1" fillId="4" fontId="5" numFmtId="0" xfId="0" applyAlignment="1" applyBorder="1" applyFont="1">
      <alignment horizontal="center" readingOrder="0" vertical="center"/>
    </xf>
    <xf borderId="1" fillId="4" fontId="9" numFmtId="166" xfId="0" applyAlignment="1" applyBorder="1" applyFont="1" applyNumberFormat="1">
      <alignment horizontal="right" readingOrder="0" vertical="center"/>
    </xf>
    <xf borderId="0" fillId="4" fontId="5" numFmtId="166" xfId="0" applyAlignment="1" applyFont="1" applyNumberFormat="1">
      <alignment horizontal="center" readingOrder="0" shrinkToFit="0" vertical="center" wrapText="1"/>
    </xf>
    <xf borderId="1" fillId="4" fontId="6" numFmtId="0" xfId="0" applyAlignment="1" applyBorder="1" applyFont="1">
      <alignment horizontal="center" readingOrder="0" vertical="center"/>
    </xf>
    <xf borderId="1" fillId="6" fontId="6" numFmtId="0" xfId="0" applyAlignment="1" applyBorder="1" applyFont="1">
      <alignment horizontal="center" readingOrder="0" vertical="center"/>
    </xf>
    <xf borderId="0" fillId="4" fontId="10" numFmtId="166" xfId="0" applyAlignment="1" applyFont="1" applyNumberFormat="1">
      <alignment horizontal="right" readingOrder="0" vertical="center"/>
    </xf>
    <xf borderId="0" fillId="8" fontId="11" numFmtId="0" xfId="0" applyAlignment="1" applyFill="1" applyFont="1">
      <alignment horizontal="center" readingOrder="0" shrinkToFit="0" wrapText="1"/>
    </xf>
    <xf borderId="1" fillId="5" fontId="5" numFmtId="168" xfId="0" applyAlignment="1" applyBorder="1" applyFont="1" applyNumberFormat="1">
      <alignment horizontal="center" readingOrder="0" vertical="center"/>
    </xf>
    <xf borderId="0" fillId="6" fontId="5" numFmtId="0" xfId="0" applyAlignment="1" applyFont="1">
      <alignment horizontal="center" readingOrder="0" vertical="center"/>
    </xf>
    <xf borderId="1" fillId="5" fontId="5" numFmtId="164" xfId="0" applyAlignment="1" applyBorder="1" applyFont="1" applyNumberFormat="1">
      <alignment readingOrder="0"/>
    </xf>
    <xf borderId="1" fillId="5" fontId="5" numFmtId="0" xfId="0" applyAlignment="1" applyBorder="1" applyFont="1">
      <alignment readingOrder="0"/>
    </xf>
    <xf borderId="1" fillId="5" fontId="5" numFmtId="0" xfId="0" applyAlignment="1" applyBorder="1" applyFont="1">
      <alignment horizontal="left" readingOrder="0"/>
    </xf>
    <xf borderId="1" fillId="6" fontId="5" numFmtId="0" xfId="0" applyAlignment="1" applyBorder="1" applyFont="1">
      <alignment readingOrder="0"/>
    </xf>
    <xf borderId="1" fillId="6" fontId="5" numFmtId="0" xfId="0" applyAlignment="1" applyBorder="1" applyFont="1">
      <alignment readingOrder="0" shrinkToFit="0" wrapText="1"/>
    </xf>
    <xf borderId="0" fillId="5" fontId="5" numFmtId="164" xfId="0" applyAlignment="1" applyFont="1" applyNumberFormat="1">
      <alignment readingOrder="0"/>
    </xf>
    <xf borderId="0" fillId="5" fontId="5" numFmtId="0" xfId="0" applyAlignment="1" applyFont="1">
      <alignment horizontal="left" readingOrder="0"/>
    </xf>
    <xf borderId="0" fillId="6" fontId="5" numFmtId="0" xfId="0" applyAlignment="1" applyFont="1">
      <alignment readingOrder="0"/>
    </xf>
    <xf borderId="1" fillId="6" fontId="5" numFmtId="0" xfId="0" applyAlignment="1" applyBorder="1" applyFont="1">
      <alignment readingOrder="0" shrinkToFit="0" vertical="center" wrapText="1"/>
    </xf>
    <xf borderId="1" fillId="3" fontId="5" numFmtId="0" xfId="0" applyAlignment="1" applyBorder="1" applyFont="1">
      <alignment horizontal="center" readingOrder="0" shrinkToFit="0" vertical="center" wrapText="1"/>
    </xf>
    <xf borderId="1" fillId="6" fontId="5" numFmtId="0" xfId="0" applyBorder="1" applyFont="1"/>
    <xf borderId="1" fillId="3" fontId="5" numFmtId="0" xfId="0" applyAlignment="1" applyBorder="1" applyFont="1">
      <alignment readingOrder="0" shrinkToFit="0" vertical="center" wrapText="1"/>
    </xf>
    <xf borderId="0" fillId="0" fontId="5" numFmtId="0" xfId="0" applyAlignment="1" applyFont="1">
      <alignment readingOrder="0"/>
    </xf>
    <xf borderId="0" fillId="3" fontId="5" numFmtId="164" xfId="0" applyAlignment="1" applyFont="1" applyNumberFormat="1">
      <alignment readingOrder="0"/>
    </xf>
    <xf borderId="0" fillId="5" fontId="5" numFmtId="168" xfId="0" applyAlignment="1" applyFont="1" applyNumberFormat="1">
      <alignment readingOrder="0"/>
    </xf>
    <xf borderId="0" fillId="5" fontId="5" numFmtId="164" xfId="0" applyAlignment="1" applyFont="1" applyNumberFormat="1">
      <alignment horizontal="center" readingOrder="0" vertical="center"/>
    </xf>
    <xf borderId="1" fillId="3" fontId="5" numFmtId="0" xfId="0" applyAlignment="1" applyBorder="1" applyFont="1">
      <alignment readingOrder="0" shrinkToFit="0" wrapText="1"/>
    </xf>
    <xf borderId="1" fillId="4" fontId="5" numFmtId="0" xfId="0" applyAlignment="1" applyBorder="1" applyFont="1">
      <alignment horizontal="center" readingOrder="0" shrinkToFit="0" wrapText="1"/>
    </xf>
    <xf borderId="0" fillId="9" fontId="5" numFmtId="164" xfId="0" applyAlignment="1" applyFill="1" applyFont="1" applyNumberFormat="1">
      <alignment readingOrder="0"/>
    </xf>
    <xf borderId="0" fillId="4" fontId="5" numFmtId="0" xfId="0" applyAlignment="1" applyFont="1">
      <alignment readingOrder="0"/>
    </xf>
    <xf borderId="1" fillId="6" fontId="5" numFmtId="0" xfId="0" applyAlignment="1" applyBorder="1" applyFont="1">
      <alignment shrinkToFit="0" wrapText="1"/>
    </xf>
    <xf borderId="1" fillId="0" fontId="5" numFmtId="0" xfId="0" applyAlignment="1" applyBorder="1" applyFont="1">
      <alignment readingOrder="0"/>
    </xf>
    <xf borderId="2" fillId="4" fontId="5" numFmtId="0" xfId="0" applyAlignment="1" applyBorder="1" applyFont="1">
      <alignment horizontal="center" readingOrder="0" vertical="center"/>
    </xf>
    <xf borderId="0" fillId="10" fontId="5" numFmtId="0" xfId="0" applyAlignment="1" applyFill="1" applyFont="1">
      <alignment readingOrder="0"/>
    </xf>
    <xf borderId="3" fillId="10" fontId="5" numFmtId="0" xfId="0" applyAlignment="1" applyBorder="1" applyFont="1">
      <alignment readingOrder="0"/>
    </xf>
    <xf borderId="0" fillId="4" fontId="5" numFmtId="0" xfId="0" applyAlignment="1" applyFont="1">
      <alignment horizontal="center" readingOrder="0"/>
    </xf>
    <xf borderId="0" fillId="5" fontId="5" numFmtId="0" xfId="0" applyAlignment="1" applyFont="1">
      <alignment readingOrder="0"/>
    </xf>
    <xf borderId="0" fillId="0" fontId="5" numFmtId="164" xfId="0" applyAlignment="1" applyFont="1" applyNumberFormat="1">
      <alignment readingOrder="0"/>
    </xf>
    <xf borderId="0" fillId="0" fontId="5" numFmtId="0" xfId="0" applyFont="1"/>
    <xf borderId="4" fillId="10" fontId="5" numFmtId="0" xfId="0" applyAlignment="1" applyBorder="1" applyFont="1">
      <alignment horizontal="left" readingOrder="0" shrinkToFit="0" vertical="center" wrapText="1"/>
    </xf>
    <xf borderId="4" fillId="10" fontId="5" numFmtId="0" xfId="0" applyAlignment="1" applyBorder="1" applyFont="1">
      <alignment horizontal="left" readingOrder="0" vertical="center"/>
    </xf>
    <xf borderId="4" fillId="10" fontId="5" numFmtId="0" xfId="0" applyAlignment="1" applyBorder="1" applyFont="1">
      <alignment readingOrder="0"/>
    </xf>
    <xf borderId="4" fillId="0" fontId="5" numFmtId="0" xfId="0" applyAlignment="1" applyBorder="1" applyFont="1">
      <alignment horizontal="left" readingOrder="0" shrinkToFit="0" vertical="center" wrapText="1"/>
    </xf>
    <xf borderId="5" fillId="0" fontId="5" numFmtId="0" xfId="0" applyAlignment="1" applyBorder="1" applyFont="1">
      <alignment horizontal="left" shrinkToFit="0" vertical="center" wrapText="1"/>
    </xf>
    <xf borderId="6" fillId="0" fontId="5" numFmtId="0" xfId="0" applyAlignment="1" applyBorder="1" applyFont="1">
      <alignment horizontal="left" readingOrder="0" shrinkToFit="0" vertical="center" wrapText="1"/>
    </xf>
    <xf borderId="6" fillId="0" fontId="5" numFmtId="0" xfId="0" applyAlignment="1" applyBorder="1" applyFont="1">
      <alignment horizontal="left" readingOrder="0"/>
    </xf>
    <xf borderId="6" fillId="0" fontId="5" numFmtId="166" xfId="0" applyAlignment="1" applyBorder="1" applyFont="1" applyNumberFormat="1">
      <alignment horizontal="left" readingOrder="0" shrinkToFit="0" vertical="center" wrapText="1"/>
    </xf>
    <xf borderId="6" fillId="0" fontId="5" numFmtId="0" xfId="0" applyAlignment="1" applyBorder="1" applyFont="1">
      <alignment horizontal="right" readingOrder="0" shrinkToFit="0" vertical="center" wrapText="1"/>
    </xf>
    <xf borderId="7" fillId="0" fontId="5" numFmtId="0" xfId="0" applyAlignment="1" applyBorder="1" applyFont="1">
      <alignment horizontal="right" readingOrder="0" shrinkToFit="0" vertical="center" wrapText="1"/>
    </xf>
    <xf borderId="4" fillId="0" fontId="5" numFmtId="0" xfId="0" applyAlignment="1" applyBorder="1" applyFont="1">
      <alignment readingOrder="0"/>
    </xf>
    <xf borderId="4" fillId="0" fontId="5" numFmtId="0" xfId="0" applyAlignment="1" applyBorder="1" applyFont="1">
      <alignment horizontal="right" readingOrder="0" shrinkToFit="0" vertical="center" wrapText="1"/>
    </xf>
    <xf borderId="5" fillId="0" fontId="5" numFmtId="0" xfId="0" applyAlignment="1" applyBorder="1" applyFont="1">
      <alignment horizontal="center" readingOrder="0" shrinkToFit="0" vertical="center" wrapText="1"/>
    </xf>
    <xf borderId="6" fillId="5" fontId="5" numFmtId="0" xfId="0" applyAlignment="1" applyBorder="1" applyFont="1">
      <alignment horizontal="center" readingOrder="0" shrinkToFit="0" vertical="center" wrapText="1"/>
    </xf>
    <xf borderId="6" fillId="5" fontId="5" numFmtId="0" xfId="0" applyAlignment="1" applyBorder="1" applyFont="1">
      <alignment horizontal="center" readingOrder="0" vertical="center"/>
    </xf>
    <xf borderId="6" fillId="5" fontId="5" numFmtId="0" xfId="0" applyAlignment="1" applyBorder="1" applyFont="1">
      <alignment horizontal="left" readingOrder="0" vertical="center"/>
    </xf>
    <xf borderId="6" fillId="6" fontId="5" numFmtId="0" xfId="0" applyAlignment="1" applyBorder="1" applyFont="1">
      <alignment horizontal="center" readingOrder="0" shrinkToFit="0" vertical="center" wrapText="1"/>
    </xf>
    <xf borderId="1" fillId="6" fontId="5" numFmtId="166" xfId="0" applyAlignment="1" applyBorder="1" applyFont="1" applyNumberFormat="1">
      <alignment horizontal="center" readingOrder="0" shrinkToFit="0" vertical="center" wrapText="1"/>
    </xf>
    <xf borderId="1" fillId="4" fontId="5" numFmtId="0" xfId="0" applyAlignment="1" applyBorder="1" applyFont="1">
      <alignment horizontal="center" shrinkToFit="0" vertical="center" wrapText="1"/>
    </xf>
    <xf borderId="1" fillId="5" fontId="5" numFmtId="0" xfId="0" applyAlignment="1" applyBorder="1" applyFont="1">
      <alignment horizontal="center" shrinkToFit="0" vertical="center" wrapText="1"/>
    </xf>
    <xf borderId="1" fillId="5" fontId="5" numFmtId="0" xfId="0" applyAlignment="1" applyBorder="1" applyFont="1">
      <alignment horizontal="center" vertical="center"/>
    </xf>
    <xf borderId="1" fillId="5" fontId="5" numFmtId="0" xfId="0" applyAlignment="1" applyBorder="1" applyFont="1">
      <alignment horizontal="left" shrinkToFit="0" vertical="center" wrapText="1"/>
    </xf>
    <xf borderId="1" fillId="6" fontId="5" numFmtId="166" xfId="0" applyAlignment="1" applyBorder="1" applyFont="1" applyNumberFormat="1">
      <alignment horizontal="center" shrinkToFit="0" vertical="center" wrapText="1"/>
    </xf>
    <xf borderId="0" fillId="8" fontId="11" numFmtId="0" xfId="0" applyAlignment="1" applyFont="1">
      <alignment horizontal="center" readingOrder="0" shrinkToFit="0" vertical="top" wrapText="1"/>
    </xf>
    <xf borderId="0" fillId="8" fontId="11" numFmtId="0" xfId="0" applyAlignment="1" applyFont="1">
      <alignment horizontal="left" readingOrder="0" shrinkToFit="0" vertical="top" wrapText="1"/>
    </xf>
    <xf borderId="0" fillId="8" fontId="12" numFmtId="0" xfId="0" applyAlignment="1" applyFont="1">
      <alignment readingOrder="0" shrinkToFit="0" vertical="top" wrapText="1"/>
    </xf>
    <xf borderId="0" fillId="8" fontId="12" numFmtId="169" xfId="0" applyAlignment="1" applyFont="1" applyNumberFormat="1">
      <alignment readingOrder="0" shrinkToFit="0" vertical="top" wrapText="1"/>
    </xf>
    <xf borderId="0" fillId="8" fontId="13" numFmtId="169" xfId="0" applyAlignment="1" applyFont="1" applyNumberFormat="1">
      <alignment readingOrder="0" shrinkToFit="0" wrapText="1"/>
    </xf>
    <xf borderId="0" fillId="8" fontId="13" numFmtId="4" xfId="0" applyAlignment="1" applyFont="1" applyNumberFormat="1">
      <alignment readingOrder="0" shrinkToFit="0" wrapText="1"/>
    </xf>
    <xf borderId="0" fillId="0" fontId="13" numFmtId="0" xfId="0" applyAlignment="1" applyFont="1">
      <alignment readingOrder="0" shrinkToFit="0" wrapText="1"/>
    </xf>
    <xf borderId="0" fillId="11" fontId="13" numFmtId="169" xfId="0" applyAlignment="1" applyFill="1" applyFont="1" applyNumberFormat="1">
      <alignment readingOrder="0" shrinkToFit="0" wrapText="1"/>
    </xf>
    <xf borderId="0" fillId="0" fontId="9" numFmtId="0" xfId="0" applyAlignment="1" applyFont="1">
      <alignment readingOrder="0"/>
    </xf>
    <xf borderId="0" fillId="0" fontId="9" numFmtId="0" xfId="0" applyFont="1"/>
    <xf borderId="0" fillId="8" fontId="14" numFmtId="0" xfId="0" applyAlignment="1" applyFont="1">
      <alignment horizontal="center" readingOrder="0" shrinkToFit="0" wrapText="1"/>
    </xf>
    <xf borderId="0" fillId="8" fontId="14" numFmtId="0" xfId="0" applyAlignment="1" applyFont="1">
      <alignment horizontal="left" readingOrder="0" shrinkToFit="0" wrapText="1"/>
    </xf>
    <xf borderId="0" fillId="8" fontId="15" numFmtId="0" xfId="0" applyAlignment="1" applyFont="1">
      <alignment readingOrder="0" shrinkToFit="0" wrapText="1"/>
    </xf>
    <xf borderId="0" fillId="8" fontId="15" numFmtId="169" xfId="0" applyAlignment="1" applyFont="1" applyNumberFormat="1">
      <alignment readingOrder="0" shrinkToFit="0" wrapText="1"/>
    </xf>
    <xf borderId="0" fillId="8" fontId="16" numFmtId="4" xfId="0" applyAlignment="1" applyFont="1" applyNumberFormat="1">
      <alignment readingOrder="0" shrinkToFit="0" wrapText="1"/>
    </xf>
    <xf borderId="0" fillId="0" fontId="9" numFmtId="0" xfId="0" applyAlignment="1" applyFont="1">
      <alignment readingOrder="0"/>
    </xf>
    <xf borderId="0" fillId="12" fontId="17" numFmtId="0" xfId="0" applyAlignment="1" applyFill="1" applyFont="1">
      <alignment horizontal="center" readingOrder="0" shrinkToFit="0" vertical="center" wrapText="0"/>
    </xf>
    <xf borderId="0" fillId="8" fontId="14" numFmtId="0" xfId="0" applyAlignment="1" applyFont="1">
      <alignment horizontal="center" readingOrder="0" shrinkToFit="0" vertical="center" wrapText="1"/>
    </xf>
    <xf borderId="0" fillId="8" fontId="18" numFmtId="0" xfId="0" applyAlignment="1" applyFont="1">
      <alignment readingOrder="0" shrinkToFit="0" wrapText="1"/>
    </xf>
    <xf borderId="0" fillId="8" fontId="15" numFmtId="0" xfId="0" applyAlignment="1" applyFont="1">
      <alignment horizontal="center" readingOrder="0" shrinkToFit="0" vertical="center" wrapText="1"/>
    </xf>
    <xf borderId="0" fillId="8" fontId="19" numFmtId="4" xfId="0" applyAlignment="1" applyFont="1" applyNumberFormat="1">
      <alignment readingOrder="0" shrinkToFit="0" wrapText="1"/>
    </xf>
    <xf borderId="0" fillId="8" fontId="20" numFmtId="169" xfId="0" applyAlignment="1" applyFont="1" applyNumberFormat="1">
      <alignment readingOrder="0" shrinkToFit="0" wrapText="1"/>
    </xf>
    <xf borderId="0" fillId="8" fontId="20" numFmtId="0" xfId="0" applyAlignment="1" applyFont="1">
      <alignment readingOrder="0" shrinkToFit="0" wrapText="1"/>
    </xf>
    <xf borderId="0" fillId="8" fontId="9" numFmtId="4" xfId="0" applyAlignment="1" applyFont="1" applyNumberFormat="1">
      <alignment readingOrder="0" shrinkToFit="0" wrapText="1"/>
    </xf>
    <xf borderId="0" fillId="8" fontId="21" numFmtId="4" xfId="0" applyAlignment="1" applyFont="1" applyNumberFormat="1">
      <alignment readingOrder="0" shrinkToFit="0" wrapText="1"/>
    </xf>
    <xf borderId="0" fillId="13" fontId="14" numFmtId="166" xfId="0" applyAlignment="1" applyFill="1" applyFont="1" applyNumberFormat="1">
      <alignment horizontal="right" readingOrder="0" vertical="center"/>
    </xf>
    <xf borderId="0" fillId="13" fontId="10" numFmtId="166" xfId="0" applyAlignment="1" applyFont="1" applyNumberFormat="1">
      <alignment horizontal="right" readingOrder="0" vertical="center"/>
    </xf>
    <xf borderId="0" fillId="8" fontId="18" numFmtId="169" xfId="0" applyAlignment="1" applyFont="1" applyNumberFormat="1">
      <alignment readingOrder="0" shrinkToFit="0" wrapText="1"/>
    </xf>
    <xf borderId="0" fillId="3" fontId="9" numFmtId="0" xfId="0" applyAlignment="1" applyFont="1">
      <alignment readingOrder="0"/>
    </xf>
    <xf borderId="0" fillId="0" fontId="15" numFmtId="169" xfId="0" applyAlignment="1" applyFont="1" applyNumberFormat="1">
      <alignment readingOrder="0"/>
    </xf>
    <xf borderId="0" fillId="12" fontId="22" numFmtId="0" xfId="0" applyAlignment="1" applyFont="1">
      <alignment horizontal="center" readingOrder="0" shrinkToFit="0" vertical="center" wrapText="0"/>
    </xf>
    <xf borderId="0" fillId="8" fontId="23" numFmtId="4" xfId="0" applyAlignment="1" applyFont="1" applyNumberFormat="1">
      <alignment readingOrder="0" shrinkToFit="0" wrapText="1"/>
    </xf>
    <xf borderId="0" fillId="0" fontId="14" numFmtId="0" xfId="0" applyAlignment="1" applyFont="1">
      <alignment readingOrder="0"/>
    </xf>
    <xf borderId="0" fillId="8" fontId="15" numFmtId="165" xfId="0" applyAlignment="1" applyFont="1" applyNumberFormat="1">
      <alignment readingOrder="0" shrinkToFit="0" wrapText="1"/>
    </xf>
    <xf borderId="0" fillId="0" fontId="14" numFmtId="0" xfId="0" applyAlignment="1" applyFont="1">
      <alignment horizontal="center" readingOrder="0"/>
    </xf>
    <xf borderId="0" fillId="8" fontId="15" numFmtId="0" xfId="0" applyAlignment="1" applyFont="1">
      <alignment horizontal="center" readingOrder="0" shrinkToFit="0" vertical="center" wrapText="1"/>
    </xf>
    <xf borderId="0" fillId="8" fontId="15" numFmtId="0" xfId="0" applyAlignment="1" applyFont="1">
      <alignment readingOrder="0" shrinkToFit="0" wrapText="1"/>
    </xf>
    <xf borderId="0" fillId="8" fontId="17" numFmtId="0" xfId="0" applyAlignment="1" applyFont="1">
      <alignment horizontal="center" readingOrder="0" shrinkToFit="0" vertical="center" wrapText="1"/>
    </xf>
    <xf borderId="0" fillId="14" fontId="24" numFmtId="0" xfId="0" applyAlignment="1" applyFill="1" applyFont="1">
      <alignment horizontal="left" readingOrder="0" shrinkToFit="0" wrapText="1"/>
    </xf>
    <xf borderId="0" fillId="14" fontId="24" numFmtId="0" xfId="0" applyAlignment="1" applyFont="1">
      <alignment readingOrder="0" shrinkToFit="0" wrapText="1"/>
    </xf>
    <xf borderId="0" fillId="14" fontId="25" numFmtId="0" xfId="0" applyAlignment="1" applyFont="1">
      <alignment readingOrder="0" shrinkToFit="0" wrapText="1"/>
    </xf>
    <xf borderId="0" fillId="14" fontId="26" numFmtId="0" xfId="0" applyAlignment="1" applyFont="1">
      <alignment readingOrder="0" shrinkToFit="0" wrapText="1"/>
    </xf>
    <xf borderId="0" fillId="0" fontId="27" numFmtId="0" xfId="0" applyAlignment="1" applyFont="1">
      <alignment horizontal="left" readingOrder="0"/>
    </xf>
    <xf borderId="0" fillId="0" fontId="27" numFmtId="0" xfId="0" applyAlignment="1" applyFont="1">
      <alignment readingOrder="0"/>
    </xf>
    <xf borderId="0" fillId="0" fontId="5" numFmtId="165" xfId="0" applyAlignment="1" applyFont="1" applyNumberFormat="1">
      <alignment readingOrder="0"/>
    </xf>
    <xf borderId="0" fillId="0" fontId="5" numFmtId="0" xfId="0" applyAlignment="1" applyFont="1">
      <alignment readingOrder="0" shrinkToFit="0" wrapText="1"/>
    </xf>
    <xf borderId="0" fillId="0" fontId="5" numFmtId="170" xfId="0" applyAlignment="1" applyFont="1" applyNumberFormat="1">
      <alignment readingOrder="0"/>
    </xf>
    <xf borderId="0" fillId="0" fontId="5" numFmtId="165" xfId="0" applyFont="1" applyNumberFormat="1"/>
    <xf borderId="0" fillId="10" fontId="5" numFmtId="0" xfId="0" applyAlignment="1" applyFont="1">
      <alignment readingOrder="0" shrinkToFit="0" wrapText="1"/>
    </xf>
    <xf borderId="0" fillId="0" fontId="5" numFmtId="0" xfId="0" applyAlignment="1" applyFont="1">
      <alignment shrinkToFit="0" wrapText="1"/>
    </xf>
    <xf borderId="0" fillId="0" fontId="27" numFmtId="0" xfId="0" applyAlignment="1" applyFont="1">
      <alignment horizontal="left"/>
    </xf>
    <xf borderId="0" fillId="0" fontId="27" numFmtId="0" xfId="0" applyFont="1"/>
    <xf borderId="0" fillId="0" fontId="27" numFmtId="0" xfId="0" applyAlignment="1" applyFont="1">
      <alignment horizontal="left" readingOrder="0" vertical="center"/>
    </xf>
    <xf borderId="0" fillId="0" fontId="0" numFmtId="0" xfId="0" applyAlignment="1" applyFont="1">
      <alignment horizontal="left" readingOrder="0" vertical="center"/>
    </xf>
    <xf borderId="0" fillId="0" fontId="27" numFmtId="166" xfId="0" applyAlignment="1" applyFont="1" applyNumberFormat="1">
      <alignment horizontal="left" readingOrder="0" vertical="center"/>
    </xf>
    <xf borderId="0" fillId="0" fontId="5" numFmtId="171" xfId="0" applyAlignment="1" applyFont="1" applyNumberFormat="1">
      <alignment readingOrder="0"/>
    </xf>
    <xf borderId="0" fillId="0" fontId="5" numFmtId="171" xfId="0" applyFont="1" applyNumberFormat="1"/>
    <xf borderId="0" fillId="3" fontId="5" numFmtId="0" xfId="0" applyAlignment="1" applyFont="1">
      <alignment readingOrder="0" shrinkToFit="0" wrapText="1"/>
    </xf>
    <xf borderId="0" fillId="0" fontId="5" numFmtId="168" xfId="0" applyAlignment="1" applyFont="1" applyNumberFormat="1">
      <alignment readingOrder="0"/>
    </xf>
    <xf borderId="0" fillId="0" fontId="5" numFmtId="168" xfId="0" applyFont="1" applyNumberFormat="1"/>
    <xf borderId="0" fillId="0" fontId="28" numFmtId="0" xfId="0" applyAlignment="1" applyFont="1">
      <alignment horizontal="center" readingOrder="0" shrinkToFit="0" vertical="top" wrapText="0"/>
    </xf>
    <xf borderId="0" fillId="0" fontId="29" numFmtId="0" xfId="0" applyFont="1"/>
    <xf borderId="0" fillId="0" fontId="27" numFmtId="172" xfId="0" applyAlignment="1" applyFont="1" applyNumberFormat="1">
      <alignment readingOrder="0"/>
    </xf>
    <xf borderId="0" fillId="15" fontId="27" numFmtId="0" xfId="0" applyAlignment="1" applyFill="1" applyFont="1">
      <alignment readingOrder="0"/>
    </xf>
    <xf borderId="0" fillId="15" fontId="27" numFmtId="172" xfId="0" applyAlignment="1" applyFont="1" applyNumberFormat="1">
      <alignment readingOrder="0"/>
    </xf>
    <xf borderId="0" fillId="16" fontId="29" numFmtId="0" xfId="0" applyAlignment="1" applyFill="1" applyFont="1">
      <alignment readingOrder="0"/>
    </xf>
    <xf borderId="0" fillId="16" fontId="29" numFmtId="0" xfId="0" applyAlignment="1" applyFont="1">
      <alignment readingOrder="0" vertical="bottom"/>
    </xf>
    <xf borderId="0" fillId="16" fontId="29" numFmtId="0" xfId="0" applyAlignment="1" applyFont="1">
      <alignment readingOrder="0" shrinkToFit="0" wrapText="1"/>
    </xf>
    <xf borderId="3" fillId="16" fontId="29" numFmtId="0" xfId="0" applyAlignment="1" applyBorder="1" applyFont="1">
      <alignment readingOrder="0" shrinkToFit="0" wrapText="1"/>
    </xf>
    <xf borderId="0" fillId="0" fontId="5" numFmtId="172" xfId="0" applyAlignment="1" applyFont="1" applyNumberFormat="1">
      <alignment readingOrder="0"/>
    </xf>
    <xf borderId="0" fillId="0" fontId="5" numFmtId="0" xfId="0" applyAlignment="1" applyFont="1">
      <alignment readingOrder="0" vertical="bottom"/>
    </xf>
    <xf borderId="0" fillId="0" fontId="7" numFmtId="0" xfId="0" applyAlignment="1" applyFont="1">
      <alignment readingOrder="0"/>
    </xf>
    <xf borderId="0" fillId="0" fontId="5" numFmtId="0" xfId="0" applyAlignment="1" applyFont="1">
      <alignment readingOrder="0" shrinkToFit="0" wrapText="1"/>
    </xf>
    <xf borderId="0" fillId="0" fontId="30" numFmtId="0" xfId="0" applyAlignment="1" applyFont="1">
      <alignment vertical="bottom"/>
    </xf>
    <xf borderId="0" fillId="0" fontId="5" numFmtId="0" xfId="0" applyAlignment="1" applyFont="1">
      <alignment vertical="bottom"/>
    </xf>
  </cellXfs>
  <cellStyles count="1">
    <cellStyle xfId="0" name="Normal" builtinId="0"/>
  </cellStyles>
  <dxfs count="10">
    <dxf>
      <font/>
      <fill>
        <patternFill patternType="solid">
          <fgColor rgb="FFE3D7FF"/>
          <bgColor rgb="FFE3D7FF"/>
        </patternFill>
      </fill>
      <border/>
    </dxf>
    <dxf>
      <font/>
      <fill>
        <patternFill patternType="solid">
          <fgColor rgb="FFF8D7DA"/>
          <bgColor rgb="FFF8D7DA"/>
        </patternFill>
      </fill>
      <border/>
    </dxf>
    <dxf>
      <font/>
      <fill>
        <patternFill patternType="solid">
          <fgColor rgb="FFFFF3B0"/>
          <bgColor rgb="FFFFF3B0"/>
        </patternFill>
      </fill>
      <border/>
    </dxf>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7E1CD"/>
          <bgColor rgb="FFB7E1CD"/>
        </patternFill>
      </fill>
      <border/>
    </dxf>
    <dxf>
      <font/>
      <fill>
        <patternFill patternType="solid">
          <fgColor rgb="FF93C47D"/>
          <bgColor rgb="FF93C47D"/>
        </patternFill>
      </fill>
      <border/>
    </dxf>
    <dxf>
      <font/>
      <fill>
        <patternFill patternType="solid">
          <fgColor rgb="FFDD7E6B"/>
          <bgColor rgb="FFDD7E6B"/>
        </patternFill>
      </fill>
      <border/>
    </dxf>
  </dxfs>
  <tableStyles count="1">
    <tableStyle count="3" pivot="0" name="QUEUE-style">
      <tableStyleElement dxfId="4" type="headerRow"/>
      <tableStyleElement dxfId="5" type="firstRowStripe"/>
      <tableStyleElement dxfId="6"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838200</xdr:colOff>
      <xdr:row>4</xdr:row>
      <xdr:rowOff>142875</xdr:rowOff>
    </xdr:from>
    <xdr:ext cx="9696450" cy="80391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L537" displayName="Table_1" name="Table_1" id="1">
  <tableColumns count="12">
    <tableColumn name="Client-ID" id="1"/>
    <tableColumn name="Client Name" id="2"/>
    <tableColumn name="Phone Number" id="3"/>
    <tableColumn name="FFA STATUS" id="4"/>
    <tableColumn name="Most Recent Call Date" id="5"/>
    <tableColumn name="Volunteer (Called By)" id="6"/>
    <tableColumn name="Call Outcome" id="7"/>
    <tableColumn name="Notes" id="8"/>
    <tableColumn name="Scheduled Until" id="9"/>
    <tableColumn name="Consecutive Unreached (Increment +1 for each voicemail / no answer, reset to 0 if Reached.)" id="10"/>
    <tableColumn name="Escalate to Caseworker?" id="11"/>
    <tableColumn name="Next Follow-Up Date" id="12"/>
  </tableColumns>
  <tableStyleInfo name="QUEU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75"/>
  <cols>
    <col customWidth="1" min="1" max="1" width="16.75"/>
    <col customWidth="1" min="2" max="2" width="13.38"/>
    <col customWidth="1" min="3" max="3" width="16.38"/>
    <col customWidth="1" min="4" max="4" width="10.38"/>
    <col customWidth="1" min="5" max="5" width="18.38"/>
    <col customWidth="1" min="6" max="6" width="0.38"/>
    <col customWidth="1" min="7" max="7" width="27.88"/>
    <col customWidth="1" min="8" max="8" width="22.25"/>
    <col customWidth="1" min="9" max="9" width="28.88"/>
    <col customWidth="1" min="10" max="10" width="22.5"/>
    <col customWidth="1" min="11" max="11" width="27.75"/>
    <col customWidth="1" min="12" max="12" width="18.88"/>
    <col customWidth="1" min="13" max="13" width="23.5"/>
    <col customWidth="1" min="14" max="14" width="18.63"/>
    <col customWidth="1" min="15" max="15" width="15.25"/>
    <col customWidth="1" min="16" max="16" width="38.63"/>
    <col customWidth="1" min="17" max="17" width="8.5"/>
    <col customWidth="1" min="18" max="18" width="6.75"/>
    <col customWidth="1" min="19" max="19" width="8.75"/>
    <col customWidth="1" min="20" max="20" width="22.13"/>
    <col customWidth="1" min="21" max="21" width="9.0"/>
    <col customWidth="1" min="22" max="22" width="8.75"/>
    <col customWidth="1" min="23" max="23" width="8.63"/>
    <col customWidth="1" min="24" max="24" width="14.0"/>
    <col customWidth="1" min="25" max="25" width="12.5"/>
    <col customWidth="1" min="26" max="26" width="47.25"/>
    <col customWidth="1" min="27" max="27" width="72.75"/>
    <col customWidth="1" min="28" max="28" width="23.0"/>
    <col customWidth="1" min="29" max="29" width="15.0"/>
    <col customWidth="1" min="30" max="30" width="98.25"/>
    <col customWidth="1" min="31" max="37" width="18.88"/>
  </cols>
  <sheetData>
    <row r="1" ht="72.75" customHeight="1">
      <c r="A1" s="1" t="s">
        <v>0</v>
      </c>
      <c r="B1" s="2" t="s">
        <v>1</v>
      </c>
      <c r="C1" s="2" t="s">
        <v>2</v>
      </c>
      <c r="D1" s="2" t="s">
        <v>3</v>
      </c>
      <c r="E1" s="2" t="s">
        <v>4</v>
      </c>
      <c r="F1" s="2" t="s">
        <v>5</v>
      </c>
      <c r="G1" s="2" t="s">
        <v>6</v>
      </c>
      <c r="H1" s="2" t="s">
        <v>7</v>
      </c>
      <c r="I1" s="2" t="s">
        <v>8</v>
      </c>
      <c r="J1" s="3" t="s">
        <v>9</v>
      </c>
      <c r="K1" s="3" t="s">
        <v>10</v>
      </c>
      <c r="L1" s="4" t="s">
        <v>11</v>
      </c>
      <c r="M1" s="5" t="s">
        <v>12</v>
      </c>
      <c r="N1" s="3" t="s">
        <v>13</v>
      </c>
      <c r="O1" s="6" t="s">
        <v>14</v>
      </c>
      <c r="P1" s="3" t="s">
        <v>15</v>
      </c>
      <c r="Q1" s="7" t="s">
        <v>16</v>
      </c>
      <c r="R1" s="8" t="s">
        <v>17</v>
      </c>
      <c r="S1" s="8" t="s">
        <v>18</v>
      </c>
      <c r="T1" s="4" t="s">
        <v>19</v>
      </c>
      <c r="U1" s="7" t="s">
        <v>20</v>
      </c>
      <c r="V1" s="7" t="s">
        <v>21</v>
      </c>
      <c r="W1" s="9" t="s">
        <v>22</v>
      </c>
      <c r="X1" s="4" t="s">
        <v>23</v>
      </c>
      <c r="Y1" s="4" t="s">
        <v>24</v>
      </c>
      <c r="Z1" s="4" t="s">
        <v>25</v>
      </c>
      <c r="AA1" s="4" t="s">
        <v>26</v>
      </c>
      <c r="AB1" s="4" t="s">
        <v>27</v>
      </c>
      <c r="AC1" s="4" t="s">
        <v>28</v>
      </c>
      <c r="AD1" s="10" t="s">
        <v>29</v>
      </c>
      <c r="AE1" s="11" t="s">
        <v>30</v>
      </c>
      <c r="AF1" s="12"/>
      <c r="AG1" s="12"/>
      <c r="AH1" s="12"/>
      <c r="AI1" s="12"/>
      <c r="AJ1" s="12"/>
      <c r="AK1" s="12"/>
    </row>
    <row r="2">
      <c r="A2" s="13">
        <v>45372.85872633102</v>
      </c>
      <c r="B2" s="14">
        <f t="shared" ref="B2:B460" si="1">INT(A2)</f>
        <v>45372</v>
      </c>
      <c r="C2" s="15" t="s">
        <v>31</v>
      </c>
      <c r="D2" s="15" t="s">
        <v>32</v>
      </c>
      <c r="E2" s="15" t="str">
        <f t="shared" ref="E2:E126" si="2">N2&amp;" "&amp;O2</f>
        <v>Tracy Ford</v>
      </c>
      <c r="F2" s="16" t="str">
        <f t="shared" ref="F2:F19" si="3">T2</f>
        <v>(202) 210-4368</v>
      </c>
      <c r="G2" s="15" t="s">
        <v>33</v>
      </c>
      <c r="H2" s="15" t="s">
        <v>34</v>
      </c>
      <c r="I2" s="17" t="s">
        <v>35</v>
      </c>
      <c r="J2" s="18" t="s">
        <v>36</v>
      </c>
      <c r="K2" s="18" t="s">
        <v>37</v>
      </c>
      <c r="L2" s="19" t="s">
        <v>38</v>
      </c>
      <c r="M2" s="20" t="s">
        <v>39</v>
      </c>
      <c r="N2" s="21" t="s">
        <v>40</v>
      </c>
      <c r="O2" s="21" t="s">
        <v>41</v>
      </c>
      <c r="P2" s="21" t="s">
        <v>42</v>
      </c>
      <c r="Q2" s="22" t="s">
        <v>43</v>
      </c>
      <c r="R2" s="21">
        <v>20032.0</v>
      </c>
      <c r="S2" s="21" t="s">
        <v>44</v>
      </c>
      <c r="T2" s="22" t="s">
        <v>45</v>
      </c>
      <c r="U2" s="21">
        <v>1.0</v>
      </c>
      <c r="V2" s="21">
        <v>0.0</v>
      </c>
      <c r="W2" s="21">
        <f t="shared" ref="W2:W274" si="4">U2+V2</f>
        <v>1</v>
      </c>
      <c r="X2" s="22" t="s">
        <v>46</v>
      </c>
      <c r="Y2" s="22" t="s">
        <v>47</v>
      </c>
      <c r="Z2" s="22" t="s">
        <v>48</v>
      </c>
      <c r="AA2" s="23"/>
      <c r="AB2" s="22" t="s">
        <v>49</v>
      </c>
      <c r="AC2" s="22">
        <v>24.0</v>
      </c>
      <c r="AD2" s="24"/>
      <c r="AE2" s="25"/>
      <c r="AF2" s="12"/>
      <c r="AG2" s="12"/>
      <c r="AH2" s="12"/>
      <c r="AI2" s="12"/>
      <c r="AJ2" s="12"/>
      <c r="AK2" s="12"/>
    </row>
    <row r="3">
      <c r="A3" s="13">
        <v>45373.5308728588</v>
      </c>
      <c r="B3" s="14">
        <f t="shared" si="1"/>
        <v>45373</v>
      </c>
      <c r="C3" s="15" t="s">
        <v>31</v>
      </c>
      <c r="D3" s="15" t="s">
        <v>50</v>
      </c>
      <c r="E3" s="15" t="str">
        <f t="shared" si="2"/>
        <v>Lily Foglio</v>
      </c>
      <c r="F3" s="16" t="str">
        <f t="shared" si="3"/>
        <v>(202) 500-8805</v>
      </c>
      <c r="G3" s="15" t="s">
        <v>51</v>
      </c>
      <c r="H3" s="15" t="s">
        <v>34</v>
      </c>
      <c r="I3" s="17" t="s">
        <v>52</v>
      </c>
      <c r="J3" s="18" t="s">
        <v>53</v>
      </c>
      <c r="K3" s="18" t="s">
        <v>54</v>
      </c>
      <c r="L3" s="19" t="s">
        <v>55</v>
      </c>
      <c r="M3" s="20" t="s">
        <v>39</v>
      </c>
      <c r="N3" s="21" t="s">
        <v>56</v>
      </c>
      <c r="O3" s="21" t="s">
        <v>57</v>
      </c>
      <c r="P3" s="21" t="s">
        <v>58</v>
      </c>
      <c r="Q3" s="22">
        <v>305.0</v>
      </c>
      <c r="R3" s="21">
        <v>20011.0</v>
      </c>
      <c r="S3" s="21" t="s">
        <v>59</v>
      </c>
      <c r="T3" s="22" t="s">
        <v>60</v>
      </c>
      <c r="U3" s="21">
        <v>1.0</v>
      </c>
      <c r="V3" s="21">
        <v>0.0</v>
      </c>
      <c r="W3" s="21">
        <f t="shared" si="4"/>
        <v>1</v>
      </c>
      <c r="X3" s="22" t="s">
        <v>46</v>
      </c>
      <c r="Y3" s="22" t="s">
        <v>47</v>
      </c>
      <c r="Z3" s="22" t="s">
        <v>61</v>
      </c>
      <c r="AA3" s="22" t="s">
        <v>62</v>
      </c>
      <c r="AB3" s="22" t="s">
        <v>63</v>
      </c>
      <c r="AC3" s="22">
        <v>36.0</v>
      </c>
      <c r="AD3" s="24"/>
      <c r="AE3" s="25"/>
      <c r="AF3" s="12"/>
      <c r="AG3" s="12"/>
      <c r="AH3" s="12"/>
      <c r="AI3" s="12"/>
      <c r="AJ3" s="12"/>
      <c r="AK3" s="12"/>
    </row>
    <row r="4">
      <c r="A4" s="13">
        <v>45376.38195186343</v>
      </c>
      <c r="B4" s="14">
        <f t="shared" si="1"/>
        <v>45376</v>
      </c>
      <c r="C4" s="15" t="s">
        <v>31</v>
      </c>
      <c r="D4" s="15" t="s">
        <v>64</v>
      </c>
      <c r="E4" s="15" t="str">
        <f t="shared" si="2"/>
        <v>Lisa Reaves</v>
      </c>
      <c r="F4" s="16" t="str">
        <f t="shared" si="3"/>
        <v>(202) 718-6187</v>
      </c>
      <c r="G4" s="15" t="s">
        <v>65</v>
      </c>
      <c r="H4" s="15" t="s">
        <v>66</v>
      </c>
      <c r="I4" s="17" t="s">
        <v>67</v>
      </c>
      <c r="J4" s="18" t="s">
        <v>68</v>
      </c>
      <c r="K4" s="18" t="s">
        <v>69</v>
      </c>
      <c r="L4" s="26" t="s">
        <v>70</v>
      </c>
      <c r="M4" s="27" t="s">
        <v>39</v>
      </c>
      <c r="N4" s="21" t="s">
        <v>71</v>
      </c>
      <c r="O4" s="21" t="s">
        <v>72</v>
      </c>
      <c r="P4" s="21" t="s">
        <v>73</v>
      </c>
      <c r="Q4" s="21">
        <v>1020.0</v>
      </c>
      <c r="R4" s="21">
        <v>20002.0</v>
      </c>
      <c r="S4" s="21" t="s">
        <v>74</v>
      </c>
      <c r="T4" s="21" t="s">
        <v>75</v>
      </c>
      <c r="U4" s="21">
        <v>1.0</v>
      </c>
      <c r="V4" s="21">
        <v>0.0</v>
      </c>
      <c r="W4" s="21">
        <f t="shared" si="4"/>
        <v>1</v>
      </c>
      <c r="X4" s="21" t="s">
        <v>46</v>
      </c>
      <c r="Y4" s="21" t="s">
        <v>47</v>
      </c>
      <c r="Z4" s="22" t="s">
        <v>76</v>
      </c>
      <c r="AA4" s="22" t="s">
        <v>77</v>
      </c>
      <c r="AB4" s="21" t="s">
        <v>49</v>
      </c>
      <c r="AC4" s="21">
        <v>12.0</v>
      </c>
      <c r="AD4" s="24"/>
      <c r="AE4" s="25"/>
      <c r="AF4" s="12"/>
      <c r="AG4" s="12"/>
      <c r="AH4" s="12"/>
      <c r="AI4" s="12"/>
      <c r="AJ4" s="12"/>
      <c r="AK4" s="12"/>
    </row>
    <row r="5">
      <c r="A5" s="13">
        <v>45376.518052858795</v>
      </c>
      <c r="B5" s="14">
        <f t="shared" si="1"/>
        <v>45376</v>
      </c>
      <c r="C5" s="15" t="s">
        <v>31</v>
      </c>
      <c r="D5" s="15" t="s">
        <v>78</v>
      </c>
      <c r="E5" s="15" t="str">
        <f t="shared" si="2"/>
        <v>Deloris McNair</v>
      </c>
      <c r="F5" s="16" t="str">
        <f t="shared" si="3"/>
        <v>(202) 760-8099</v>
      </c>
      <c r="G5" s="15" t="s">
        <v>79</v>
      </c>
      <c r="H5" s="15" t="s">
        <v>66</v>
      </c>
      <c r="I5" s="17" t="s">
        <v>67</v>
      </c>
      <c r="J5" s="18" t="s">
        <v>68</v>
      </c>
      <c r="K5" s="17" t="s">
        <v>69</v>
      </c>
      <c r="L5" s="19" t="s">
        <v>70</v>
      </c>
      <c r="M5" s="20" t="s">
        <v>39</v>
      </c>
      <c r="N5" s="21" t="s">
        <v>80</v>
      </c>
      <c r="O5" s="21" t="s">
        <v>81</v>
      </c>
      <c r="P5" s="21" t="s">
        <v>82</v>
      </c>
      <c r="Q5" s="28"/>
      <c r="R5" s="21">
        <v>20032.0</v>
      </c>
      <c r="S5" s="21" t="s">
        <v>44</v>
      </c>
      <c r="T5" s="29" t="s">
        <v>83</v>
      </c>
      <c r="U5" s="21">
        <v>2.0</v>
      </c>
      <c r="V5" s="21">
        <v>1.0</v>
      </c>
      <c r="W5" s="21">
        <f t="shared" si="4"/>
        <v>3</v>
      </c>
      <c r="X5" s="21" t="s">
        <v>84</v>
      </c>
      <c r="Y5" s="21" t="s">
        <v>85</v>
      </c>
      <c r="Z5" s="22" t="s">
        <v>86</v>
      </c>
      <c r="AA5" s="22" t="s">
        <v>87</v>
      </c>
      <c r="AB5" s="21" t="s">
        <v>63</v>
      </c>
      <c r="AC5" s="21">
        <v>12.0</v>
      </c>
      <c r="AD5" s="24"/>
      <c r="AE5" s="25"/>
      <c r="AF5" s="12"/>
      <c r="AG5" s="12"/>
      <c r="AH5" s="12"/>
      <c r="AI5" s="12"/>
      <c r="AJ5" s="12"/>
      <c r="AK5" s="12"/>
    </row>
    <row r="6">
      <c r="A6" s="13">
        <v>45378.47394993056</v>
      </c>
      <c r="B6" s="14">
        <f t="shared" si="1"/>
        <v>45378</v>
      </c>
      <c r="C6" s="15" t="s">
        <v>31</v>
      </c>
      <c r="D6" s="15" t="s">
        <v>88</v>
      </c>
      <c r="E6" s="15" t="str">
        <f t="shared" si="2"/>
        <v>Lorena Portillo</v>
      </c>
      <c r="F6" s="16" t="str">
        <f t="shared" si="3"/>
        <v>(202) 840-0323</v>
      </c>
      <c r="G6" s="15" t="s">
        <v>89</v>
      </c>
      <c r="H6" s="15" t="s">
        <v>66</v>
      </c>
      <c r="I6" s="17" t="s">
        <v>90</v>
      </c>
      <c r="J6" s="18" t="s">
        <v>91</v>
      </c>
      <c r="K6" s="17" t="s">
        <v>92</v>
      </c>
      <c r="L6" s="19" t="s">
        <v>93</v>
      </c>
      <c r="M6" s="20" t="s">
        <v>39</v>
      </c>
      <c r="N6" s="21" t="s">
        <v>94</v>
      </c>
      <c r="O6" s="21" t="s">
        <v>95</v>
      </c>
      <c r="P6" s="21" t="s">
        <v>96</v>
      </c>
      <c r="Q6" s="21" t="s">
        <v>97</v>
      </c>
      <c r="R6" s="21">
        <v>20011.0</v>
      </c>
      <c r="S6" s="21" t="s">
        <v>59</v>
      </c>
      <c r="T6" s="29" t="s">
        <v>98</v>
      </c>
      <c r="U6" s="21">
        <v>1.0</v>
      </c>
      <c r="V6" s="21">
        <v>2.0</v>
      </c>
      <c r="W6" s="21">
        <f t="shared" si="4"/>
        <v>3</v>
      </c>
      <c r="X6" s="21" t="s">
        <v>46</v>
      </c>
      <c r="Y6" s="21" t="s">
        <v>85</v>
      </c>
      <c r="Z6" s="22" t="s">
        <v>99</v>
      </c>
      <c r="AA6" s="22" t="s">
        <v>100</v>
      </c>
      <c r="AB6" s="21" t="s">
        <v>63</v>
      </c>
      <c r="AC6" s="21">
        <v>2.0</v>
      </c>
      <c r="AD6" s="24"/>
      <c r="AE6" s="25"/>
      <c r="AF6" s="12"/>
      <c r="AG6" s="12"/>
      <c r="AH6" s="12"/>
      <c r="AI6" s="12"/>
      <c r="AJ6" s="12"/>
      <c r="AK6" s="12"/>
    </row>
    <row r="7">
      <c r="A7" s="13">
        <v>45378.53009868055</v>
      </c>
      <c r="B7" s="14">
        <f t="shared" si="1"/>
        <v>45378</v>
      </c>
      <c r="C7" s="15" t="s">
        <v>31</v>
      </c>
      <c r="D7" s="15" t="s">
        <v>101</v>
      </c>
      <c r="E7" s="15" t="str">
        <f t="shared" si="2"/>
        <v>Chantel Upsher-Morgan</v>
      </c>
      <c r="F7" s="16">
        <f t="shared" si="3"/>
        <v>3012565070</v>
      </c>
      <c r="G7" s="15" t="s">
        <v>102</v>
      </c>
      <c r="H7" s="15" t="s">
        <v>103</v>
      </c>
      <c r="I7" s="17" t="s">
        <v>104</v>
      </c>
      <c r="J7" s="18" t="s">
        <v>105</v>
      </c>
      <c r="K7" s="17" t="s">
        <v>106</v>
      </c>
      <c r="L7" s="19">
        <v>2.028420001E9</v>
      </c>
      <c r="M7" s="20" t="s">
        <v>39</v>
      </c>
      <c r="N7" s="21" t="s">
        <v>107</v>
      </c>
      <c r="O7" s="21" t="s">
        <v>108</v>
      </c>
      <c r="P7" s="21" t="s">
        <v>109</v>
      </c>
      <c r="Q7" s="28"/>
      <c r="R7" s="21">
        <v>20005.0</v>
      </c>
      <c r="S7" s="21" t="s">
        <v>59</v>
      </c>
      <c r="T7" s="29">
        <v>3.01256507E9</v>
      </c>
      <c r="U7" s="21">
        <v>1.0</v>
      </c>
      <c r="V7" s="21">
        <v>0.0</v>
      </c>
      <c r="W7" s="21">
        <f t="shared" si="4"/>
        <v>1</v>
      </c>
      <c r="X7" s="21" t="s">
        <v>46</v>
      </c>
      <c r="Y7" s="21" t="s">
        <v>47</v>
      </c>
      <c r="Z7" s="22" t="s">
        <v>110</v>
      </c>
      <c r="AA7" s="22" t="s">
        <v>111</v>
      </c>
      <c r="AB7" s="21" t="s">
        <v>49</v>
      </c>
      <c r="AC7" s="21">
        <v>6.0</v>
      </c>
      <c r="AD7" s="24"/>
      <c r="AE7" s="25"/>
      <c r="AF7" s="12"/>
      <c r="AG7" s="12"/>
      <c r="AH7" s="12"/>
      <c r="AI7" s="12"/>
      <c r="AJ7" s="12"/>
      <c r="AK7" s="12"/>
    </row>
    <row r="8">
      <c r="A8" s="13">
        <v>45384.41731614583</v>
      </c>
      <c r="B8" s="14">
        <f t="shared" si="1"/>
        <v>45384</v>
      </c>
      <c r="C8" s="15" t="s">
        <v>31</v>
      </c>
      <c r="D8" s="15" t="s">
        <v>112</v>
      </c>
      <c r="E8" s="15" t="str">
        <f t="shared" si="2"/>
        <v>Alice Adams</v>
      </c>
      <c r="F8" s="16" t="str">
        <f t="shared" si="3"/>
        <v>(202) 754-3325</v>
      </c>
      <c r="G8" s="15" t="s">
        <v>113</v>
      </c>
      <c r="H8" s="15" t="s">
        <v>103</v>
      </c>
      <c r="I8" s="17" t="s">
        <v>114</v>
      </c>
      <c r="J8" s="18" t="s">
        <v>115</v>
      </c>
      <c r="K8" s="17" t="s">
        <v>116</v>
      </c>
      <c r="L8" s="19">
        <v>2.028550295E9</v>
      </c>
      <c r="M8" s="20" t="s">
        <v>39</v>
      </c>
      <c r="N8" s="21" t="s">
        <v>117</v>
      </c>
      <c r="O8" s="21" t="s">
        <v>118</v>
      </c>
      <c r="P8" s="21" t="s">
        <v>119</v>
      </c>
      <c r="Q8" s="21" t="s">
        <v>120</v>
      </c>
      <c r="R8" s="21">
        <v>20001.0</v>
      </c>
      <c r="S8" s="21" t="s">
        <v>59</v>
      </c>
      <c r="T8" s="29" t="s">
        <v>121</v>
      </c>
      <c r="U8" s="21">
        <v>2.0</v>
      </c>
      <c r="V8" s="21">
        <v>0.0</v>
      </c>
      <c r="W8" s="21">
        <f t="shared" si="4"/>
        <v>2</v>
      </c>
      <c r="X8" s="21" t="s">
        <v>46</v>
      </c>
      <c r="Y8" s="21" t="s">
        <v>85</v>
      </c>
      <c r="Z8" s="22" t="s">
        <v>122</v>
      </c>
      <c r="AA8" s="22" t="s">
        <v>123</v>
      </c>
      <c r="AB8" s="21" t="s">
        <v>49</v>
      </c>
      <c r="AC8" s="21">
        <v>12.0</v>
      </c>
      <c r="AD8" s="24"/>
      <c r="AE8" s="25"/>
      <c r="AF8" s="12"/>
      <c r="AG8" s="12"/>
      <c r="AH8" s="12"/>
      <c r="AI8" s="12"/>
      <c r="AJ8" s="12"/>
      <c r="AK8" s="12"/>
    </row>
    <row r="9">
      <c r="A9" s="13">
        <v>45390.63145060185</v>
      </c>
      <c r="B9" s="14">
        <f t="shared" si="1"/>
        <v>45390</v>
      </c>
      <c r="C9" s="15" t="s">
        <v>31</v>
      </c>
      <c r="D9" s="15" t="s">
        <v>124</v>
      </c>
      <c r="E9" s="15" t="str">
        <f t="shared" si="2"/>
        <v>Allen Harrison</v>
      </c>
      <c r="F9" s="16" t="str">
        <f t="shared" si="3"/>
        <v>(202) 961-8193</v>
      </c>
      <c r="G9" s="15" t="s">
        <v>125</v>
      </c>
      <c r="H9" s="30" t="s">
        <v>66</v>
      </c>
      <c r="I9" s="17" t="s">
        <v>67</v>
      </c>
      <c r="J9" s="18" t="s">
        <v>126</v>
      </c>
      <c r="K9" s="17" t="s">
        <v>69</v>
      </c>
      <c r="L9" s="19">
        <v>5.714644372E9</v>
      </c>
      <c r="M9" s="20" t="s">
        <v>39</v>
      </c>
      <c r="N9" s="21" t="s">
        <v>127</v>
      </c>
      <c r="O9" s="21" t="s">
        <v>128</v>
      </c>
      <c r="P9" s="21" t="s">
        <v>129</v>
      </c>
      <c r="Q9" s="21" t="s">
        <v>130</v>
      </c>
      <c r="R9" s="21">
        <v>20002.0</v>
      </c>
      <c r="S9" s="21" t="s">
        <v>74</v>
      </c>
      <c r="T9" s="29" t="s">
        <v>131</v>
      </c>
      <c r="U9" s="21">
        <v>1.0</v>
      </c>
      <c r="V9" s="21">
        <v>0.0</v>
      </c>
      <c r="W9" s="21">
        <f t="shared" si="4"/>
        <v>1</v>
      </c>
      <c r="X9" s="21" t="s">
        <v>46</v>
      </c>
      <c r="Y9" s="21" t="s">
        <v>85</v>
      </c>
      <c r="Z9" s="22" t="s">
        <v>132</v>
      </c>
      <c r="AA9" s="22" t="s">
        <v>133</v>
      </c>
      <c r="AB9" s="21" t="s">
        <v>49</v>
      </c>
      <c r="AC9" s="21">
        <v>12.0</v>
      </c>
      <c r="AD9" s="24"/>
      <c r="AE9" s="25"/>
      <c r="AF9" s="12"/>
      <c r="AG9" s="12"/>
      <c r="AH9" s="12"/>
      <c r="AI9" s="12"/>
      <c r="AJ9" s="12"/>
      <c r="AK9" s="12"/>
    </row>
    <row r="10">
      <c r="A10" s="13">
        <v>45391.650361747685</v>
      </c>
      <c r="B10" s="14">
        <f t="shared" si="1"/>
        <v>45391</v>
      </c>
      <c r="C10" s="15" t="s">
        <v>31</v>
      </c>
      <c r="D10" s="15" t="s">
        <v>134</v>
      </c>
      <c r="E10" s="15" t="str">
        <f t="shared" si="2"/>
        <v>Donna Gardner</v>
      </c>
      <c r="F10" s="16" t="str">
        <f t="shared" si="3"/>
        <v>(202) 468-9754</v>
      </c>
      <c r="G10" s="15" t="s">
        <v>135</v>
      </c>
      <c r="H10" s="30" t="s">
        <v>103</v>
      </c>
      <c r="I10" s="17" t="s">
        <v>136</v>
      </c>
      <c r="J10" s="18" t="s">
        <v>137</v>
      </c>
      <c r="K10" s="17" t="s">
        <v>138</v>
      </c>
      <c r="L10" s="19">
        <v>7.028814251E9</v>
      </c>
      <c r="M10" s="20" t="s">
        <v>39</v>
      </c>
      <c r="N10" s="21" t="s">
        <v>139</v>
      </c>
      <c r="O10" s="21" t="s">
        <v>140</v>
      </c>
      <c r="P10" s="21" t="s">
        <v>141</v>
      </c>
      <c r="Q10" s="21" t="s">
        <v>142</v>
      </c>
      <c r="R10" s="21">
        <v>20002.0</v>
      </c>
      <c r="S10" s="21" t="s">
        <v>74</v>
      </c>
      <c r="T10" s="29" t="s">
        <v>143</v>
      </c>
      <c r="U10" s="21">
        <v>2.0</v>
      </c>
      <c r="V10" s="21">
        <v>0.0</v>
      </c>
      <c r="W10" s="21">
        <f t="shared" si="4"/>
        <v>2</v>
      </c>
      <c r="X10" s="21" t="s">
        <v>46</v>
      </c>
      <c r="Y10" s="21" t="s">
        <v>85</v>
      </c>
      <c r="Z10" s="22" t="s">
        <v>144</v>
      </c>
      <c r="AA10" s="23"/>
      <c r="AB10" s="21" t="s">
        <v>145</v>
      </c>
      <c r="AC10" s="21">
        <v>12.0</v>
      </c>
      <c r="AD10" s="24"/>
      <c r="AE10" s="25"/>
      <c r="AF10" s="12"/>
      <c r="AG10" s="12"/>
      <c r="AH10" s="12"/>
      <c r="AI10" s="12"/>
      <c r="AJ10" s="12"/>
      <c r="AK10" s="12"/>
    </row>
    <row r="11">
      <c r="A11" s="13">
        <v>45392.45403594908</v>
      </c>
      <c r="B11" s="14">
        <f t="shared" si="1"/>
        <v>45392</v>
      </c>
      <c r="C11" s="15" t="s">
        <v>31</v>
      </c>
      <c r="D11" s="15" t="s">
        <v>146</v>
      </c>
      <c r="E11" s="15" t="str">
        <f t="shared" si="2"/>
        <v>Terre Matthews</v>
      </c>
      <c r="F11" s="16" t="str">
        <f t="shared" si="3"/>
        <v>(202) 808-6774</v>
      </c>
      <c r="G11" s="15" t="s">
        <v>147</v>
      </c>
      <c r="H11" s="30" t="s">
        <v>103</v>
      </c>
      <c r="I11" s="17" t="s">
        <v>148</v>
      </c>
      <c r="J11" s="18" t="s">
        <v>149</v>
      </c>
      <c r="K11" s="31" t="s">
        <v>150</v>
      </c>
      <c r="L11" s="26">
        <v>2.028513123E9</v>
      </c>
      <c r="M11" s="27" t="s">
        <v>39</v>
      </c>
      <c r="N11" s="21" t="s">
        <v>151</v>
      </c>
      <c r="O11" s="21" t="s">
        <v>152</v>
      </c>
      <c r="P11" s="21" t="s">
        <v>153</v>
      </c>
      <c r="Q11" s="28"/>
      <c r="R11" s="21">
        <v>20019.0</v>
      </c>
      <c r="S11" s="21" t="s">
        <v>44</v>
      </c>
      <c r="T11" s="21" t="s">
        <v>154</v>
      </c>
      <c r="U11" s="21">
        <v>2.0</v>
      </c>
      <c r="V11" s="21">
        <v>1.0</v>
      </c>
      <c r="W11" s="21">
        <f t="shared" si="4"/>
        <v>3</v>
      </c>
      <c r="X11" s="21" t="s">
        <v>46</v>
      </c>
      <c r="Y11" s="21" t="s">
        <v>85</v>
      </c>
      <c r="Z11" s="22" t="s">
        <v>61</v>
      </c>
      <c r="AA11" s="22" t="s">
        <v>155</v>
      </c>
      <c r="AB11" s="21" t="s">
        <v>145</v>
      </c>
      <c r="AC11" s="21">
        <v>6.0</v>
      </c>
      <c r="AD11" s="24"/>
      <c r="AE11" s="25"/>
    </row>
    <row r="12">
      <c r="A12" s="13">
        <v>45398.92399256944</v>
      </c>
      <c r="B12" s="14">
        <f t="shared" si="1"/>
        <v>45398</v>
      </c>
      <c r="C12" s="15" t="s">
        <v>31</v>
      </c>
      <c r="D12" s="15" t="s">
        <v>156</v>
      </c>
      <c r="E12" s="15" t="str">
        <f t="shared" si="2"/>
        <v>STEVEN TERRY</v>
      </c>
      <c r="F12" s="16" t="str">
        <f t="shared" si="3"/>
        <v>(202) 983-2852</v>
      </c>
      <c r="G12" s="15" t="s">
        <v>157</v>
      </c>
      <c r="H12" s="30" t="s">
        <v>103</v>
      </c>
      <c r="I12" s="17" t="s">
        <v>158</v>
      </c>
      <c r="J12" s="18" t="s">
        <v>159</v>
      </c>
      <c r="K12" s="17" t="s">
        <v>160</v>
      </c>
      <c r="L12" s="19">
        <v>2.407582278E9</v>
      </c>
      <c r="M12" s="20" t="s">
        <v>39</v>
      </c>
      <c r="N12" s="21" t="s">
        <v>161</v>
      </c>
      <c r="O12" s="21" t="s">
        <v>162</v>
      </c>
      <c r="P12" s="21" t="s">
        <v>163</v>
      </c>
      <c r="Q12" s="21">
        <v>302.0</v>
      </c>
      <c r="R12" s="21">
        <v>20011.0</v>
      </c>
      <c r="S12" s="21" t="s">
        <v>59</v>
      </c>
      <c r="T12" s="21" t="s">
        <v>164</v>
      </c>
      <c r="U12" s="32" t="s">
        <v>165</v>
      </c>
      <c r="V12" s="21">
        <v>0.0</v>
      </c>
      <c r="W12" s="21">
        <f t="shared" si="4"/>
        <v>1</v>
      </c>
      <c r="X12" s="21" t="s">
        <v>46</v>
      </c>
      <c r="Y12" s="21" t="s">
        <v>47</v>
      </c>
      <c r="Z12" s="22" t="s">
        <v>166</v>
      </c>
      <c r="AA12" s="22" t="s">
        <v>167</v>
      </c>
      <c r="AB12" s="21" t="s">
        <v>63</v>
      </c>
      <c r="AC12" s="21">
        <v>6.0</v>
      </c>
      <c r="AD12" s="24"/>
      <c r="AE12" s="25"/>
      <c r="AF12" s="12"/>
      <c r="AG12" s="12"/>
      <c r="AH12" s="12"/>
      <c r="AI12" s="12"/>
      <c r="AJ12" s="12"/>
      <c r="AK12" s="12"/>
    </row>
    <row r="13">
      <c r="A13" s="13">
        <v>45399.38766689815</v>
      </c>
      <c r="B13" s="14">
        <f t="shared" si="1"/>
        <v>45399</v>
      </c>
      <c r="C13" s="15" t="s">
        <v>31</v>
      </c>
      <c r="D13" s="15" t="s">
        <v>168</v>
      </c>
      <c r="E13" s="15" t="str">
        <f t="shared" si="2"/>
        <v>Michelle Alexander</v>
      </c>
      <c r="F13" s="16" t="str">
        <f t="shared" si="3"/>
        <v>(202) 726-7517</v>
      </c>
      <c r="G13" s="15" t="s">
        <v>169</v>
      </c>
      <c r="H13" s="30" t="s">
        <v>103</v>
      </c>
      <c r="I13" s="17" t="s">
        <v>170</v>
      </c>
      <c r="J13" s="18" t="s">
        <v>171</v>
      </c>
      <c r="K13" s="17" t="s">
        <v>172</v>
      </c>
      <c r="L13" s="19">
        <v>2.02545464E9</v>
      </c>
      <c r="M13" s="20" t="s">
        <v>39</v>
      </c>
      <c r="N13" s="21" t="s">
        <v>173</v>
      </c>
      <c r="O13" s="21" t="s">
        <v>174</v>
      </c>
      <c r="P13" s="21" t="s">
        <v>175</v>
      </c>
      <c r="Q13" s="21" t="s">
        <v>176</v>
      </c>
      <c r="R13" s="21">
        <v>20011.0</v>
      </c>
      <c r="S13" s="21" t="s">
        <v>59</v>
      </c>
      <c r="T13" s="29" t="s">
        <v>177</v>
      </c>
      <c r="U13" s="21">
        <v>1.0</v>
      </c>
      <c r="V13" s="21">
        <v>0.0</v>
      </c>
      <c r="W13" s="21">
        <f t="shared" si="4"/>
        <v>1</v>
      </c>
      <c r="X13" s="21" t="s">
        <v>46</v>
      </c>
      <c r="Y13" s="21" t="s">
        <v>47</v>
      </c>
      <c r="Z13" s="22" t="s">
        <v>48</v>
      </c>
      <c r="AA13" s="22" t="s">
        <v>178</v>
      </c>
      <c r="AB13" s="21" t="s">
        <v>49</v>
      </c>
      <c r="AC13" s="21">
        <v>4.0</v>
      </c>
      <c r="AD13" s="24"/>
      <c r="AE13" s="25"/>
      <c r="AF13" s="12"/>
      <c r="AG13" s="12"/>
      <c r="AH13" s="12"/>
      <c r="AI13" s="12"/>
      <c r="AJ13" s="12"/>
      <c r="AK13" s="12"/>
    </row>
    <row r="14">
      <c r="A14" s="13">
        <v>45399.47492471065</v>
      </c>
      <c r="B14" s="14">
        <f t="shared" si="1"/>
        <v>45399</v>
      </c>
      <c r="C14" s="15" t="s">
        <v>31</v>
      </c>
      <c r="D14" s="15" t="s">
        <v>179</v>
      </c>
      <c r="E14" s="15" t="str">
        <f t="shared" si="2"/>
        <v>Edward Mitchell</v>
      </c>
      <c r="F14" s="16">
        <f t="shared" si="3"/>
        <v>2024510663</v>
      </c>
      <c r="G14" s="15" t="s">
        <v>180</v>
      </c>
      <c r="H14" s="30" t="s">
        <v>34</v>
      </c>
      <c r="I14" s="17" t="s">
        <v>181</v>
      </c>
      <c r="J14" s="18" t="s">
        <v>182</v>
      </c>
      <c r="K14" s="18" t="s">
        <v>183</v>
      </c>
      <c r="L14" s="26">
        <v>2.026351744E9</v>
      </c>
      <c r="M14" s="27" t="s">
        <v>39</v>
      </c>
      <c r="N14" s="21" t="s">
        <v>184</v>
      </c>
      <c r="O14" s="21" t="s">
        <v>185</v>
      </c>
      <c r="P14" s="21" t="s">
        <v>186</v>
      </c>
      <c r="Q14" s="21">
        <v>34.0</v>
      </c>
      <c r="R14" s="21">
        <v>20011.0</v>
      </c>
      <c r="S14" s="21" t="s">
        <v>74</v>
      </c>
      <c r="T14" s="29">
        <v>2.024510663E9</v>
      </c>
      <c r="U14" s="21">
        <v>1.0</v>
      </c>
      <c r="V14" s="21">
        <v>0.0</v>
      </c>
      <c r="W14" s="21">
        <f t="shared" si="4"/>
        <v>1</v>
      </c>
      <c r="X14" s="21" t="s">
        <v>84</v>
      </c>
      <c r="Y14" s="21" t="s">
        <v>47</v>
      </c>
      <c r="Z14" s="22" t="s">
        <v>187</v>
      </c>
      <c r="AA14" s="22" t="s">
        <v>188</v>
      </c>
      <c r="AB14" s="21" t="s">
        <v>63</v>
      </c>
      <c r="AC14" s="21">
        <v>6.0</v>
      </c>
      <c r="AD14" s="24"/>
      <c r="AE14" s="25"/>
      <c r="AF14" s="12"/>
      <c r="AG14" s="12"/>
      <c r="AH14" s="12"/>
      <c r="AI14" s="12"/>
      <c r="AJ14" s="12"/>
      <c r="AK14" s="12"/>
    </row>
    <row r="15">
      <c r="A15" s="13">
        <v>45399.60018299769</v>
      </c>
      <c r="B15" s="14">
        <f t="shared" si="1"/>
        <v>45399</v>
      </c>
      <c r="C15" s="15" t="s">
        <v>31</v>
      </c>
      <c r="D15" s="15" t="s">
        <v>189</v>
      </c>
      <c r="E15" s="15" t="str">
        <f t="shared" si="2"/>
        <v>Jose Martinez</v>
      </c>
      <c r="F15" s="16" t="str">
        <f t="shared" si="3"/>
        <v>(202) 341-5274</v>
      </c>
      <c r="G15" s="15" t="s">
        <v>190</v>
      </c>
      <c r="H15" s="30" t="s">
        <v>66</v>
      </c>
      <c r="I15" s="17" t="s">
        <v>191</v>
      </c>
      <c r="J15" s="18" t="s">
        <v>192</v>
      </c>
      <c r="K15" s="17" t="s">
        <v>193</v>
      </c>
      <c r="L15" s="19">
        <v>2.029238521E9</v>
      </c>
      <c r="M15" s="20" t="s">
        <v>39</v>
      </c>
      <c r="N15" s="21" t="s">
        <v>194</v>
      </c>
      <c r="O15" s="21" t="s">
        <v>195</v>
      </c>
      <c r="P15" s="21" t="s">
        <v>196</v>
      </c>
      <c r="Q15" s="21" t="s">
        <v>197</v>
      </c>
      <c r="R15" s="21">
        <v>20009.0</v>
      </c>
      <c r="S15" s="21" t="s">
        <v>59</v>
      </c>
      <c r="T15" s="29" t="s">
        <v>198</v>
      </c>
      <c r="U15" s="21">
        <v>1.0</v>
      </c>
      <c r="V15" s="21">
        <v>0.0</v>
      </c>
      <c r="W15" s="21">
        <f t="shared" si="4"/>
        <v>1</v>
      </c>
      <c r="X15" s="21" t="s">
        <v>84</v>
      </c>
      <c r="Y15" s="21" t="s">
        <v>85</v>
      </c>
      <c r="Z15" s="22" t="s">
        <v>187</v>
      </c>
      <c r="AA15" s="22" t="s">
        <v>199</v>
      </c>
      <c r="AB15" s="21" t="s">
        <v>145</v>
      </c>
      <c r="AC15" s="21">
        <v>5.0</v>
      </c>
      <c r="AD15" s="24"/>
      <c r="AE15" s="25"/>
      <c r="AF15" s="12"/>
      <c r="AG15" s="12"/>
      <c r="AH15" s="12"/>
      <c r="AI15" s="12"/>
      <c r="AJ15" s="12"/>
      <c r="AK15" s="12"/>
    </row>
    <row r="16">
      <c r="A16" s="13">
        <v>45400.53520586806</v>
      </c>
      <c r="B16" s="14">
        <f t="shared" si="1"/>
        <v>45400</v>
      </c>
      <c r="C16" s="15" t="s">
        <v>31</v>
      </c>
      <c r="D16" s="15" t="s">
        <v>200</v>
      </c>
      <c r="E16" s="15" t="str">
        <f t="shared" si="2"/>
        <v>Latrelle McInnis</v>
      </c>
      <c r="F16" s="16" t="str">
        <f t="shared" si="3"/>
        <v>(202)893-6673</v>
      </c>
      <c r="G16" s="15" t="s">
        <v>201</v>
      </c>
      <c r="H16" s="30" t="s">
        <v>34</v>
      </c>
      <c r="I16" s="17" t="s">
        <v>202</v>
      </c>
      <c r="J16" s="18" t="s">
        <v>203</v>
      </c>
      <c r="K16" s="18" t="s">
        <v>116</v>
      </c>
      <c r="L16" s="26">
        <v>7.712133162E9</v>
      </c>
      <c r="M16" s="27" t="s">
        <v>39</v>
      </c>
      <c r="N16" s="21" t="s">
        <v>204</v>
      </c>
      <c r="O16" s="21" t="s">
        <v>205</v>
      </c>
      <c r="P16" s="21" t="s">
        <v>206</v>
      </c>
      <c r="Q16" s="21" t="s">
        <v>207</v>
      </c>
      <c r="R16" s="21">
        <v>20032.0</v>
      </c>
      <c r="S16" s="21" t="s">
        <v>44</v>
      </c>
      <c r="T16" s="29" t="s">
        <v>208</v>
      </c>
      <c r="U16" s="21">
        <v>1.0</v>
      </c>
      <c r="V16" s="21">
        <v>3.0</v>
      </c>
      <c r="W16" s="21">
        <f t="shared" si="4"/>
        <v>4</v>
      </c>
      <c r="X16" s="21" t="s">
        <v>46</v>
      </c>
      <c r="Y16" s="21" t="s">
        <v>85</v>
      </c>
      <c r="Z16" s="22" t="s">
        <v>209</v>
      </c>
      <c r="AA16" s="22" t="s">
        <v>210</v>
      </c>
      <c r="AB16" s="21" t="s">
        <v>49</v>
      </c>
      <c r="AC16" s="21">
        <v>2.0</v>
      </c>
      <c r="AD16" s="24"/>
      <c r="AE16" s="25"/>
      <c r="AF16" s="12"/>
      <c r="AG16" s="12"/>
      <c r="AH16" s="12"/>
      <c r="AI16" s="12"/>
      <c r="AJ16" s="12"/>
      <c r="AK16" s="12"/>
    </row>
    <row r="17">
      <c r="A17" s="13">
        <v>45401.43986896991</v>
      </c>
      <c r="B17" s="14">
        <f t="shared" si="1"/>
        <v>45401</v>
      </c>
      <c r="C17" s="15" t="s">
        <v>31</v>
      </c>
      <c r="D17" s="15" t="s">
        <v>211</v>
      </c>
      <c r="E17" s="15" t="str">
        <f t="shared" si="2"/>
        <v>Shari McHayle</v>
      </c>
      <c r="F17" s="16" t="str">
        <f t="shared" si="3"/>
        <v>(202) 584-9763</v>
      </c>
      <c r="G17" s="15" t="s">
        <v>212</v>
      </c>
      <c r="H17" s="30" t="s">
        <v>103</v>
      </c>
      <c r="I17" s="17" t="s">
        <v>213</v>
      </c>
      <c r="J17" s="18" t="s">
        <v>214</v>
      </c>
      <c r="K17" s="17" t="s">
        <v>116</v>
      </c>
      <c r="L17" s="19">
        <v>2.029841855E9</v>
      </c>
      <c r="M17" s="20" t="s">
        <v>39</v>
      </c>
      <c r="N17" s="21" t="s">
        <v>215</v>
      </c>
      <c r="O17" s="21" t="s">
        <v>216</v>
      </c>
      <c r="P17" s="21" t="s">
        <v>217</v>
      </c>
      <c r="Q17" s="21" t="s">
        <v>218</v>
      </c>
      <c r="R17" s="21">
        <v>200.0</v>
      </c>
      <c r="S17" s="21" t="s">
        <v>44</v>
      </c>
      <c r="T17" s="29" t="s">
        <v>219</v>
      </c>
      <c r="U17" s="21">
        <v>1.0</v>
      </c>
      <c r="V17" s="21">
        <v>0.0</v>
      </c>
      <c r="W17" s="21">
        <f t="shared" si="4"/>
        <v>1</v>
      </c>
      <c r="X17" s="21" t="s">
        <v>46</v>
      </c>
      <c r="Y17" s="21" t="s">
        <v>47</v>
      </c>
      <c r="Z17" s="22" t="s">
        <v>144</v>
      </c>
      <c r="AA17" s="22" t="s">
        <v>220</v>
      </c>
      <c r="AB17" s="21" t="s">
        <v>49</v>
      </c>
      <c r="AC17" s="21">
        <v>6.0</v>
      </c>
      <c r="AD17" s="24"/>
      <c r="AE17" s="25"/>
    </row>
    <row r="18">
      <c r="A18" s="13">
        <v>45403.79096712963</v>
      </c>
      <c r="B18" s="14">
        <f t="shared" si="1"/>
        <v>45403</v>
      </c>
      <c r="C18" s="15" t="s">
        <v>221</v>
      </c>
      <c r="D18" s="15" t="s">
        <v>222</v>
      </c>
      <c r="E18" s="15" t="str">
        <f t="shared" si="2"/>
        <v>Charles Willie</v>
      </c>
      <c r="F18" s="16">
        <f t="shared" si="3"/>
        <v>7712010623</v>
      </c>
      <c r="G18" s="15" t="s">
        <v>223</v>
      </c>
      <c r="H18" s="30" t="s">
        <v>34</v>
      </c>
      <c r="I18" s="17" t="s">
        <v>224</v>
      </c>
      <c r="J18" s="18" t="s">
        <v>225</v>
      </c>
      <c r="K18" s="31" t="s">
        <v>226</v>
      </c>
      <c r="L18" s="26">
        <v>2.028030074E9</v>
      </c>
      <c r="M18" s="27" t="s">
        <v>39</v>
      </c>
      <c r="N18" s="21" t="s">
        <v>227</v>
      </c>
      <c r="O18" s="21" t="s">
        <v>228</v>
      </c>
      <c r="P18" s="21" t="s">
        <v>229</v>
      </c>
      <c r="Q18" s="21">
        <v>1.0</v>
      </c>
      <c r="R18" s="21">
        <v>20010.0</v>
      </c>
      <c r="S18" s="21" t="s">
        <v>59</v>
      </c>
      <c r="T18" s="29">
        <v>7.712010623E9</v>
      </c>
      <c r="U18" s="21">
        <v>1.0</v>
      </c>
      <c r="V18" s="21">
        <v>0.0</v>
      </c>
      <c r="W18" s="21">
        <f t="shared" si="4"/>
        <v>1</v>
      </c>
      <c r="X18" s="21" t="s">
        <v>46</v>
      </c>
      <c r="Y18" s="21" t="s">
        <v>85</v>
      </c>
      <c r="Z18" s="22" t="s">
        <v>166</v>
      </c>
      <c r="AA18" s="23"/>
      <c r="AB18" s="21" t="s">
        <v>49</v>
      </c>
      <c r="AC18" s="21">
        <v>12.0</v>
      </c>
      <c r="AD18" s="24"/>
      <c r="AE18" s="25"/>
    </row>
    <row r="19">
      <c r="A19" s="13">
        <v>45403.79632770833</v>
      </c>
      <c r="B19" s="14">
        <f t="shared" si="1"/>
        <v>45403</v>
      </c>
      <c r="C19" s="15" t="s">
        <v>230</v>
      </c>
      <c r="D19" s="15" t="s">
        <v>231</v>
      </c>
      <c r="E19" s="15" t="str">
        <f t="shared" si="2"/>
        <v>Deleona Holland</v>
      </c>
      <c r="F19" s="16">
        <f t="shared" si="3"/>
        <v>2028479224</v>
      </c>
      <c r="G19" s="15" t="s">
        <v>232</v>
      </c>
      <c r="H19" s="30" t="s">
        <v>66</v>
      </c>
      <c r="I19" s="17" t="s">
        <v>224</v>
      </c>
      <c r="J19" s="18" t="s">
        <v>225</v>
      </c>
      <c r="K19" s="17" t="s">
        <v>226</v>
      </c>
      <c r="L19" s="19">
        <v>2.028030074E9</v>
      </c>
      <c r="M19" s="20" t="s">
        <v>39</v>
      </c>
      <c r="N19" s="21" t="s">
        <v>233</v>
      </c>
      <c r="O19" s="21" t="s">
        <v>234</v>
      </c>
      <c r="P19" s="21" t="s">
        <v>235</v>
      </c>
      <c r="Q19" s="21">
        <v>114.0</v>
      </c>
      <c r="R19" s="21">
        <v>20010.0</v>
      </c>
      <c r="S19" s="21" t="s">
        <v>59</v>
      </c>
      <c r="T19" s="29">
        <v>2.028479224E9</v>
      </c>
      <c r="U19" s="21">
        <v>1.0</v>
      </c>
      <c r="V19" s="21">
        <v>0.0</v>
      </c>
      <c r="W19" s="21">
        <f t="shared" si="4"/>
        <v>1</v>
      </c>
      <c r="X19" s="21" t="s">
        <v>46</v>
      </c>
      <c r="Y19" s="21" t="s">
        <v>85</v>
      </c>
      <c r="Z19" s="22" t="s">
        <v>236</v>
      </c>
      <c r="AA19" s="23"/>
      <c r="AB19" s="21" t="s">
        <v>49</v>
      </c>
      <c r="AC19" s="21">
        <v>12.0</v>
      </c>
      <c r="AD19" s="24"/>
      <c r="AE19" s="25"/>
      <c r="AF19" s="12"/>
      <c r="AG19" s="12"/>
      <c r="AH19" s="12"/>
      <c r="AI19" s="12"/>
      <c r="AJ19" s="12"/>
      <c r="AK19" s="12"/>
    </row>
    <row r="20">
      <c r="A20" s="13">
        <v>45403.8025610301</v>
      </c>
      <c r="B20" s="14">
        <f t="shared" si="1"/>
        <v>45403</v>
      </c>
      <c r="C20" s="15" t="s">
        <v>31</v>
      </c>
      <c r="D20" s="15" t="s">
        <v>237</v>
      </c>
      <c r="E20" s="15" t="str">
        <f t="shared" si="2"/>
        <v>Natasha Thomas</v>
      </c>
      <c r="F20" s="16" t="s">
        <v>238</v>
      </c>
      <c r="G20" s="15" t="s">
        <v>239</v>
      </c>
      <c r="H20" s="30" t="s">
        <v>103</v>
      </c>
      <c r="I20" s="17" t="s">
        <v>224</v>
      </c>
      <c r="J20" s="18" t="s">
        <v>225</v>
      </c>
      <c r="K20" s="17" t="s">
        <v>226</v>
      </c>
      <c r="L20" s="19">
        <v>2.028030074E9</v>
      </c>
      <c r="M20" s="20" t="s">
        <v>39</v>
      </c>
      <c r="N20" s="21" t="s">
        <v>240</v>
      </c>
      <c r="O20" s="21" t="s">
        <v>241</v>
      </c>
      <c r="P20" s="21" t="s">
        <v>242</v>
      </c>
      <c r="Q20" s="21" t="s">
        <v>120</v>
      </c>
      <c r="R20" s="21">
        <v>20020.0</v>
      </c>
      <c r="S20" s="21" t="s">
        <v>44</v>
      </c>
      <c r="T20" s="29">
        <v>2.027491228E9</v>
      </c>
      <c r="U20" s="21">
        <v>1.0</v>
      </c>
      <c r="V20" s="21">
        <v>0.0</v>
      </c>
      <c r="W20" s="21">
        <f t="shared" si="4"/>
        <v>1</v>
      </c>
      <c r="X20" s="21" t="s">
        <v>46</v>
      </c>
      <c r="Y20" s="21" t="s">
        <v>85</v>
      </c>
      <c r="Z20" s="22" t="s">
        <v>166</v>
      </c>
      <c r="AA20" s="23"/>
      <c r="AB20" s="21" t="s">
        <v>49</v>
      </c>
      <c r="AC20" s="21">
        <v>12.0</v>
      </c>
      <c r="AD20" s="24"/>
      <c r="AE20" s="25"/>
    </row>
    <row r="21">
      <c r="A21" s="13">
        <v>45407.45831686343</v>
      </c>
      <c r="B21" s="14">
        <f t="shared" si="1"/>
        <v>45407</v>
      </c>
      <c r="C21" s="15" t="s">
        <v>31</v>
      </c>
      <c r="D21" s="15" t="s">
        <v>243</v>
      </c>
      <c r="E21" s="15" t="str">
        <f t="shared" si="2"/>
        <v>Sadie Turner</v>
      </c>
      <c r="F21" s="16">
        <f t="shared" ref="F21:F108" si="5">T21</f>
        <v>2026780318</v>
      </c>
      <c r="G21" s="15" t="s">
        <v>244</v>
      </c>
      <c r="H21" s="30" t="s">
        <v>103</v>
      </c>
      <c r="I21" s="17" t="s">
        <v>202</v>
      </c>
      <c r="J21" s="18" t="s">
        <v>203</v>
      </c>
      <c r="K21" s="17" t="s">
        <v>116</v>
      </c>
      <c r="L21" s="19">
        <v>7.712133162E9</v>
      </c>
      <c r="M21" s="20" t="s">
        <v>39</v>
      </c>
      <c r="N21" s="21" t="s">
        <v>245</v>
      </c>
      <c r="O21" s="21" t="s">
        <v>246</v>
      </c>
      <c r="P21" s="21" t="s">
        <v>247</v>
      </c>
      <c r="Q21" s="21">
        <v>14.0</v>
      </c>
      <c r="R21" s="21">
        <v>20020.0</v>
      </c>
      <c r="S21" s="21" t="s">
        <v>44</v>
      </c>
      <c r="T21" s="29">
        <v>2.026780318E9</v>
      </c>
      <c r="U21" s="21">
        <v>2.0</v>
      </c>
      <c r="V21" s="21">
        <v>0.0</v>
      </c>
      <c r="W21" s="21">
        <f t="shared" si="4"/>
        <v>2</v>
      </c>
      <c r="X21" s="21" t="s">
        <v>46</v>
      </c>
      <c r="Y21" s="21" t="s">
        <v>47</v>
      </c>
      <c r="Z21" s="22" t="s">
        <v>144</v>
      </c>
      <c r="AA21" s="22" t="s">
        <v>248</v>
      </c>
      <c r="AB21" s="21" t="s">
        <v>145</v>
      </c>
      <c r="AC21" s="21">
        <v>3.0</v>
      </c>
      <c r="AD21" s="24"/>
      <c r="AE21" s="25"/>
      <c r="AF21" s="12"/>
      <c r="AG21" s="12"/>
      <c r="AH21" s="12"/>
      <c r="AI21" s="12"/>
      <c r="AJ21" s="12"/>
      <c r="AK21" s="12"/>
    </row>
    <row r="22">
      <c r="A22" s="13">
        <v>45407.66525908565</v>
      </c>
      <c r="B22" s="14">
        <f t="shared" si="1"/>
        <v>45407</v>
      </c>
      <c r="C22" s="15" t="s">
        <v>31</v>
      </c>
      <c r="D22" s="15" t="s">
        <v>249</v>
      </c>
      <c r="E22" s="15" t="str">
        <f t="shared" si="2"/>
        <v>Andre Broadway</v>
      </c>
      <c r="F22" s="16" t="str">
        <f t="shared" si="5"/>
        <v>(202) 500-7949</v>
      </c>
      <c r="G22" s="15" t="s">
        <v>250</v>
      </c>
      <c r="H22" s="30" t="s">
        <v>66</v>
      </c>
      <c r="I22" s="17" t="s">
        <v>251</v>
      </c>
      <c r="J22" s="18" t="s">
        <v>252</v>
      </c>
      <c r="K22" s="17" t="s">
        <v>253</v>
      </c>
      <c r="L22" s="19">
        <v>2.025383951E9</v>
      </c>
      <c r="M22" s="20" t="s">
        <v>39</v>
      </c>
      <c r="N22" s="21" t="s">
        <v>254</v>
      </c>
      <c r="O22" s="21" t="s">
        <v>255</v>
      </c>
      <c r="P22" s="21" t="s">
        <v>256</v>
      </c>
      <c r="Q22" s="21" t="s">
        <v>257</v>
      </c>
      <c r="R22" s="21">
        <v>20011.0</v>
      </c>
      <c r="S22" s="21" t="s">
        <v>59</v>
      </c>
      <c r="T22" s="29" t="s">
        <v>258</v>
      </c>
      <c r="U22" s="21">
        <v>1.0</v>
      </c>
      <c r="V22" s="21">
        <v>0.0</v>
      </c>
      <c r="W22" s="21">
        <f t="shared" si="4"/>
        <v>1</v>
      </c>
      <c r="X22" s="21" t="s">
        <v>84</v>
      </c>
      <c r="Y22" s="21" t="s">
        <v>47</v>
      </c>
      <c r="Z22" s="22" t="s">
        <v>259</v>
      </c>
      <c r="AA22" s="22" t="s">
        <v>260</v>
      </c>
      <c r="AB22" s="21" t="s">
        <v>49</v>
      </c>
      <c r="AC22" s="21">
        <v>24.0</v>
      </c>
      <c r="AD22" s="24"/>
      <c r="AE22" s="25"/>
      <c r="AF22" s="12"/>
      <c r="AG22" s="12"/>
      <c r="AH22" s="12"/>
      <c r="AI22" s="12"/>
      <c r="AJ22" s="12"/>
      <c r="AK22" s="12"/>
    </row>
    <row r="23">
      <c r="A23" s="13">
        <v>45407.68371563657</v>
      </c>
      <c r="B23" s="14">
        <f t="shared" si="1"/>
        <v>45407</v>
      </c>
      <c r="C23" s="15" t="s">
        <v>31</v>
      </c>
      <c r="D23" s="15" t="s">
        <v>261</v>
      </c>
      <c r="E23" s="15" t="str">
        <f t="shared" si="2"/>
        <v>Sandra Dickerson</v>
      </c>
      <c r="F23" s="16" t="str">
        <f t="shared" si="5"/>
        <v>(202) 308-5305</v>
      </c>
      <c r="G23" s="15" t="s">
        <v>262</v>
      </c>
      <c r="H23" s="30" t="s">
        <v>66</v>
      </c>
      <c r="I23" s="17" t="s">
        <v>263</v>
      </c>
      <c r="J23" s="18" t="s">
        <v>264</v>
      </c>
      <c r="K23" s="17" t="s">
        <v>116</v>
      </c>
      <c r="L23" s="19">
        <v>2.029842063E9</v>
      </c>
      <c r="M23" s="20" t="s">
        <v>39</v>
      </c>
      <c r="N23" s="21" t="s">
        <v>265</v>
      </c>
      <c r="O23" s="21" t="s">
        <v>266</v>
      </c>
      <c r="P23" s="21" t="s">
        <v>267</v>
      </c>
      <c r="Q23" s="21" t="s">
        <v>268</v>
      </c>
      <c r="R23" s="21">
        <v>20002.0</v>
      </c>
      <c r="S23" s="21" t="s">
        <v>74</v>
      </c>
      <c r="T23" s="29" t="s">
        <v>269</v>
      </c>
      <c r="U23" s="21">
        <v>2.0</v>
      </c>
      <c r="V23" s="21">
        <v>0.0</v>
      </c>
      <c r="W23" s="21">
        <f t="shared" si="4"/>
        <v>2</v>
      </c>
      <c r="X23" s="21" t="s">
        <v>84</v>
      </c>
      <c r="Y23" s="21" t="s">
        <v>47</v>
      </c>
      <c r="Z23" s="22" t="s">
        <v>144</v>
      </c>
      <c r="AA23" s="22" t="s">
        <v>270</v>
      </c>
      <c r="AB23" s="21" t="s">
        <v>49</v>
      </c>
      <c r="AC23" s="21">
        <v>12.0</v>
      </c>
      <c r="AD23" s="24"/>
      <c r="AE23" s="25"/>
      <c r="AF23" s="12"/>
      <c r="AG23" s="12"/>
      <c r="AH23" s="12"/>
      <c r="AI23" s="12"/>
      <c r="AJ23" s="12"/>
      <c r="AK23" s="12"/>
    </row>
    <row r="24">
      <c r="A24" s="13">
        <v>45408.972077071754</v>
      </c>
      <c r="B24" s="14">
        <f t="shared" si="1"/>
        <v>45408</v>
      </c>
      <c r="C24" s="15" t="s">
        <v>31</v>
      </c>
      <c r="D24" s="15" t="s">
        <v>271</v>
      </c>
      <c r="E24" s="15" t="str">
        <f t="shared" si="2"/>
        <v>David smith</v>
      </c>
      <c r="F24" s="16" t="str">
        <f t="shared" si="5"/>
        <v>(202) 650-1990</v>
      </c>
      <c r="G24" s="15" t="s">
        <v>272</v>
      </c>
      <c r="H24" s="30" t="s">
        <v>34</v>
      </c>
      <c r="I24" s="17" t="s">
        <v>273</v>
      </c>
      <c r="J24" s="18" t="s">
        <v>274</v>
      </c>
      <c r="K24" s="31" t="s">
        <v>275</v>
      </c>
      <c r="L24" s="26">
        <v>2.404081069E9</v>
      </c>
      <c r="M24" s="27" t="s">
        <v>39</v>
      </c>
      <c r="N24" s="21" t="s">
        <v>276</v>
      </c>
      <c r="O24" s="21" t="s">
        <v>277</v>
      </c>
      <c r="P24" s="21" t="s">
        <v>278</v>
      </c>
      <c r="Q24" s="21" t="s">
        <v>279</v>
      </c>
      <c r="R24" s="21">
        <v>20002.0</v>
      </c>
      <c r="S24" s="21" t="s">
        <v>74</v>
      </c>
      <c r="T24" s="29" t="s">
        <v>280</v>
      </c>
      <c r="U24" s="21">
        <v>3.0</v>
      </c>
      <c r="V24" s="21">
        <v>0.0</v>
      </c>
      <c r="W24" s="21">
        <f t="shared" si="4"/>
        <v>3</v>
      </c>
      <c r="X24" s="21" t="s">
        <v>46</v>
      </c>
      <c r="Y24" s="21" t="s">
        <v>85</v>
      </c>
      <c r="Z24" s="22" t="s">
        <v>236</v>
      </c>
      <c r="AA24" s="23"/>
      <c r="AB24" s="21" t="s">
        <v>145</v>
      </c>
      <c r="AC24" s="21" t="s">
        <v>281</v>
      </c>
      <c r="AD24" s="24"/>
      <c r="AE24" s="25"/>
      <c r="AF24" s="12"/>
      <c r="AG24" s="12"/>
      <c r="AH24" s="12"/>
      <c r="AI24" s="12"/>
      <c r="AJ24" s="12"/>
      <c r="AK24" s="12"/>
    </row>
    <row r="25">
      <c r="A25" s="33">
        <v>45411.43259506945</v>
      </c>
      <c r="B25" s="14">
        <f t="shared" si="1"/>
        <v>45411</v>
      </c>
      <c r="C25" s="15" t="s">
        <v>282</v>
      </c>
      <c r="D25" s="15" t="s">
        <v>283</v>
      </c>
      <c r="E25" s="15" t="str">
        <f t="shared" si="2"/>
        <v>Charnell Gant</v>
      </c>
      <c r="F25" s="16" t="str">
        <f t="shared" si="5"/>
        <v>(202) 902-3403</v>
      </c>
      <c r="G25" s="15" t="s">
        <v>284</v>
      </c>
      <c r="H25" s="30" t="s">
        <v>34</v>
      </c>
      <c r="I25" s="17" t="s">
        <v>285</v>
      </c>
      <c r="J25" s="18" t="s">
        <v>286</v>
      </c>
      <c r="K25" s="31" t="s">
        <v>287</v>
      </c>
      <c r="L25" s="26">
        <v>2.029853455E9</v>
      </c>
      <c r="M25" s="27" t="s">
        <v>39</v>
      </c>
      <c r="N25" s="21" t="s">
        <v>288</v>
      </c>
      <c r="O25" s="21" t="s">
        <v>289</v>
      </c>
      <c r="P25" s="21" t="s">
        <v>290</v>
      </c>
      <c r="Q25" s="21" t="s">
        <v>291</v>
      </c>
      <c r="R25" s="21">
        <v>20010.0</v>
      </c>
      <c r="S25" s="21" t="s">
        <v>59</v>
      </c>
      <c r="T25" s="21" t="s">
        <v>292</v>
      </c>
      <c r="U25" s="21">
        <v>1.0</v>
      </c>
      <c r="V25" s="21">
        <v>0.0</v>
      </c>
      <c r="W25" s="21">
        <f t="shared" si="4"/>
        <v>1</v>
      </c>
      <c r="X25" s="21" t="s">
        <v>46</v>
      </c>
      <c r="Y25" s="21" t="s">
        <v>47</v>
      </c>
      <c r="Z25" s="22" t="s">
        <v>293</v>
      </c>
      <c r="AA25" s="22" t="s">
        <v>294</v>
      </c>
      <c r="AB25" s="21" t="s">
        <v>145</v>
      </c>
      <c r="AC25" s="21">
        <v>1.0</v>
      </c>
      <c r="AD25" s="24"/>
      <c r="AE25" s="25"/>
    </row>
    <row r="26">
      <c r="A26" s="13">
        <v>45411.68018753472</v>
      </c>
      <c r="B26" s="14">
        <f t="shared" si="1"/>
        <v>45411</v>
      </c>
      <c r="C26" s="15" t="s">
        <v>295</v>
      </c>
      <c r="D26" s="15" t="s">
        <v>296</v>
      </c>
      <c r="E26" s="15" t="str">
        <f t="shared" si="2"/>
        <v>Eunice Elliot</v>
      </c>
      <c r="F26" s="16" t="str">
        <f t="shared" si="5"/>
        <v>(202) 269-0890</v>
      </c>
      <c r="G26" s="15" t="s">
        <v>297</v>
      </c>
      <c r="H26" s="30" t="s">
        <v>66</v>
      </c>
      <c r="I26" s="17" t="s">
        <v>298</v>
      </c>
      <c r="J26" s="18" t="s">
        <v>299</v>
      </c>
      <c r="K26" s="17" t="s">
        <v>150</v>
      </c>
      <c r="L26" s="19" t="s">
        <v>300</v>
      </c>
      <c r="M26" s="20" t="s">
        <v>39</v>
      </c>
      <c r="N26" s="21" t="s">
        <v>301</v>
      </c>
      <c r="O26" s="21" t="s">
        <v>302</v>
      </c>
      <c r="P26" s="21" t="s">
        <v>303</v>
      </c>
      <c r="Q26" s="21">
        <v>109.0</v>
      </c>
      <c r="R26" s="21">
        <v>20002.0</v>
      </c>
      <c r="S26" s="21" t="s">
        <v>74</v>
      </c>
      <c r="T26" s="29" t="s">
        <v>304</v>
      </c>
      <c r="U26" s="21">
        <v>1.0</v>
      </c>
      <c r="V26" s="21">
        <v>0.0</v>
      </c>
      <c r="W26" s="21">
        <f t="shared" si="4"/>
        <v>1</v>
      </c>
      <c r="X26" s="21" t="s">
        <v>84</v>
      </c>
      <c r="Y26" s="21" t="s">
        <v>85</v>
      </c>
      <c r="Z26" s="22" t="s">
        <v>305</v>
      </c>
      <c r="AA26" s="22" t="s">
        <v>306</v>
      </c>
      <c r="AB26" s="21" t="s">
        <v>145</v>
      </c>
      <c r="AC26" s="21">
        <v>6.0</v>
      </c>
      <c r="AD26" s="24"/>
      <c r="AE26" s="25"/>
      <c r="AF26" s="12"/>
      <c r="AG26" s="12"/>
      <c r="AH26" s="12"/>
      <c r="AI26" s="12"/>
      <c r="AJ26" s="12"/>
      <c r="AK26" s="12"/>
    </row>
    <row r="27">
      <c r="A27" s="13">
        <v>45413.39589674769</v>
      </c>
      <c r="B27" s="14">
        <f t="shared" si="1"/>
        <v>45413</v>
      </c>
      <c r="C27" s="15" t="s">
        <v>31</v>
      </c>
      <c r="D27" s="15" t="s">
        <v>307</v>
      </c>
      <c r="E27" s="15" t="str">
        <f t="shared" si="2"/>
        <v>Andrea Woods</v>
      </c>
      <c r="F27" s="16">
        <f t="shared" si="5"/>
        <v>2028831404</v>
      </c>
      <c r="G27" s="15" t="s">
        <v>308</v>
      </c>
      <c r="H27" s="30" t="s">
        <v>66</v>
      </c>
      <c r="I27" s="17" t="s">
        <v>309</v>
      </c>
      <c r="J27" s="18" t="s">
        <v>310</v>
      </c>
      <c r="K27" s="17" t="s">
        <v>311</v>
      </c>
      <c r="L27" s="19">
        <v>2.029877467E9</v>
      </c>
      <c r="M27" s="20" t="s">
        <v>39</v>
      </c>
      <c r="N27" s="21" t="s">
        <v>312</v>
      </c>
      <c r="O27" s="21" t="s">
        <v>313</v>
      </c>
      <c r="P27" s="21" t="s">
        <v>314</v>
      </c>
      <c r="Q27" s="21" t="s">
        <v>315</v>
      </c>
      <c r="R27" s="21">
        <v>20002.0</v>
      </c>
      <c r="S27" s="21" t="s">
        <v>74</v>
      </c>
      <c r="T27" s="29">
        <v>2.028831404E9</v>
      </c>
      <c r="U27" s="21">
        <v>1.0</v>
      </c>
      <c r="V27" s="21">
        <v>2.0</v>
      </c>
      <c r="W27" s="21">
        <f t="shared" si="4"/>
        <v>3</v>
      </c>
      <c r="X27" s="21" t="s">
        <v>46</v>
      </c>
      <c r="Y27" s="21" t="s">
        <v>85</v>
      </c>
      <c r="Z27" s="22" t="s">
        <v>316</v>
      </c>
      <c r="AA27" s="22" t="s">
        <v>317</v>
      </c>
      <c r="AB27" s="21" t="s">
        <v>49</v>
      </c>
      <c r="AC27" s="21">
        <v>12.0</v>
      </c>
      <c r="AD27" s="24"/>
      <c r="AE27" s="25"/>
      <c r="AF27" s="12"/>
      <c r="AG27" s="12"/>
      <c r="AH27" s="12"/>
      <c r="AI27" s="12"/>
      <c r="AJ27" s="12"/>
      <c r="AK27" s="12"/>
    </row>
    <row r="28">
      <c r="A28" s="13">
        <v>45413.532462268515</v>
      </c>
      <c r="B28" s="14">
        <f t="shared" si="1"/>
        <v>45413</v>
      </c>
      <c r="C28" s="15" t="s">
        <v>31</v>
      </c>
      <c r="D28" s="15" t="s">
        <v>318</v>
      </c>
      <c r="E28" s="15" t="str">
        <f t="shared" si="2"/>
        <v>Fonda Allen</v>
      </c>
      <c r="F28" s="16">
        <f t="shared" si="5"/>
        <v>2027185014</v>
      </c>
      <c r="G28" s="15" t="s">
        <v>319</v>
      </c>
      <c r="H28" s="30" t="s">
        <v>66</v>
      </c>
      <c r="I28" s="17" t="s">
        <v>320</v>
      </c>
      <c r="J28" s="18" t="s">
        <v>321</v>
      </c>
      <c r="K28" s="17" t="s">
        <v>322</v>
      </c>
      <c r="L28" s="19">
        <v>2.02526302E9</v>
      </c>
      <c r="M28" s="20" t="s">
        <v>39</v>
      </c>
      <c r="N28" s="31" t="s">
        <v>323</v>
      </c>
      <c r="O28" s="21" t="s">
        <v>127</v>
      </c>
      <c r="P28" s="21" t="s">
        <v>324</v>
      </c>
      <c r="Q28" s="21" t="s">
        <v>325</v>
      </c>
      <c r="R28" s="21">
        <v>20001.0</v>
      </c>
      <c r="S28" s="21" t="s">
        <v>59</v>
      </c>
      <c r="T28" s="29">
        <v>2.027185014E9</v>
      </c>
      <c r="U28" s="21">
        <v>1.0</v>
      </c>
      <c r="V28" s="21">
        <v>2.0</v>
      </c>
      <c r="W28" s="21">
        <f t="shared" si="4"/>
        <v>3</v>
      </c>
      <c r="X28" s="21" t="s">
        <v>46</v>
      </c>
      <c r="Y28" s="21" t="s">
        <v>85</v>
      </c>
      <c r="Z28" s="22" t="s">
        <v>48</v>
      </c>
      <c r="AA28" s="22" t="s">
        <v>326</v>
      </c>
      <c r="AB28" s="21" t="s">
        <v>49</v>
      </c>
      <c r="AC28" s="21">
        <v>12.0</v>
      </c>
      <c r="AD28" s="24"/>
      <c r="AE28" s="25"/>
      <c r="AF28" s="12"/>
      <c r="AG28" s="12"/>
      <c r="AH28" s="12"/>
      <c r="AI28" s="12"/>
      <c r="AJ28" s="12"/>
      <c r="AK28" s="12"/>
    </row>
    <row r="29">
      <c r="A29" s="13">
        <v>45413.53440833333</v>
      </c>
      <c r="B29" s="14">
        <f t="shared" si="1"/>
        <v>45413</v>
      </c>
      <c r="C29" s="15" t="s">
        <v>327</v>
      </c>
      <c r="D29" s="15" t="s">
        <v>328</v>
      </c>
      <c r="E29" s="15" t="str">
        <f t="shared" si="2"/>
        <v>Linda Willis</v>
      </c>
      <c r="F29" s="16" t="str">
        <f t="shared" si="5"/>
        <v>(301) 675-1638</v>
      </c>
      <c r="G29" s="15" t="s">
        <v>329</v>
      </c>
      <c r="H29" s="30" t="s">
        <v>103</v>
      </c>
      <c r="I29" s="17" t="s">
        <v>320</v>
      </c>
      <c r="J29" s="18" t="s">
        <v>321</v>
      </c>
      <c r="K29" s="17" t="s">
        <v>322</v>
      </c>
      <c r="L29" s="19">
        <v>2.02526302E9</v>
      </c>
      <c r="M29" s="20" t="s">
        <v>39</v>
      </c>
      <c r="N29" s="21" t="s">
        <v>330</v>
      </c>
      <c r="O29" s="21" t="s">
        <v>331</v>
      </c>
      <c r="P29" s="21" t="s">
        <v>332</v>
      </c>
      <c r="Q29" s="21">
        <v>410.0</v>
      </c>
      <c r="R29" s="21">
        <v>20020.0</v>
      </c>
      <c r="S29" s="21" t="s">
        <v>44</v>
      </c>
      <c r="T29" s="29" t="s">
        <v>333</v>
      </c>
      <c r="U29" s="21">
        <v>1.0</v>
      </c>
      <c r="V29" s="21">
        <v>0.0</v>
      </c>
      <c r="W29" s="21">
        <f t="shared" si="4"/>
        <v>1</v>
      </c>
      <c r="X29" s="21" t="s">
        <v>46</v>
      </c>
      <c r="Y29" s="21" t="s">
        <v>47</v>
      </c>
      <c r="Z29" s="22" t="s">
        <v>48</v>
      </c>
      <c r="AA29" s="22" t="s">
        <v>326</v>
      </c>
      <c r="AB29" s="21" t="s">
        <v>49</v>
      </c>
      <c r="AC29" s="21">
        <v>12.0</v>
      </c>
      <c r="AD29" s="24"/>
      <c r="AE29" s="25"/>
      <c r="AF29" s="12"/>
      <c r="AG29" s="12"/>
      <c r="AH29" s="12"/>
      <c r="AI29" s="12"/>
      <c r="AJ29" s="12"/>
      <c r="AK29" s="12"/>
    </row>
    <row r="30">
      <c r="A30" s="13">
        <v>45414.554223495375</v>
      </c>
      <c r="B30" s="14">
        <f t="shared" si="1"/>
        <v>45414</v>
      </c>
      <c r="C30" s="15" t="s">
        <v>327</v>
      </c>
      <c r="D30" s="15" t="s">
        <v>334</v>
      </c>
      <c r="E30" s="15" t="str">
        <f t="shared" si="2"/>
        <v>BRIANNA ANDERSON</v>
      </c>
      <c r="F30" s="16">
        <f t="shared" si="5"/>
        <v>4437686095</v>
      </c>
      <c r="G30" s="15" t="s">
        <v>335</v>
      </c>
      <c r="H30" s="30" t="s">
        <v>34</v>
      </c>
      <c r="I30" s="17" t="s">
        <v>336</v>
      </c>
      <c r="J30" s="18" t="s">
        <v>337</v>
      </c>
      <c r="K30" s="31" t="s">
        <v>338</v>
      </c>
      <c r="L30" s="26">
        <v>4.437686095E9</v>
      </c>
      <c r="M30" s="27" t="s">
        <v>39</v>
      </c>
      <c r="N30" s="21" t="s">
        <v>339</v>
      </c>
      <c r="O30" s="21" t="s">
        <v>340</v>
      </c>
      <c r="P30" s="21" t="s">
        <v>341</v>
      </c>
      <c r="Q30" s="21" t="s">
        <v>342</v>
      </c>
      <c r="R30" s="21">
        <v>20010.0</v>
      </c>
      <c r="S30" s="21" t="s">
        <v>59</v>
      </c>
      <c r="T30" s="29">
        <v>4.437686095E9</v>
      </c>
      <c r="U30" s="21">
        <v>1.0</v>
      </c>
      <c r="V30" s="21">
        <v>0.0</v>
      </c>
      <c r="W30" s="21">
        <f t="shared" si="4"/>
        <v>1</v>
      </c>
      <c r="X30" s="21" t="s">
        <v>46</v>
      </c>
      <c r="Y30" s="21" t="s">
        <v>47</v>
      </c>
      <c r="Z30" s="22" t="s">
        <v>343</v>
      </c>
      <c r="AA30" s="22" t="s">
        <v>344</v>
      </c>
      <c r="AB30" s="21" t="s">
        <v>63</v>
      </c>
      <c r="AC30" s="21">
        <v>12.0</v>
      </c>
      <c r="AD30" s="24"/>
      <c r="AE30" s="25"/>
      <c r="AF30" s="12"/>
      <c r="AG30" s="12"/>
      <c r="AH30" s="12"/>
      <c r="AI30" s="12"/>
      <c r="AJ30" s="12"/>
      <c r="AK30" s="12"/>
    </row>
    <row r="31">
      <c r="A31" s="13">
        <v>45414.60436028935</v>
      </c>
      <c r="B31" s="14">
        <f t="shared" si="1"/>
        <v>45414</v>
      </c>
      <c r="C31" s="15" t="s">
        <v>295</v>
      </c>
      <c r="D31" s="15" t="s">
        <v>345</v>
      </c>
      <c r="E31" s="15" t="str">
        <f t="shared" si="2"/>
        <v>Gricelda Martinez</v>
      </c>
      <c r="F31" s="16" t="str">
        <f t="shared" si="5"/>
        <v>(202) 489-3188</v>
      </c>
      <c r="G31" s="15" t="s">
        <v>346</v>
      </c>
      <c r="H31" s="30" t="s">
        <v>66</v>
      </c>
      <c r="I31" s="17" t="s">
        <v>90</v>
      </c>
      <c r="J31" s="18" t="s">
        <v>347</v>
      </c>
      <c r="K31" s="17" t="s">
        <v>92</v>
      </c>
      <c r="L31" s="19">
        <v>5.713428676E9</v>
      </c>
      <c r="M31" s="20" t="s">
        <v>39</v>
      </c>
      <c r="N31" s="21" t="s">
        <v>348</v>
      </c>
      <c r="O31" s="21" t="s">
        <v>195</v>
      </c>
      <c r="P31" s="21" t="s">
        <v>349</v>
      </c>
      <c r="Q31" s="21" t="s">
        <v>350</v>
      </c>
      <c r="R31" s="21">
        <v>22203.0</v>
      </c>
      <c r="S31" s="21" t="s">
        <v>59</v>
      </c>
      <c r="T31" s="29" t="s">
        <v>351</v>
      </c>
      <c r="U31" s="21">
        <v>1.0</v>
      </c>
      <c r="V31" s="21">
        <v>1.0</v>
      </c>
      <c r="W31" s="21">
        <f t="shared" si="4"/>
        <v>2</v>
      </c>
      <c r="X31" s="21" t="s">
        <v>46</v>
      </c>
      <c r="Y31" s="21" t="s">
        <v>85</v>
      </c>
      <c r="Z31" s="22" t="s">
        <v>352</v>
      </c>
      <c r="AA31" s="22" t="s">
        <v>353</v>
      </c>
      <c r="AB31" s="21" t="s">
        <v>63</v>
      </c>
      <c r="AC31" s="21">
        <v>2.0</v>
      </c>
      <c r="AD31" s="24"/>
      <c r="AE31" s="25"/>
      <c r="AF31" s="12"/>
      <c r="AG31" s="12"/>
      <c r="AH31" s="12"/>
      <c r="AI31" s="12"/>
      <c r="AJ31" s="12"/>
      <c r="AK31" s="12"/>
    </row>
    <row r="32">
      <c r="A32" s="13">
        <v>45414.60913488426</v>
      </c>
      <c r="B32" s="14">
        <f t="shared" si="1"/>
        <v>45414</v>
      </c>
      <c r="C32" s="15" t="s">
        <v>327</v>
      </c>
      <c r="D32" s="15" t="s">
        <v>354</v>
      </c>
      <c r="E32" s="15" t="str">
        <f t="shared" si="2"/>
        <v>Kendrick Jacobs</v>
      </c>
      <c r="F32" s="16">
        <f t="shared" si="5"/>
        <v>2023213941</v>
      </c>
      <c r="G32" s="15" t="s">
        <v>355</v>
      </c>
      <c r="H32" s="15" t="s">
        <v>356</v>
      </c>
      <c r="I32" s="17" t="s">
        <v>213</v>
      </c>
      <c r="J32" s="18" t="s">
        <v>214</v>
      </c>
      <c r="K32" s="18" t="s">
        <v>116</v>
      </c>
      <c r="L32" s="26">
        <v>2.029841855E9</v>
      </c>
      <c r="M32" s="27" t="s">
        <v>39</v>
      </c>
      <c r="N32" s="21" t="s">
        <v>357</v>
      </c>
      <c r="O32" s="21" t="s">
        <v>358</v>
      </c>
      <c r="P32" s="21" t="s">
        <v>359</v>
      </c>
      <c r="Q32" s="21" t="s">
        <v>360</v>
      </c>
      <c r="R32" s="21">
        <v>20020.0</v>
      </c>
      <c r="S32" s="21" t="s">
        <v>44</v>
      </c>
      <c r="T32" s="29">
        <v>2.023213941E9</v>
      </c>
      <c r="U32" s="21">
        <v>1.0</v>
      </c>
      <c r="V32" s="21">
        <v>0.0</v>
      </c>
      <c r="W32" s="21">
        <f t="shared" si="4"/>
        <v>1</v>
      </c>
      <c r="X32" s="21" t="s">
        <v>46</v>
      </c>
      <c r="Y32" s="21" t="s">
        <v>47</v>
      </c>
      <c r="Z32" s="22" t="s">
        <v>361</v>
      </c>
      <c r="AA32" s="22" t="s">
        <v>362</v>
      </c>
      <c r="AB32" s="21" t="s">
        <v>49</v>
      </c>
      <c r="AC32" s="21">
        <v>2.0</v>
      </c>
      <c r="AD32" s="24"/>
      <c r="AE32" s="25"/>
      <c r="AF32" s="12"/>
      <c r="AG32" s="12"/>
      <c r="AH32" s="12"/>
      <c r="AI32" s="12"/>
      <c r="AJ32" s="12"/>
      <c r="AK32" s="12"/>
    </row>
    <row r="33">
      <c r="A33" s="13">
        <v>45415.374639201385</v>
      </c>
      <c r="B33" s="14">
        <f t="shared" si="1"/>
        <v>45415</v>
      </c>
      <c r="C33" s="15" t="s">
        <v>327</v>
      </c>
      <c r="D33" s="15" t="s">
        <v>363</v>
      </c>
      <c r="E33" s="15" t="str">
        <f t="shared" si="2"/>
        <v>Doris Warren</v>
      </c>
      <c r="F33" s="16" t="str">
        <f t="shared" si="5"/>
        <v>(202) 733-3983</v>
      </c>
      <c r="G33" s="15" t="s">
        <v>364</v>
      </c>
      <c r="H33" s="30" t="s">
        <v>66</v>
      </c>
      <c r="I33" s="17" t="s">
        <v>365</v>
      </c>
      <c r="J33" s="18" t="s">
        <v>366</v>
      </c>
      <c r="K33" s="17" t="s">
        <v>367</v>
      </c>
      <c r="L33" s="19">
        <v>2.025454398E9</v>
      </c>
      <c r="M33" s="20" t="s">
        <v>39</v>
      </c>
      <c r="N33" s="21" t="s">
        <v>368</v>
      </c>
      <c r="O33" s="21" t="s">
        <v>369</v>
      </c>
      <c r="P33" s="21" t="s">
        <v>370</v>
      </c>
      <c r="Q33" s="21">
        <v>104.0</v>
      </c>
      <c r="R33" s="21">
        <v>20032.0</v>
      </c>
      <c r="S33" s="21" t="s">
        <v>44</v>
      </c>
      <c r="T33" s="29" t="s">
        <v>371</v>
      </c>
      <c r="U33" s="21">
        <v>1.0</v>
      </c>
      <c r="V33" s="21">
        <v>0.0</v>
      </c>
      <c r="W33" s="21">
        <f t="shared" si="4"/>
        <v>1</v>
      </c>
      <c r="X33" s="21" t="s">
        <v>46</v>
      </c>
      <c r="Y33" s="21" t="s">
        <v>47</v>
      </c>
      <c r="Z33" s="22" t="s">
        <v>259</v>
      </c>
      <c r="AA33" s="22" t="s">
        <v>372</v>
      </c>
      <c r="AB33" s="21" t="s">
        <v>49</v>
      </c>
      <c r="AC33" s="21">
        <v>12.0</v>
      </c>
      <c r="AD33" s="24"/>
      <c r="AE33" s="25"/>
      <c r="AF33" s="12"/>
      <c r="AG33" s="12"/>
      <c r="AH33" s="12"/>
      <c r="AI33" s="12"/>
      <c r="AJ33" s="12"/>
      <c r="AK33" s="12"/>
    </row>
    <row r="34">
      <c r="A34" s="13">
        <v>45417.62311670139</v>
      </c>
      <c r="B34" s="14">
        <f t="shared" si="1"/>
        <v>45417</v>
      </c>
      <c r="C34" s="15" t="s">
        <v>327</v>
      </c>
      <c r="D34" s="15" t="s">
        <v>373</v>
      </c>
      <c r="E34" s="15" t="str">
        <f t="shared" si="2"/>
        <v>Georges Azubike</v>
      </c>
      <c r="F34" s="16">
        <f t="shared" si="5"/>
        <v>3472649700</v>
      </c>
      <c r="G34" s="15" t="s">
        <v>374</v>
      </c>
      <c r="H34" s="30" t="s">
        <v>103</v>
      </c>
      <c r="I34" s="17" t="s">
        <v>375</v>
      </c>
      <c r="J34" s="18" t="s">
        <v>376</v>
      </c>
      <c r="K34" s="17" t="s">
        <v>311</v>
      </c>
      <c r="L34" s="19">
        <v>2.029842483E9</v>
      </c>
      <c r="M34" s="20" t="s">
        <v>39</v>
      </c>
      <c r="N34" s="21" t="s">
        <v>377</v>
      </c>
      <c r="O34" s="21" t="s">
        <v>378</v>
      </c>
      <c r="P34" s="21" t="s">
        <v>379</v>
      </c>
      <c r="Q34" s="21">
        <v>1.0</v>
      </c>
      <c r="R34" s="21">
        <v>20001.0</v>
      </c>
      <c r="S34" s="21" t="s">
        <v>59</v>
      </c>
      <c r="T34" s="29">
        <v>3.4726497E9</v>
      </c>
      <c r="U34" s="21">
        <v>1.0</v>
      </c>
      <c r="V34" s="21">
        <v>0.0</v>
      </c>
      <c r="W34" s="21">
        <f t="shared" si="4"/>
        <v>1</v>
      </c>
      <c r="X34" s="21" t="s">
        <v>46</v>
      </c>
      <c r="Y34" s="21" t="s">
        <v>47</v>
      </c>
      <c r="Z34" s="22" t="s">
        <v>122</v>
      </c>
      <c r="AA34" s="22" t="s">
        <v>380</v>
      </c>
      <c r="AB34" s="21" t="s">
        <v>63</v>
      </c>
      <c r="AC34" s="21" t="s">
        <v>381</v>
      </c>
      <c r="AD34" s="24"/>
      <c r="AE34" s="25"/>
      <c r="AF34" s="12"/>
      <c r="AG34" s="12"/>
      <c r="AH34" s="12"/>
      <c r="AI34" s="12"/>
      <c r="AJ34" s="12"/>
      <c r="AK34" s="12"/>
    </row>
    <row r="35">
      <c r="A35" s="13">
        <v>45418.469360347226</v>
      </c>
      <c r="B35" s="14">
        <f t="shared" si="1"/>
        <v>45418</v>
      </c>
      <c r="C35" s="15" t="s">
        <v>31</v>
      </c>
      <c r="D35" s="15" t="s">
        <v>382</v>
      </c>
      <c r="E35" s="15" t="str">
        <f t="shared" si="2"/>
        <v>Joseph Johnson</v>
      </c>
      <c r="F35" s="16" t="str">
        <f t="shared" si="5"/>
        <v>(202) 983-8178</v>
      </c>
      <c r="G35" s="15" t="s">
        <v>383</v>
      </c>
      <c r="H35" s="30" t="s">
        <v>103</v>
      </c>
      <c r="I35" s="17" t="s">
        <v>384</v>
      </c>
      <c r="J35" s="18" t="s">
        <v>385</v>
      </c>
      <c r="K35" s="17" t="s">
        <v>386</v>
      </c>
      <c r="L35" s="19">
        <v>3.01817001E9</v>
      </c>
      <c r="M35" s="20" t="s">
        <v>39</v>
      </c>
      <c r="N35" s="21" t="s">
        <v>387</v>
      </c>
      <c r="O35" s="21" t="s">
        <v>388</v>
      </c>
      <c r="P35" s="21" t="s">
        <v>389</v>
      </c>
      <c r="Q35" s="21" t="s">
        <v>390</v>
      </c>
      <c r="R35" s="21">
        <v>20032.0</v>
      </c>
      <c r="S35" s="21" t="s">
        <v>44</v>
      </c>
      <c r="T35" s="29" t="s">
        <v>391</v>
      </c>
      <c r="U35" s="21">
        <v>2.0</v>
      </c>
      <c r="V35" s="21">
        <v>0.0</v>
      </c>
      <c r="W35" s="21">
        <f t="shared" si="4"/>
        <v>2</v>
      </c>
      <c r="X35" s="21" t="s">
        <v>46</v>
      </c>
      <c r="Y35" s="21" t="s">
        <v>47</v>
      </c>
      <c r="Z35" s="22" t="s">
        <v>392</v>
      </c>
      <c r="AA35" s="22" t="s">
        <v>393</v>
      </c>
      <c r="AB35" s="21" t="s">
        <v>63</v>
      </c>
      <c r="AC35" s="21">
        <v>12.0</v>
      </c>
      <c r="AD35" s="24"/>
      <c r="AE35" s="25"/>
      <c r="AF35" s="12"/>
      <c r="AG35" s="12"/>
      <c r="AH35" s="12"/>
      <c r="AI35" s="12"/>
      <c r="AJ35" s="12"/>
      <c r="AK35" s="12"/>
    </row>
    <row r="36">
      <c r="A36" s="13">
        <v>45418.470442025464</v>
      </c>
      <c r="B36" s="14">
        <f t="shared" si="1"/>
        <v>45418</v>
      </c>
      <c r="C36" s="15" t="s">
        <v>394</v>
      </c>
      <c r="D36" s="15" t="s">
        <v>395</v>
      </c>
      <c r="E36" s="15" t="str">
        <f t="shared" si="2"/>
        <v>Yvonne Allen</v>
      </c>
      <c r="F36" s="16" t="str">
        <f t="shared" si="5"/>
        <v>(202) 852-2317</v>
      </c>
      <c r="G36" s="15" t="s">
        <v>396</v>
      </c>
      <c r="H36" s="30" t="s">
        <v>103</v>
      </c>
      <c r="I36" s="17" t="s">
        <v>397</v>
      </c>
      <c r="J36" s="18" t="s">
        <v>398</v>
      </c>
      <c r="K36" s="17" t="s">
        <v>399</v>
      </c>
      <c r="L36" s="19">
        <v>2.026956794E9</v>
      </c>
      <c r="M36" s="20" t="s">
        <v>39</v>
      </c>
      <c r="N36" s="21" t="s">
        <v>400</v>
      </c>
      <c r="O36" s="21" t="s">
        <v>127</v>
      </c>
      <c r="P36" s="21" t="s">
        <v>401</v>
      </c>
      <c r="Q36" s="21" t="s">
        <v>402</v>
      </c>
      <c r="R36" s="21">
        <v>20020.0</v>
      </c>
      <c r="S36" s="21" t="s">
        <v>44</v>
      </c>
      <c r="T36" s="29" t="s">
        <v>403</v>
      </c>
      <c r="U36" s="21">
        <v>1.0</v>
      </c>
      <c r="V36" s="21">
        <v>1.0</v>
      </c>
      <c r="W36" s="21">
        <f t="shared" si="4"/>
        <v>2</v>
      </c>
      <c r="X36" s="21" t="s">
        <v>46</v>
      </c>
      <c r="Y36" s="21" t="s">
        <v>85</v>
      </c>
      <c r="Z36" s="22" t="s">
        <v>404</v>
      </c>
      <c r="AA36" s="22" t="s">
        <v>405</v>
      </c>
      <c r="AB36" s="21" t="s">
        <v>49</v>
      </c>
      <c r="AC36" s="21">
        <v>12.0</v>
      </c>
      <c r="AD36" s="24"/>
      <c r="AE36" s="25"/>
      <c r="AF36" s="12"/>
      <c r="AG36" s="12"/>
      <c r="AH36" s="12"/>
      <c r="AI36" s="12"/>
      <c r="AJ36" s="12"/>
      <c r="AK36" s="12"/>
    </row>
    <row r="37">
      <c r="A37" s="13">
        <v>45418.63352603009</v>
      </c>
      <c r="B37" s="14">
        <f t="shared" si="1"/>
        <v>45418</v>
      </c>
      <c r="C37" s="15" t="s">
        <v>327</v>
      </c>
      <c r="D37" s="15" t="s">
        <v>406</v>
      </c>
      <c r="E37" s="15" t="str">
        <f t="shared" si="2"/>
        <v>Richard Carter</v>
      </c>
      <c r="F37" s="16" t="str">
        <f t="shared" si="5"/>
        <v>(202) 361-7264</v>
      </c>
      <c r="G37" s="15" t="s">
        <v>407</v>
      </c>
      <c r="H37" s="30" t="s">
        <v>356</v>
      </c>
      <c r="I37" s="17" t="s">
        <v>408</v>
      </c>
      <c r="J37" s="18" t="s">
        <v>409</v>
      </c>
      <c r="K37" s="17" t="s">
        <v>410</v>
      </c>
      <c r="L37" s="19">
        <v>2.022696897E9</v>
      </c>
      <c r="M37" s="20" t="s">
        <v>39</v>
      </c>
      <c r="N37" s="21" t="s">
        <v>411</v>
      </c>
      <c r="O37" s="21" t="s">
        <v>412</v>
      </c>
      <c r="P37" s="21" t="s">
        <v>413</v>
      </c>
      <c r="Q37" s="21" t="s">
        <v>350</v>
      </c>
      <c r="R37" s="21">
        <v>20032.0</v>
      </c>
      <c r="S37" s="21" t="s">
        <v>44</v>
      </c>
      <c r="T37" s="29" t="s">
        <v>414</v>
      </c>
      <c r="U37" s="21">
        <v>1.0</v>
      </c>
      <c r="V37" s="21">
        <v>0.0</v>
      </c>
      <c r="W37" s="21">
        <f t="shared" si="4"/>
        <v>1</v>
      </c>
      <c r="X37" s="21" t="s">
        <v>84</v>
      </c>
      <c r="Y37" s="21" t="s">
        <v>47</v>
      </c>
      <c r="Z37" s="22" t="s">
        <v>187</v>
      </c>
      <c r="AA37" s="22" t="s">
        <v>415</v>
      </c>
      <c r="AB37" s="21" t="s">
        <v>145</v>
      </c>
      <c r="AC37" s="21">
        <v>12.0</v>
      </c>
      <c r="AD37" s="24"/>
      <c r="AE37" s="25"/>
      <c r="AF37" s="12"/>
      <c r="AG37" s="12"/>
      <c r="AH37" s="12"/>
      <c r="AI37" s="12"/>
      <c r="AJ37" s="12"/>
      <c r="AK37" s="12"/>
    </row>
    <row r="38">
      <c r="A38" s="13">
        <v>45419.464980833334</v>
      </c>
      <c r="B38" s="14">
        <f t="shared" si="1"/>
        <v>45419</v>
      </c>
      <c r="C38" s="15" t="s">
        <v>221</v>
      </c>
      <c r="D38" s="15" t="s">
        <v>416</v>
      </c>
      <c r="E38" s="15" t="str">
        <f t="shared" si="2"/>
        <v>Cherish Hunter</v>
      </c>
      <c r="F38" s="16">
        <f t="shared" si="5"/>
        <v>2025156871</v>
      </c>
      <c r="G38" s="15" t="s">
        <v>417</v>
      </c>
      <c r="H38" s="15" t="s">
        <v>34</v>
      </c>
      <c r="I38" s="17" t="s">
        <v>181</v>
      </c>
      <c r="J38" s="18" t="s">
        <v>182</v>
      </c>
      <c r="K38" s="18" t="s">
        <v>183</v>
      </c>
      <c r="L38" s="26">
        <v>2.027434382E9</v>
      </c>
      <c r="M38" s="27" t="s">
        <v>39</v>
      </c>
      <c r="N38" s="21" t="s">
        <v>418</v>
      </c>
      <c r="O38" s="21" t="s">
        <v>419</v>
      </c>
      <c r="P38" s="21" t="s">
        <v>186</v>
      </c>
      <c r="Q38" s="21">
        <v>17.0</v>
      </c>
      <c r="R38" s="21">
        <v>20011.0</v>
      </c>
      <c r="S38" s="21" t="s">
        <v>74</v>
      </c>
      <c r="T38" s="29">
        <v>2.025156871E9</v>
      </c>
      <c r="U38" s="21">
        <v>1.0</v>
      </c>
      <c r="V38" s="21">
        <v>0.0</v>
      </c>
      <c r="W38" s="21">
        <f t="shared" si="4"/>
        <v>1</v>
      </c>
      <c r="X38" s="21" t="s">
        <v>46</v>
      </c>
      <c r="Y38" s="21" t="s">
        <v>47</v>
      </c>
      <c r="Z38" s="22" t="s">
        <v>236</v>
      </c>
      <c r="AA38" s="22" t="s">
        <v>420</v>
      </c>
      <c r="AB38" s="21" t="s">
        <v>49</v>
      </c>
      <c r="AC38" s="21">
        <v>6.0</v>
      </c>
      <c r="AD38" s="24"/>
      <c r="AE38" s="25"/>
      <c r="AF38" s="12"/>
      <c r="AG38" s="12"/>
      <c r="AH38" s="12"/>
      <c r="AI38" s="12"/>
      <c r="AJ38" s="12"/>
      <c r="AK38" s="12"/>
    </row>
    <row r="39">
      <c r="A39" s="13">
        <v>45420.7558231713</v>
      </c>
      <c r="B39" s="14">
        <f t="shared" si="1"/>
        <v>45420</v>
      </c>
      <c r="C39" s="15" t="s">
        <v>31</v>
      </c>
      <c r="D39" s="15" t="s">
        <v>421</v>
      </c>
      <c r="E39" s="15" t="str">
        <f t="shared" si="2"/>
        <v>Fred Cameron</v>
      </c>
      <c r="F39" s="16" t="str">
        <f t="shared" si="5"/>
        <v>(202) 506-1665</v>
      </c>
      <c r="G39" s="15" t="s">
        <v>422</v>
      </c>
      <c r="H39" s="30" t="s">
        <v>103</v>
      </c>
      <c r="I39" s="17" t="s">
        <v>423</v>
      </c>
      <c r="J39" s="18" t="s">
        <v>424</v>
      </c>
      <c r="K39" s="17" t="s">
        <v>150</v>
      </c>
      <c r="L39" s="19">
        <v>2.026270029E9</v>
      </c>
      <c r="M39" s="20" t="s">
        <v>39</v>
      </c>
      <c r="N39" s="21" t="s">
        <v>425</v>
      </c>
      <c r="O39" s="21" t="s">
        <v>426</v>
      </c>
      <c r="P39" s="21" t="s">
        <v>427</v>
      </c>
      <c r="Q39" s="21">
        <v>919.0</v>
      </c>
      <c r="R39" s="21">
        <v>20018.0</v>
      </c>
      <c r="S39" s="21" t="s">
        <v>74</v>
      </c>
      <c r="T39" s="29" t="s">
        <v>428</v>
      </c>
      <c r="U39" s="21">
        <v>1.0</v>
      </c>
      <c r="V39" s="21">
        <v>0.0</v>
      </c>
      <c r="W39" s="21">
        <f t="shared" si="4"/>
        <v>1</v>
      </c>
      <c r="X39" s="21" t="s">
        <v>84</v>
      </c>
      <c r="Y39" s="21" t="s">
        <v>47</v>
      </c>
      <c r="Z39" s="22" t="s">
        <v>144</v>
      </c>
      <c r="AA39" s="22" t="s">
        <v>429</v>
      </c>
      <c r="AB39" s="21" t="s">
        <v>145</v>
      </c>
      <c r="AC39" s="21">
        <v>12.0</v>
      </c>
      <c r="AD39" s="24"/>
      <c r="AE39" s="25"/>
    </row>
    <row r="40">
      <c r="A40" s="13">
        <v>45422.471182939815</v>
      </c>
      <c r="B40" s="14">
        <f t="shared" si="1"/>
        <v>45422</v>
      </c>
      <c r="C40" s="15" t="s">
        <v>327</v>
      </c>
      <c r="D40" s="15" t="s">
        <v>430</v>
      </c>
      <c r="E40" s="15" t="str">
        <f t="shared" si="2"/>
        <v>Brandi Young</v>
      </c>
      <c r="F40" s="16">
        <f t="shared" si="5"/>
        <v>2029839787</v>
      </c>
      <c r="G40" s="15" t="s">
        <v>407</v>
      </c>
      <c r="H40" s="30" t="s">
        <v>34</v>
      </c>
      <c r="I40" s="17" t="s">
        <v>431</v>
      </c>
      <c r="J40" s="18" t="s">
        <v>432</v>
      </c>
      <c r="K40" s="17" t="s">
        <v>433</v>
      </c>
      <c r="L40" s="19">
        <v>2.405547834E9</v>
      </c>
      <c r="M40" s="20" t="s">
        <v>39</v>
      </c>
      <c r="N40" s="21" t="s">
        <v>434</v>
      </c>
      <c r="O40" s="21" t="s">
        <v>435</v>
      </c>
      <c r="P40" s="21" t="s">
        <v>436</v>
      </c>
      <c r="Q40" s="21">
        <v>201.0</v>
      </c>
      <c r="R40" s="21">
        <v>20020.0</v>
      </c>
      <c r="S40" s="21" t="s">
        <v>44</v>
      </c>
      <c r="T40" s="29">
        <v>2.029839787E9</v>
      </c>
      <c r="U40" s="21">
        <v>1.0</v>
      </c>
      <c r="V40" s="21">
        <v>6.0</v>
      </c>
      <c r="W40" s="21">
        <f t="shared" si="4"/>
        <v>7</v>
      </c>
      <c r="X40" s="21" t="s">
        <v>46</v>
      </c>
      <c r="Y40" s="21" t="s">
        <v>85</v>
      </c>
      <c r="Z40" s="22" t="s">
        <v>437</v>
      </c>
      <c r="AA40" s="22" t="s">
        <v>438</v>
      </c>
      <c r="AB40" s="21" t="s">
        <v>63</v>
      </c>
      <c r="AC40" s="21" t="s">
        <v>439</v>
      </c>
      <c r="AD40" s="24"/>
      <c r="AE40" s="25"/>
      <c r="AF40" s="12"/>
      <c r="AG40" s="12"/>
      <c r="AH40" s="12"/>
      <c r="AI40" s="12"/>
      <c r="AJ40" s="12"/>
      <c r="AK40" s="12"/>
    </row>
    <row r="41">
      <c r="A41" s="34">
        <v>45422.63591704861</v>
      </c>
      <c r="B41" s="14">
        <f t="shared" si="1"/>
        <v>45422</v>
      </c>
      <c r="C41" s="15" t="s">
        <v>327</v>
      </c>
      <c r="D41" s="15" t="s">
        <v>440</v>
      </c>
      <c r="E41" s="15" t="str">
        <f t="shared" si="2"/>
        <v>Chavonica Wynn</v>
      </c>
      <c r="F41" s="16" t="str">
        <f t="shared" si="5"/>
        <v>(202) 710-2003</v>
      </c>
      <c r="G41" s="15" t="s">
        <v>374</v>
      </c>
      <c r="H41" s="15" t="s">
        <v>103</v>
      </c>
      <c r="I41" s="17" t="s">
        <v>441</v>
      </c>
      <c r="J41" s="18" t="s">
        <v>442</v>
      </c>
      <c r="K41" s="17" t="s">
        <v>443</v>
      </c>
      <c r="L41" s="19">
        <v>2.028600436E9</v>
      </c>
      <c r="M41" s="20" t="s">
        <v>39</v>
      </c>
      <c r="N41" s="21" t="s">
        <v>444</v>
      </c>
      <c r="O41" s="21" t="s">
        <v>445</v>
      </c>
      <c r="P41" s="21" t="s">
        <v>446</v>
      </c>
      <c r="Q41" s="21" t="s">
        <v>447</v>
      </c>
      <c r="R41" s="21">
        <v>20018.0</v>
      </c>
      <c r="S41" s="21" t="s">
        <v>74</v>
      </c>
      <c r="T41" s="29" t="s">
        <v>448</v>
      </c>
      <c r="U41" s="21">
        <v>1.0</v>
      </c>
      <c r="V41" s="21">
        <v>1.0</v>
      </c>
      <c r="W41" s="21">
        <f t="shared" si="4"/>
        <v>2</v>
      </c>
      <c r="X41" s="21" t="s">
        <v>46</v>
      </c>
      <c r="Y41" s="21" t="s">
        <v>85</v>
      </c>
      <c r="Z41" s="22" t="s">
        <v>449</v>
      </c>
      <c r="AA41" s="22" t="s">
        <v>450</v>
      </c>
      <c r="AB41" s="21" t="s">
        <v>145</v>
      </c>
      <c r="AC41" s="21">
        <v>12.0</v>
      </c>
      <c r="AD41" s="24"/>
      <c r="AE41" s="25"/>
      <c r="AF41" s="12"/>
      <c r="AG41" s="12"/>
      <c r="AH41" s="12"/>
      <c r="AI41" s="12"/>
      <c r="AJ41" s="12"/>
      <c r="AK41" s="12"/>
    </row>
    <row r="42">
      <c r="A42" s="13">
        <v>45422.67327515046</v>
      </c>
      <c r="B42" s="14">
        <f t="shared" si="1"/>
        <v>45422</v>
      </c>
      <c r="C42" s="15" t="s">
        <v>31</v>
      </c>
      <c r="D42" s="15" t="s">
        <v>451</v>
      </c>
      <c r="E42" s="15" t="str">
        <f t="shared" si="2"/>
        <v>William Coleman</v>
      </c>
      <c r="F42" s="16" t="str">
        <f t="shared" si="5"/>
        <v>(202) 749-3865</v>
      </c>
      <c r="G42" s="15" t="s">
        <v>452</v>
      </c>
      <c r="H42" s="30" t="s">
        <v>103</v>
      </c>
      <c r="I42" s="17" t="s">
        <v>263</v>
      </c>
      <c r="J42" s="18" t="s">
        <v>264</v>
      </c>
      <c r="K42" s="17" t="s">
        <v>116</v>
      </c>
      <c r="L42" s="19">
        <v>2.029842063E9</v>
      </c>
      <c r="M42" s="20" t="s">
        <v>39</v>
      </c>
      <c r="N42" s="21" t="s">
        <v>453</v>
      </c>
      <c r="O42" s="21" t="s">
        <v>454</v>
      </c>
      <c r="P42" s="21" t="s">
        <v>455</v>
      </c>
      <c r="Q42" s="21" t="s">
        <v>456</v>
      </c>
      <c r="R42" s="21">
        <v>20020.0</v>
      </c>
      <c r="S42" s="21" t="s">
        <v>44</v>
      </c>
      <c r="T42" s="29" t="s">
        <v>457</v>
      </c>
      <c r="U42" s="21">
        <v>1.0</v>
      </c>
      <c r="V42" s="21">
        <v>0.0</v>
      </c>
      <c r="W42" s="21">
        <f t="shared" si="4"/>
        <v>1</v>
      </c>
      <c r="X42" s="21" t="s">
        <v>46</v>
      </c>
      <c r="Y42" s="21" t="s">
        <v>47</v>
      </c>
      <c r="Z42" s="22" t="s">
        <v>458</v>
      </c>
      <c r="AA42" s="22" t="s">
        <v>459</v>
      </c>
      <c r="AB42" s="21" t="s">
        <v>49</v>
      </c>
      <c r="AC42" s="21">
        <v>12.0</v>
      </c>
      <c r="AD42" s="24"/>
      <c r="AE42" s="25"/>
      <c r="AF42" s="12"/>
      <c r="AG42" s="12"/>
      <c r="AH42" s="12"/>
      <c r="AI42" s="12"/>
      <c r="AJ42" s="12"/>
      <c r="AK42" s="12"/>
    </row>
    <row r="43">
      <c r="A43" s="13">
        <v>45428.39687818287</v>
      </c>
      <c r="B43" s="14">
        <f t="shared" si="1"/>
        <v>45428</v>
      </c>
      <c r="C43" s="15" t="s">
        <v>327</v>
      </c>
      <c r="D43" s="15" t="s">
        <v>460</v>
      </c>
      <c r="E43" s="15" t="str">
        <f t="shared" si="2"/>
        <v>Latasha Trotter</v>
      </c>
      <c r="F43" s="16">
        <f t="shared" si="5"/>
        <v>2028479291</v>
      </c>
      <c r="G43" s="15" t="s">
        <v>461</v>
      </c>
      <c r="H43" s="30" t="s">
        <v>34</v>
      </c>
      <c r="I43" s="17" t="s">
        <v>423</v>
      </c>
      <c r="J43" s="18" t="s">
        <v>424</v>
      </c>
      <c r="K43" s="31" t="s">
        <v>150</v>
      </c>
      <c r="L43" s="26">
        <v>2.026270029E9</v>
      </c>
      <c r="M43" s="27" t="s">
        <v>39</v>
      </c>
      <c r="N43" s="21" t="s">
        <v>462</v>
      </c>
      <c r="O43" s="21" t="s">
        <v>463</v>
      </c>
      <c r="P43" s="21" t="s">
        <v>464</v>
      </c>
      <c r="Q43" s="21" t="s">
        <v>465</v>
      </c>
      <c r="R43" s="21">
        <v>20020.0</v>
      </c>
      <c r="S43" s="21" t="s">
        <v>44</v>
      </c>
      <c r="T43" s="29">
        <v>2.028479291E9</v>
      </c>
      <c r="U43" s="21">
        <v>1.0</v>
      </c>
      <c r="V43" s="21">
        <v>0.0</v>
      </c>
      <c r="W43" s="21">
        <f t="shared" si="4"/>
        <v>1</v>
      </c>
      <c r="X43" s="21" t="s">
        <v>46</v>
      </c>
      <c r="Y43" s="21" t="s">
        <v>47</v>
      </c>
      <c r="Z43" s="22" t="s">
        <v>361</v>
      </c>
      <c r="AA43" s="22" t="s">
        <v>466</v>
      </c>
      <c r="AB43" s="21" t="s">
        <v>63</v>
      </c>
      <c r="AC43" s="21" t="s">
        <v>467</v>
      </c>
      <c r="AD43" s="24"/>
      <c r="AE43" s="25"/>
      <c r="AF43" s="12"/>
      <c r="AG43" s="12"/>
      <c r="AH43" s="12"/>
      <c r="AI43" s="12"/>
      <c r="AJ43" s="12"/>
      <c r="AK43" s="12"/>
    </row>
    <row r="44">
      <c r="A44" s="13">
        <v>45432.60797913195</v>
      </c>
      <c r="B44" s="14">
        <f t="shared" si="1"/>
        <v>45432</v>
      </c>
      <c r="C44" s="15" t="s">
        <v>327</v>
      </c>
      <c r="D44" s="15" t="s">
        <v>468</v>
      </c>
      <c r="E44" s="15" t="str">
        <f t="shared" si="2"/>
        <v>DEONA THORNTON</v>
      </c>
      <c r="F44" s="16" t="str">
        <f t="shared" si="5"/>
        <v>(202) 890-7910</v>
      </c>
      <c r="G44" s="15" t="s">
        <v>469</v>
      </c>
      <c r="H44" s="30" t="s">
        <v>356</v>
      </c>
      <c r="I44" s="17" t="s">
        <v>470</v>
      </c>
      <c r="J44" s="18" t="s">
        <v>471</v>
      </c>
      <c r="K44" s="17" t="s">
        <v>116</v>
      </c>
      <c r="L44" s="19">
        <v>2.025409857E9</v>
      </c>
      <c r="M44" s="20" t="s">
        <v>39</v>
      </c>
      <c r="N44" s="21" t="s">
        <v>472</v>
      </c>
      <c r="O44" s="21" t="s">
        <v>473</v>
      </c>
      <c r="P44" s="21" t="s">
        <v>474</v>
      </c>
      <c r="Q44" s="21" t="s">
        <v>475</v>
      </c>
      <c r="R44" s="21">
        <v>20009.0</v>
      </c>
      <c r="S44" s="21" t="s">
        <v>59</v>
      </c>
      <c r="T44" s="29" t="s">
        <v>476</v>
      </c>
      <c r="U44" s="21">
        <v>1.0</v>
      </c>
      <c r="V44" s="21">
        <v>3.0</v>
      </c>
      <c r="W44" s="21">
        <f t="shared" si="4"/>
        <v>4</v>
      </c>
      <c r="X44" s="21" t="s">
        <v>46</v>
      </c>
      <c r="Y44" s="21" t="s">
        <v>85</v>
      </c>
      <c r="Z44" s="22" t="s">
        <v>437</v>
      </c>
      <c r="AA44" s="22" t="s">
        <v>477</v>
      </c>
      <c r="AB44" s="21" t="s">
        <v>49</v>
      </c>
      <c r="AC44" s="21">
        <v>12.0</v>
      </c>
      <c r="AD44" s="24"/>
      <c r="AE44" s="25"/>
      <c r="AF44" s="12"/>
      <c r="AG44" s="12"/>
      <c r="AH44" s="12"/>
      <c r="AI44" s="12"/>
      <c r="AJ44" s="12"/>
      <c r="AK44" s="12"/>
    </row>
    <row r="45">
      <c r="A45" s="13">
        <v>45434.3459477662</v>
      </c>
      <c r="B45" s="14">
        <f t="shared" si="1"/>
        <v>45434</v>
      </c>
      <c r="C45" s="15" t="s">
        <v>327</v>
      </c>
      <c r="D45" s="15" t="s">
        <v>478</v>
      </c>
      <c r="E45" s="15" t="str">
        <f t="shared" si="2"/>
        <v>Donovan Mayo</v>
      </c>
      <c r="F45" s="16">
        <f t="shared" si="5"/>
        <v>2026742329</v>
      </c>
      <c r="G45" s="15" t="s">
        <v>374</v>
      </c>
      <c r="H45" s="30" t="s">
        <v>103</v>
      </c>
      <c r="I45" s="17" t="s">
        <v>67</v>
      </c>
      <c r="J45" s="18" t="s">
        <v>68</v>
      </c>
      <c r="K45" s="17" t="s">
        <v>69</v>
      </c>
      <c r="L45" s="19">
        <v>5.714644372E9</v>
      </c>
      <c r="M45" s="20" t="s">
        <v>39</v>
      </c>
      <c r="N45" s="21" t="s">
        <v>479</v>
      </c>
      <c r="O45" s="21" t="s">
        <v>480</v>
      </c>
      <c r="P45" s="21" t="s">
        <v>481</v>
      </c>
      <c r="Q45" s="21" t="s">
        <v>482</v>
      </c>
      <c r="R45" s="21">
        <v>20009.0</v>
      </c>
      <c r="S45" s="21" t="s">
        <v>483</v>
      </c>
      <c r="T45" s="29">
        <v>2.026742329E9</v>
      </c>
      <c r="U45" s="21">
        <v>2.0</v>
      </c>
      <c r="V45" s="21">
        <v>0.0</v>
      </c>
      <c r="W45" s="21">
        <f t="shared" si="4"/>
        <v>2</v>
      </c>
      <c r="X45" s="21" t="s">
        <v>46</v>
      </c>
      <c r="Y45" s="21" t="s">
        <v>85</v>
      </c>
      <c r="Z45" s="22" t="s">
        <v>61</v>
      </c>
      <c r="AA45" s="22" t="s">
        <v>484</v>
      </c>
      <c r="AB45" s="21" t="s">
        <v>49</v>
      </c>
      <c r="AC45" s="21">
        <v>12.0</v>
      </c>
      <c r="AD45" s="24"/>
      <c r="AE45" s="25"/>
      <c r="AF45" s="12"/>
      <c r="AG45" s="12"/>
      <c r="AH45" s="12"/>
      <c r="AI45" s="12"/>
      <c r="AJ45" s="12"/>
      <c r="AK45" s="12"/>
    </row>
    <row r="46">
      <c r="A46" s="13">
        <v>45434.554731909724</v>
      </c>
      <c r="B46" s="14">
        <f t="shared" si="1"/>
        <v>45434</v>
      </c>
      <c r="C46" s="15" t="s">
        <v>327</v>
      </c>
      <c r="D46" s="15" t="s">
        <v>485</v>
      </c>
      <c r="E46" s="15" t="str">
        <f t="shared" si="2"/>
        <v>ARLETHA SCOTT</v>
      </c>
      <c r="F46" s="16">
        <f t="shared" si="5"/>
        <v>7573553375</v>
      </c>
      <c r="G46" s="15" t="s">
        <v>374</v>
      </c>
      <c r="H46" s="30" t="s">
        <v>103</v>
      </c>
      <c r="I46" s="17" t="s">
        <v>486</v>
      </c>
      <c r="J46" s="18" t="s">
        <v>487</v>
      </c>
      <c r="K46" s="31" t="s">
        <v>488</v>
      </c>
      <c r="L46" s="26">
        <v>2.028809579E9</v>
      </c>
      <c r="M46" s="27" t="s">
        <v>39</v>
      </c>
      <c r="N46" s="21" t="s">
        <v>489</v>
      </c>
      <c r="O46" s="21" t="s">
        <v>490</v>
      </c>
      <c r="P46" s="21" t="s">
        <v>491</v>
      </c>
      <c r="Q46" s="21">
        <v>821.0</v>
      </c>
      <c r="R46" s="21">
        <v>20008.0</v>
      </c>
      <c r="S46" s="21" t="s">
        <v>59</v>
      </c>
      <c r="T46" s="29">
        <v>7.573553375E9</v>
      </c>
      <c r="U46" s="21">
        <v>1.0</v>
      </c>
      <c r="V46" s="21">
        <v>0.0</v>
      </c>
      <c r="W46" s="21">
        <f t="shared" si="4"/>
        <v>1</v>
      </c>
      <c r="X46" s="21" t="s">
        <v>46</v>
      </c>
      <c r="Y46" s="21" t="s">
        <v>47</v>
      </c>
      <c r="Z46" s="22" t="s">
        <v>48</v>
      </c>
      <c r="AA46" s="22" t="s">
        <v>492</v>
      </c>
      <c r="AB46" s="21" t="s">
        <v>63</v>
      </c>
      <c r="AC46" s="21" t="s">
        <v>493</v>
      </c>
      <c r="AD46" s="24"/>
      <c r="AE46" s="25"/>
    </row>
    <row r="47">
      <c r="A47" s="13">
        <v>45435.51976332176</v>
      </c>
      <c r="B47" s="14">
        <f t="shared" si="1"/>
        <v>45435</v>
      </c>
      <c r="C47" s="15" t="s">
        <v>327</v>
      </c>
      <c r="D47" s="15" t="s">
        <v>494</v>
      </c>
      <c r="E47" s="15" t="str">
        <f t="shared" si="2"/>
        <v>TOYE AL ILAH</v>
      </c>
      <c r="F47" s="16">
        <f t="shared" si="5"/>
        <v>2022711636</v>
      </c>
      <c r="G47" s="15" t="s">
        <v>374</v>
      </c>
      <c r="H47" s="30" t="s">
        <v>103</v>
      </c>
      <c r="I47" s="17" t="s">
        <v>470</v>
      </c>
      <c r="J47" s="18" t="s">
        <v>471</v>
      </c>
      <c r="K47" s="17" t="s">
        <v>116</v>
      </c>
      <c r="L47" s="19">
        <v>2.025409857E9</v>
      </c>
      <c r="M47" s="20" t="s">
        <v>39</v>
      </c>
      <c r="N47" s="21" t="s">
        <v>495</v>
      </c>
      <c r="O47" s="21" t="s">
        <v>496</v>
      </c>
      <c r="P47" s="21" t="s">
        <v>497</v>
      </c>
      <c r="Q47" s="21">
        <v>717.0</v>
      </c>
      <c r="R47" s="21">
        <v>20016.0</v>
      </c>
      <c r="S47" s="21" t="s">
        <v>59</v>
      </c>
      <c r="T47" s="29">
        <v>2.022711636E9</v>
      </c>
      <c r="U47" s="21">
        <v>2.0</v>
      </c>
      <c r="V47" s="21">
        <v>0.0</v>
      </c>
      <c r="W47" s="21">
        <f t="shared" si="4"/>
        <v>2</v>
      </c>
      <c r="X47" s="21" t="s">
        <v>46</v>
      </c>
      <c r="Y47" s="21" t="s">
        <v>85</v>
      </c>
      <c r="Z47" s="22" t="s">
        <v>61</v>
      </c>
      <c r="AA47" s="22" t="s">
        <v>498</v>
      </c>
      <c r="AB47" s="21" t="s">
        <v>49</v>
      </c>
      <c r="AC47" s="21">
        <v>12.0</v>
      </c>
      <c r="AD47" s="24"/>
      <c r="AE47" s="25"/>
      <c r="AF47" s="12"/>
      <c r="AG47" s="12"/>
      <c r="AH47" s="12"/>
      <c r="AI47" s="12"/>
      <c r="AJ47" s="12"/>
      <c r="AK47" s="12"/>
    </row>
    <row r="48">
      <c r="A48" s="13">
        <v>45435.523412696755</v>
      </c>
      <c r="B48" s="14">
        <f t="shared" si="1"/>
        <v>45435</v>
      </c>
      <c r="C48" s="15" t="s">
        <v>31</v>
      </c>
      <c r="D48" s="15" t="s">
        <v>499</v>
      </c>
      <c r="E48" s="15" t="str">
        <f t="shared" si="2"/>
        <v>Desando Murphy</v>
      </c>
      <c r="F48" s="16">
        <f t="shared" si="5"/>
        <v>2029075057</v>
      </c>
      <c r="G48" s="15" t="s">
        <v>500</v>
      </c>
      <c r="H48" s="30" t="s">
        <v>103</v>
      </c>
      <c r="I48" s="17" t="s">
        <v>263</v>
      </c>
      <c r="J48" s="18" t="s">
        <v>264</v>
      </c>
      <c r="K48" s="17" t="s">
        <v>116</v>
      </c>
      <c r="L48" s="19" t="s">
        <v>501</v>
      </c>
      <c r="M48" s="20" t="s">
        <v>39</v>
      </c>
      <c r="N48" s="21" t="s">
        <v>502</v>
      </c>
      <c r="O48" s="21" t="s">
        <v>503</v>
      </c>
      <c r="P48" s="21" t="s">
        <v>504</v>
      </c>
      <c r="Q48" s="21">
        <v>10.0</v>
      </c>
      <c r="R48" s="21">
        <v>20002.0</v>
      </c>
      <c r="S48" s="21" t="s">
        <v>74</v>
      </c>
      <c r="T48" s="29">
        <v>2.029075057E9</v>
      </c>
      <c r="U48" s="21">
        <v>2.0</v>
      </c>
      <c r="V48" s="21">
        <v>0.0</v>
      </c>
      <c r="W48" s="21">
        <f t="shared" si="4"/>
        <v>2</v>
      </c>
      <c r="X48" s="21" t="s">
        <v>46</v>
      </c>
      <c r="Y48" s="21" t="s">
        <v>47</v>
      </c>
      <c r="Z48" s="22" t="s">
        <v>76</v>
      </c>
      <c r="AA48" s="22" t="s">
        <v>505</v>
      </c>
      <c r="AB48" s="21" t="s">
        <v>49</v>
      </c>
      <c r="AC48" s="21">
        <v>12.0</v>
      </c>
      <c r="AD48" s="24"/>
      <c r="AE48" s="25"/>
      <c r="AF48" s="12"/>
      <c r="AG48" s="12"/>
      <c r="AH48" s="12"/>
      <c r="AI48" s="12"/>
      <c r="AJ48" s="12"/>
      <c r="AK48" s="12"/>
    </row>
    <row r="49">
      <c r="A49" s="13">
        <v>45436.576763958336</v>
      </c>
      <c r="B49" s="14">
        <f t="shared" si="1"/>
        <v>45436</v>
      </c>
      <c r="C49" s="15" t="s">
        <v>327</v>
      </c>
      <c r="D49" s="15" t="s">
        <v>506</v>
      </c>
      <c r="E49" s="15" t="str">
        <f t="shared" si="2"/>
        <v>CONNIE GUEVARA</v>
      </c>
      <c r="F49" s="16">
        <f t="shared" si="5"/>
        <v>2024255506</v>
      </c>
      <c r="G49" s="15" t="s">
        <v>374</v>
      </c>
      <c r="H49" s="30" t="s">
        <v>103</v>
      </c>
      <c r="I49" s="17" t="s">
        <v>470</v>
      </c>
      <c r="J49" s="18" t="s">
        <v>471</v>
      </c>
      <c r="K49" s="17" t="s">
        <v>116</v>
      </c>
      <c r="L49" s="19" t="s">
        <v>507</v>
      </c>
      <c r="M49" s="20" t="s">
        <v>39</v>
      </c>
      <c r="N49" s="21" t="s">
        <v>508</v>
      </c>
      <c r="O49" s="21" t="s">
        <v>509</v>
      </c>
      <c r="P49" s="21" t="s">
        <v>510</v>
      </c>
      <c r="Q49" s="28"/>
      <c r="R49" s="21">
        <v>20011.0</v>
      </c>
      <c r="S49" s="21" t="s">
        <v>59</v>
      </c>
      <c r="T49" s="29">
        <v>2.024255506E9</v>
      </c>
      <c r="U49" s="21">
        <v>1.0</v>
      </c>
      <c r="V49" s="21">
        <v>1.0</v>
      </c>
      <c r="W49" s="21">
        <f t="shared" si="4"/>
        <v>2</v>
      </c>
      <c r="X49" s="21" t="s">
        <v>46</v>
      </c>
      <c r="Y49" s="21" t="s">
        <v>85</v>
      </c>
      <c r="Z49" s="22" t="s">
        <v>511</v>
      </c>
      <c r="AA49" s="23"/>
      <c r="AB49" s="21" t="s">
        <v>49</v>
      </c>
      <c r="AC49" s="21">
        <v>12.0</v>
      </c>
      <c r="AD49" s="24"/>
      <c r="AE49" s="25"/>
      <c r="AF49" s="12"/>
      <c r="AG49" s="12"/>
      <c r="AH49" s="12"/>
      <c r="AI49" s="12"/>
      <c r="AJ49" s="12"/>
      <c r="AK49" s="12"/>
    </row>
    <row r="50">
      <c r="A50" s="13">
        <v>45440.48750909722</v>
      </c>
      <c r="B50" s="14">
        <f t="shared" si="1"/>
        <v>45440</v>
      </c>
      <c r="C50" s="15" t="s">
        <v>327</v>
      </c>
      <c r="D50" s="15" t="s">
        <v>440</v>
      </c>
      <c r="E50" s="15" t="str">
        <f t="shared" si="2"/>
        <v>Cordell Valentine</v>
      </c>
      <c r="F50" s="16">
        <f t="shared" si="5"/>
        <v>7712010933</v>
      </c>
      <c r="G50" s="15" t="s">
        <v>512</v>
      </c>
      <c r="H50" s="30" t="s">
        <v>34</v>
      </c>
      <c r="I50" s="17" t="s">
        <v>136</v>
      </c>
      <c r="J50" s="18" t="s">
        <v>137</v>
      </c>
      <c r="K50" s="17" t="s">
        <v>138</v>
      </c>
      <c r="L50" s="19">
        <v>7.028814251E9</v>
      </c>
      <c r="M50" s="20" t="s">
        <v>39</v>
      </c>
      <c r="N50" s="21" t="s">
        <v>513</v>
      </c>
      <c r="O50" s="21" t="s">
        <v>514</v>
      </c>
      <c r="P50" s="21" t="s">
        <v>515</v>
      </c>
      <c r="Q50" s="21">
        <v>304.0</v>
      </c>
      <c r="R50" s="21">
        <v>20002.0</v>
      </c>
      <c r="S50" s="21" t="s">
        <v>74</v>
      </c>
      <c r="T50" s="29">
        <v>7.712010933E9</v>
      </c>
      <c r="U50" s="21">
        <v>1.0</v>
      </c>
      <c r="V50" s="21">
        <v>0.0</v>
      </c>
      <c r="W50" s="21">
        <f t="shared" si="4"/>
        <v>1</v>
      </c>
      <c r="X50" s="21" t="s">
        <v>46</v>
      </c>
      <c r="Y50" s="21" t="s">
        <v>85</v>
      </c>
      <c r="Z50" s="22" t="s">
        <v>61</v>
      </c>
      <c r="AA50" s="22" t="s">
        <v>516</v>
      </c>
      <c r="AB50" s="21" t="s">
        <v>145</v>
      </c>
      <c r="AC50" s="21">
        <v>12.0</v>
      </c>
      <c r="AD50" s="24"/>
      <c r="AE50" s="25"/>
      <c r="AF50" s="12"/>
      <c r="AG50" s="12"/>
      <c r="AH50" s="12"/>
      <c r="AI50" s="12"/>
      <c r="AJ50" s="12"/>
      <c r="AK50" s="12"/>
    </row>
    <row r="51">
      <c r="A51" s="13">
        <v>45441.69033787037</v>
      </c>
      <c r="B51" s="14">
        <f t="shared" si="1"/>
        <v>45441</v>
      </c>
      <c r="C51" s="15" t="s">
        <v>327</v>
      </c>
      <c r="D51" s="15" t="s">
        <v>517</v>
      </c>
      <c r="E51" s="15" t="str">
        <f t="shared" si="2"/>
        <v>Cheryl Boykins</v>
      </c>
      <c r="F51" s="16">
        <f t="shared" si="5"/>
        <v>2027163760</v>
      </c>
      <c r="G51" s="15" t="s">
        <v>518</v>
      </c>
      <c r="H51" s="30" t="s">
        <v>103</v>
      </c>
      <c r="I51" s="17" t="s">
        <v>170</v>
      </c>
      <c r="J51" s="31" t="s">
        <v>171</v>
      </c>
      <c r="K51" s="17" t="s">
        <v>367</v>
      </c>
      <c r="L51" s="19" t="s">
        <v>519</v>
      </c>
      <c r="M51" s="20" t="s">
        <v>39</v>
      </c>
      <c r="N51" s="21" t="s">
        <v>520</v>
      </c>
      <c r="O51" s="21" t="s">
        <v>521</v>
      </c>
      <c r="P51" s="21" t="s">
        <v>522</v>
      </c>
      <c r="Q51" s="21" t="s">
        <v>523</v>
      </c>
      <c r="R51" s="21">
        <v>20020.0</v>
      </c>
      <c r="S51" s="21" t="s">
        <v>44</v>
      </c>
      <c r="T51" s="35">
        <v>2.02716376E9</v>
      </c>
      <c r="U51" s="21">
        <v>1.0</v>
      </c>
      <c r="V51" s="21">
        <v>0.0</v>
      </c>
      <c r="W51" s="21">
        <f t="shared" si="4"/>
        <v>1</v>
      </c>
      <c r="X51" s="21" t="s">
        <v>46</v>
      </c>
      <c r="Y51" s="21" t="s">
        <v>47</v>
      </c>
      <c r="Z51" s="22" t="s">
        <v>524</v>
      </c>
      <c r="AA51" s="22" t="s">
        <v>525</v>
      </c>
      <c r="AB51" s="21" t="s">
        <v>49</v>
      </c>
      <c r="AC51" s="21">
        <v>4.0</v>
      </c>
      <c r="AD51" s="24"/>
      <c r="AE51" s="25"/>
      <c r="AF51" s="12"/>
      <c r="AG51" s="12"/>
      <c r="AH51" s="12"/>
      <c r="AI51" s="12"/>
      <c r="AJ51" s="12"/>
      <c r="AK51" s="12"/>
    </row>
    <row r="52">
      <c r="A52" s="36">
        <v>45722.0</v>
      </c>
      <c r="B52" s="14">
        <f t="shared" si="1"/>
        <v>45722</v>
      </c>
      <c r="C52" s="15" t="s">
        <v>327</v>
      </c>
      <c r="D52" s="15" t="s">
        <v>526</v>
      </c>
      <c r="E52" s="15" t="str">
        <f t="shared" si="2"/>
        <v>Yvette Hawkins</v>
      </c>
      <c r="F52" s="16">
        <f t="shared" si="5"/>
        <v>2024250238</v>
      </c>
      <c r="G52" s="15" t="s">
        <v>527</v>
      </c>
      <c r="H52" s="30" t="s">
        <v>103</v>
      </c>
      <c r="I52" s="17" t="s">
        <v>528</v>
      </c>
      <c r="J52" s="18" t="s">
        <v>529</v>
      </c>
      <c r="K52" s="17" t="s">
        <v>530</v>
      </c>
      <c r="L52" s="19">
        <v>2.029781214E9</v>
      </c>
      <c r="M52" s="20" t="s">
        <v>39</v>
      </c>
      <c r="N52" s="21" t="s">
        <v>531</v>
      </c>
      <c r="O52" s="21" t="s">
        <v>532</v>
      </c>
      <c r="P52" s="21" t="s">
        <v>533</v>
      </c>
      <c r="Q52" s="21">
        <v>101.0</v>
      </c>
      <c r="R52" s="21">
        <v>20032.0</v>
      </c>
      <c r="S52" s="21" t="s">
        <v>44</v>
      </c>
      <c r="T52" s="29">
        <v>2.024250238E9</v>
      </c>
      <c r="U52" s="21">
        <v>1.0</v>
      </c>
      <c r="V52" s="21">
        <v>0.0</v>
      </c>
      <c r="W52" s="21">
        <f t="shared" si="4"/>
        <v>1</v>
      </c>
      <c r="X52" s="21" t="s">
        <v>46</v>
      </c>
      <c r="Y52" s="21" t="s">
        <v>85</v>
      </c>
      <c r="Z52" s="22" t="s">
        <v>166</v>
      </c>
      <c r="AA52" s="23"/>
      <c r="AB52" s="21" t="s">
        <v>145</v>
      </c>
      <c r="AC52" s="21">
        <v>12.0</v>
      </c>
      <c r="AD52" s="24"/>
      <c r="AE52" s="25"/>
      <c r="AF52" s="12"/>
      <c r="AG52" s="12"/>
      <c r="AH52" s="12"/>
      <c r="AI52" s="12"/>
      <c r="AJ52" s="12"/>
      <c r="AK52" s="12"/>
    </row>
    <row r="53">
      <c r="A53" s="13">
        <v>45442.55652814815</v>
      </c>
      <c r="B53" s="14">
        <f t="shared" si="1"/>
        <v>45442</v>
      </c>
      <c r="C53" s="15" t="s">
        <v>31</v>
      </c>
      <c r="D53" s="15" t="s">
        <v>534</v>
      </c>
      <c r="E53" s="15" t="str">
        <f t="shared" si="2"/>
        <v>Josephine Williams</v>
      </c>
      <c r="F53" s="16">
        <f t="shared" si="5"/>
        <v>2023670147</v>
      </c>
      <c r="G53" s="15" t="s">
        <v>535</v>
      </c>
      <c r="H53" s="30" t="s">
        <v>103</v>
      </c>
      <c r="I53" s="17" t="s">
        <v>528</v>
      </c>
      <c r="J53" s="18" t="s">
        <v>529</v>
      </c>
      <c r="K53" s="17" t="s">
        <v>530</v>
      </c>
      <c r="L53" s="19">
        <v>2.029781214E9</v>
      </c>
      <c r="M53" s="20" t="s">
        <v>39</v>
      </c>
      <c r="N53" s="21" t="s">
        <v>536</v>
      </c>
      <c r="O53" s="21" t="s">
        <v>537</v>
      </c>
      <c r="P53" s="21" t="s">
        <v>538</v>
      </c>
      <c r="Q53" s="28"/>
      <c r="R53" s="21">
        <v>20019.0</v>
      </c>
      <c r="S53" s="21" t="s">
        <v>74</v>
      </c>
      <c r="T53" s="29">
        <v>2.023670147E9</v>
      </c>
      <c r="U53" s="21">
        <v>2.0</v>
      </c>
      <c r="V53" s="21">
        <v>0.0</v>
      </c>
      <c r="W53" s="21">
        <f t="shared" si="4"/>
        <v>2</v>
      </c>
      <c r="X53" s="21" t="s">
        <v>46</v>
      </c>
      <c r="Y53" s="21" t="s">
        <v>47</v>
      </c>
      <c r="Z53" s="22" t="s">
        <v>48</v>
      </c>
      <c r="AA53" s="23"/>
      <c r="AB53" s="21" t="s">
        <v>145</v>
      </c>
      <c r="AC53" s="21">
        <v>12.0</v>
      </c>
      <c r="AD53" s="24"/>
      <c r="AE53" s="25"/>
    </row>
    <row r="54">
      <c r="A54" s="13">
        <v>45443.56168238426</v>
      </c>
      <c r="B54" s="14">
        <f t="shared" si="1"/>
        <v>45443</v>
      </c>
      <c r="C54" s="15" t="s">
        <v>327</v>
      </c>
      <c r="D54" s="15" t="s">
        <v>539</v>
      </c>
      <c r="E54" s="15" t="str">
        <f t="shared" si="2"/>
        <v>Randrica Bowman</v>
      </c>
      <c r="F54" s="16">
        <f t="shared" si="5"/>
        <v>7712006882</v>
      </c>
      <c r="G54" s="15" t="s">
        <v>540</v>
      </c>
      <c r="H54" s="30" t="s">
        <v>103</v>
      </c>
      <c r="I54" s="17" t="s">
        <v>541</v>
      </c>
      <c r="J54" s="18" t="s">
        <v>542</v>
      </c>
      <c r="K54" s="17" t="s">
        <v>543</v>
      </c>
      <c r="L54" s="19" t="s">
        <v>544</v>
      </c>
      <c r="M54" s="20" t="s">
        <v>39</v>
      </c>
      <c r="N54" s="21" t="s">
        <v>545</v>
      </c>
      <c r="O54" s="21" t="s">
        <v>546</v>
      </c>
      <c r="P54" s="21" t="s">
        <v>547</v>
      </c>
      <c r="Q54" s="21">
        <v>301.0</v>
      </c>
      <c r="R54" s="21">
        <v>20032.0</v>
      </c>
      <c r="S54" s="21" t="s">
        <v>44</v>
      </c>
      <c r="T54" s="29">
        <v>7.712006882E9</v>
      </c>
      <c r="U54" s="21">
        <v>1.0</v>
      </c>
      <c r="V54" s="21">
        <v>3.0</v>
      </c>
      <c r="W54" s="21">
        <f t="shared" si="4"/>
        <v>4</v>
      </c>
      <c r="X54" s="21" t="s">
        <v>46</v>
      </c>
      <c r="Y54" s="21" t="s">
        <v>85</v>
      </c>
      <c r="Z54" s="22" t="s">
        <v>437</v>
      </c>
      <c r="AA54" s="23"/>
      <c r="AB54" s="21" t="s">
        <v>145</v>
      </c>
      <c r="AC54" s="21">
        <v>12.0</v>
      </c>
      <c r="AD54" s="24"/>
      <c r="AE54" s="25"/>
      <c r="AF54" s="12"/>
      <c r="AG54" s="12"/>
      <c r="AH54" s="12"/>
      <c r="AI54" s="12"/>
      <c r="AJ54" s="12"/>
      <c r="AK54" s="12"/>
    </row>
    <row r="55">
      <c r="A55" s="13">
        <v>45446.02244127315</v>
      </c>
      <c r="B55" s="14">
        <f t="shared" si="1"/>
        <v>45446</v>
      </c>
      <c r="C55" s="15" t="s">
        <v>327</v>
      </c>
      <c r="D55" s="15" t="s">
        <v>548</v>
      </c>
      <c r="E55" s="15" t="str">
        <f t="shared" si="2"/>
        <v>John FERRELL</v>
      </c>
      <c r="F55" s="16">
        <f t="shared" si="5"/>
        <v>2026029360</v>
      </c>
      <c r="G55" s="15" t="s">
        <v>549</v>
      </c>
      <c r="H55" s="30" t="s">
        <v>356</v>
      </c>
      <c r="I55" s="17" t="s">
        <v>550</v>
      </c>
      <c r="J55" s="18" t="s">
        <v>551</v>
      </c>
      <c r="K55" s="17" t="s">
        <v>552</v>
      </c>
      <c r="L55" s="19">
        <v>2.027259375E9</v>
      </c>
      <c r="M55" s="20" t="s">
        <v>39</v>
      </c>
      <c r="N55" s="21" t="s">
        <v>553</v>
      </c>
      <c r="O55" s="21" t="s">
        <v>554</v>
      </c>
      <c r="P55" s="21" t="s">
        <v>555</v>
      </c>
      <c r="Q55" s="21" t="s">
        <v>360</v>
      </c>
      <c r="R55" s="21">
        <v>20019.0</v>
      </c>
      <c r="S55" s="21" t="s">
        <v>44</v>
      </c>
      <c r="T55" s="29">
        <v>2.02602936E9</v>
      </c>
      <c r="U55" s="21">
        <v>4.0</v>
      </c>
      <c r="V55" s="21">
        <v>3.0</v>
      </c>
      <c r="W55" s="21">
        <f t="shared" si="4"/>
        <v>7</v>
      </c>
      <c r="X55" s="21" t="s">
        <v>46</v>
      </c>
      <c r="Y55" s="21" t="s">
        <v>85</v>
      </c>
      <c r="Z55" s="22" t="s">
        <v>166</v>
      </c>
      <c r="AA55" s="22" t="s">
        <v>556</v>
      </c>
      <c r="AB55" s="21" t="s">
        <v>145</v>
      </c>
      <c r="AC55" s="21">
        <v>12.0</v>
      </c>
      <c r="AD55" s="24"/>
      <c r="AE55" s="25"/>
      <c r="AF55" s="12"/>
      <c r="AG55" s="12"/>
      <c r="AH55" s="12"/>
      <c r="AI55" s="12"/>
      <c r="AJ55" s="12"/>
      <c r="AK55" s="12"/>
    </row>
    <row r="56">
      <c r="A56" s="13">
        <v>45446.02660880787</v>
      </c>
      <c r="B56" s="14">
        <f t="shared" si="1"/>
        <v>45446</v>
      </c>
      <c r="C56" s="15" t="s">
        <v>557</v>
      </c>
      <c r="D56" s="15" t="s">
        <v>558</v>
      </c>
      <c r="E56" s="15" t="str">
        <f t="shared" si="2"/>
        <v>Keshia STRONG</v>
      </c>
      <c r="F56" s="16">
        <f t="shared" si="5"/>
        <v>4438984414</v>
      </c>
      <c r="G56" s="15" t="s">
        <v>374</v>
      </c>
      <c r="H56" s="30" t="s">
        <v>34</v>
      </c>
      <c r="I56" s="17" t="s">
        <v>550</v>
      </c>
      <c r="J56" s="18" t="s">
        <v>551</v>
      </c>
      <c r="K56" s="17" t="s">
        <v>552</v>
      </c>
      <c r="L56" s="19">
        <v>2.027259375E9</v>
      </c>
      <c r="M56" s="20" t="s">
        <v>39</v>
      </c>
      <c r="N56" s="21" t="s">
        <v>559</v>
      </c>
      <c r="O56" s="21" t="s">
        <v>560</v>
      </c>
      <c r="P56" s="21" t="s">
        <v>561</v>
      </c>
      <c r="Q56" s="21" t="s">
        <v>291</v>
      </c>
      <c r="R56" s="21">
        <v>20032.0</v>
      </c>
      <c r="S56" s="21" t="s">
        <v>562</v>
      </c>
      <c r="T56" s="29">
        <v>4.438984414E9</v>
      </c>
      <c r="U56" s="21">
        <v>2.0</v>
      </c>
      <c r="V56" s="21">
        <v>1.0</v>
      </c>
      <c r="W56" s="21">
        <f t="shared" si="4"/>
        <v>3</v>
      </c>
      <c r="X56" s="21" t="s">
        <v>46</v>
      </c>
      <c r="Y56" s="21" t="s">
        <v>85</v>
      </c>
      <c r="Z56" s="22" t="s">
        <v>166</v>
      </c>
      <c r="AA56" s="22" t="s">
        <v>563</v>
      </c>
      <c r="AB56" s="21" t="s">
        <v>49</v>
      </c>
      <c r="AC56" s="21">
        <v>12.0</v>
      </c>
      <c r="AD56" s="24"/>
      <c r="AE56" s="25"/>
      <c r="AF56" s="12"/>
      <c r="AG56" s="12"/>
      <c r="AH56" s="12"/>
      <c r="AI56" s="12"/>
      <c r="AJ56" s="12"/>
      <c r="AK56" s="12"/>
    </row>
    <row r="57">
      <c r="A57" s="13">
        <v>45446.03034753472</v>
      </c>
      <c r="B57" s="14">
        <f t="shared" si="1"/>
        <v>45446</v>
      </c>
      <c r="C57" s="15" t="s">
        <v>557</v>
      </c>
      <c r="D57" s="15" t="s">
        <v>564</v>
      </c>
      <c r="E57" s="15" t="str">
        <f t="shared" si="2"/>
        <v>Quanisha Talbert</v>
      </c>
      <c r="F57" s="16">
        <f t="shared" si="5"/>
        <v>2028945029</v>
      </c>
      <c r="G57" s="15" t="s">
        <v>565</v>
      </c>
      <c r="H57" s="30" t="s">
        <v>34</v>
      </c>
      <c r="I57" s="17" t="s">
        <v>550</v>
      </c>
      <c r="J57" s="18" t="s">
        <v>551</v>
      </c>
      <c r="K57" s="17" t="s">
        <v>552</v>
      </c>
      <c r="L57" s="19">
        <v>2.027259375E9</v>
      </c>
      <c r="M57" s="20" t="s">
        <v>39</v>
      </c>
      <c r="N57" s="21" t="s">
        <v>566</v>
      </c>
      <c r="O57" s="21" t="s">
        <v>567</v>
      </c>
      <c r="P57" s="21" t="s">
        <v>568</v>
      </c>
      <c r="Q57" s="21" t="s">
        <v>569</v>
      </c>
      <c r="R57" s="21">
        <v>20032.0</v>
      </c>
      <c r="S57" s="21" t="s">
        <v>44</v>
      </c>
      <c r="T57" s="29">
        <v>2.028945029E9</v>
      </c>
      <c r="U57" s="21">
        <v>1.0</v>
      </c>
      <c r="V57" s="21">
        <v>2.0</v>
      </c>
      <c r="W57" s="21">
        <f t="shared" si="4"/>
        <v>3</v>
      </c>
      <c r="X57" s="21" t="s">
        <v>46</v>
      </c>
      <c r="Y57" s="21" t="s">
        <v>85</v>
      </c>
      <c r="Z57" s="22" t="s">
        <v>570</v>
      </c>
      <c r="AA57" s="22" t="s">
        <v>571</v>
      </c>
      <c r="AB57" s="21" t="s">
        <v>145</v>
      </c>
      <c r="AC57" s="21">
        <v>12.0</v>
      </c>
      <c r="AD57" s="24"/>
      <c r="AE57" s="25"/>
      <c r="AF57" s="12"/>
      <c r="AG57" s="12"/>
      <c r="AH57" s="12"/>
      <c r="AI57" s="12"/>
      <c r="AJ57" s="12"/>
      <c r="AK57" s="12"/>
    </row>
    <row r="58">
      <c r="A58" s="13">
        <v>45447.40718966435</v>
      </c>
      <c r="B58" s="14">
        <f t="shared" si="1"/>
        <v>45447</v>
      </c>
      <c r="C58" s="15" t="s">
        <v>327</v>
      </c>
      <c r="D58" s="15" t="s">
        <v>572</v>
      </c>
      <c r="E58" s="15" t="str">
        <f t="shared" si="2"/>
        <v>Jessica Catolico Becerra</v>
      </c>
      <c r="F58" s="16">
        <f t="shared" si="5"/>
        <v>2024159941</v>
      </c>
      <c r="G58" s="15" t="s">
        <v>573</v>
      </c>
      <c r="H58" s="30" t="s">
        <v>356</v>
      </c>
      <c r="I58" s="17" t="s">
        <v>574</v>
      </c>
      <c r="J58" s="18" t="s">
        <v>575</v>
      </c>
      <c r="K58" s="17" t="s">
        <v>116</v>
      </c>
      <c r="L58" s="19">
        <v>2.029841687E9</v>
      </c>
      <c r="M58" s="20" t="s">
        <v>39</v>
      </c>
      <c r="N58" s="21" t="s">
        <v>576</v>
      </c>
      <c r="O58" s="21" t="s">
        <v>577</v>
      </c>
      <c r="P58" s="21" t="s">
        <v>578</v>
      </c>
      <c r="Q58" s="21" t="s">
        <v>579</v>
      </c>
      <c r="R58" s="21">
        <v>20018.0</v>
      </c>
      <c r="S58" s="21" t="s">
        <v>74</v>
      </c>
      <c r="T58" s="29">
        <v>2.024159941E9</v>
      </c>
      <c r="U58" s="21">
        <v>1.0</v>
      </c>
      <c r="V58" s="21">
        <v>1.0</v>
      </c>
      <c r="W58" s="21">
        <f t="shared" si="4"/>
        <v>2</v>
      </c>
      <c r="X58" s="21" t="s">
        <v>46</v>
      </c>
      <c r="Y58" s="21" t="s">
        <v>85</v>
      </c>
      <c r="Z58" s="22" t="s">
        <v>580</v>
      </c>
      <c r="AA58" s="22" t="s">
        <v>581</v>
      </c>
      <c r="AB58" s="21" t="s">
        <v>145</v>
      </c>
      <c r="AC58" s="21">
        <v>6.0</v>
      </c>
      <c r="AD58" s="24"/>
      <c r="AE58" s="25"/>
      <c r="AF58" s="12"/>
      <c r="AG58" s="12"/>
      <c r="AH58" s="12"/>
      <c r="AI58" s="12"/>
      <c r="AJ58" s="12"/>
      <c r="AK58" s="12"/>
    </row>
    <row r="59">
      <c r="A59" s="13">
        <v>45448.604293067125</v>
      </c>
      <c r="B59" s="14">
        <f t="shared" si="1"/>
        <v>45448</v>
      </c>
      <c r="C59" s="15" t="s">
        <v>327</v>
      </c>
      <c r="D59" s="15" t="s">
        <v>582</v>
      </c>
      <c r="E59" s="15" t="str">
        <f t="shared" si="2"/>
        <v>Deanna Morgan</v>
      </c>
      <c r="F59" s="16" t="str">
        <f t="shared" si="5"/>
        <v>(202)510-3936</v>
      </c>
      <c r="G59" s="16" t="s">
        <v>583</v>
      </c>
      <c r="H59" s="30" t="s">
        <v>103</v>
      </c>
      <c r="I59" s="17" t="s">
        <v>584</v>
      </c>
      <c r="J59" s="18" t="s">
        <v>585</v>
      </c>
      <c r="K59" s="17" t="s">
        <v>586</v>
      </c>
      <c r="L59" s="19" t="s">
        <v>587</v>
      </c>
      <c r="M59" s="20" t="s">
        <v>39</v>
      </c>
      <c r="N59" s="21" t="s">
        <v>588</v>
      </c>
      <c r="O59" s="21" t="s">
        <v>589</v>
      </c>
      <c r="P59" s="21" t="s">
        <v>590</v>
      </c>
      <c r="Q59" s="21">
        <v>200.0</v>
      </c>
      <c r="R59" s="21">
        <v>20002.0</v>
      </c>
      <c r="S59" s="21" t="s">
        <v>74</v>
      </c>
      <c r="T59" s="29" t="s">
        <v>591</v>
      </c>
      <c r="U59" s="21">
        <v>2.0</v>
      </c>
      <c r="V59" s="21">
        <v>0.0</v>
      </c>
      <c r="W59" s="21">
        <f t="shared" si="4"/>
        <v>2</v>
      </c>
      <c r="X59" s="21" t="s">
        <v>46</v>
      </c>
      <c r="Y59" s="21" t="s">
        <v>47</v>
      </c>
      <c r="Z59" s="22" t="s">
        <v>592</v>
      </c>
      <c r="AA59" s="22" t="s">
        <v>593</v>
      </c>
      <c r="AB59" s="21" t="s">
        <v>49</v>
      </c>
      <c r="AC59" s="21">
        <v>12.0</v>
      </c>
      <c r="AD59" s="24"/>
      <c r="AE59" s="25"/>
      <c r="AF59" s="12"/>
      <c r="AG59" s="12"/>
      <c r="AH59" s="12"/>
      <c r="AI59" s="12"/>
      <c r="AJ59" s="12"/>
      <c r="AK59" s="12"/>
    </row>
    <row r="60">
      <c r="A60" s="13">
        <v>45448.88752243055</v>
      </c>
      <c r="B60" s="14">
        <f t="shared" si="1"/>
        <v>45448</v>
      </c>
      <c r="C60" s="15" t="s">
        <v>327</v>
      </c>
      <c r="D60" s="15" t="s">
        <v>594</v>
      </c>
      <c r="E60" s="15" t="str">
        <f t="shared" si="2"/>
        <v>Dorothy Lynn</v>
      </c>
      <c r="F60" s="16" t="str">
        <f t="shared" si="5"/>
        <v>(202) 644-6374</v>
      </c>
      <c r="G60" s="15" t="s">
        <v>595</v>
      </c>
      <c r="H60" s="30" t="s">
        <v>103</v>
      </c>
      <c r="I60" s="17" t="s">
        <v>596</v>
      </c>
      <c r="J60" s="18" t="s">
        <v>597</v>
      </c>
      <c r="K60" s="17" t="s">
        <v>287</v>
      </c>
      <c r="L60" s="19" t="s">
        <v>598</v>
      </c>
      <c r="M60" s="20" t="s">
        <v>39</v>
      </c>
      <c r="N60" s="21" t="s">
        <v>599</v>
      </c>
      <c r="O60" s="21" t="s">
        <v>600</v>
      </c>
      <c r="P60" s="21" t="s">
        <v>601</v>
      </c>
      <c r="Q60" s="28"/>
      <c r="R60" s="21">
        <v>20019.0</v>
      </c>
      <c r="S60" s="21" t="s">
        <v>44</v>
      </c>
      <c r="T60" s="29" t="s">
        <v>602</v>
      </c>
      <c r="U60" s="21">
        <v>3.0</v>
      </c>
      <c r="V60" s="21">
        <v>2.0</v>
      </c>
      <c r="W60" s="21">
        <f t="shared" si="4"/>
        <v>5</v>
      </c>
      <c r="X60" s="21" t="s">
        <v>46</v>
      </c>
      <c r="Y60" s="21" t="s">
        <v>47</v>
      </c>
      <c r="Z60" s="22" t="s">
        <v>61</v>
      </c>
      <c r="AA60" s="22" t="s">
        <v>603</v>
      </c>
      <c r="AB60" s="21" t="s">
        <v>63</v>
      </c>
      <c r="AC60" s="21">
        <v>1.0</v>
      </c>
      <c r="AD60" s="24"/>
      <c r="AE60" s="25"/>
      <c r="AF60" s="12"/>
      <c r="AG60" s="12"/>
      <c r="AH60" s="12"/>
      <c r="AI60" s="12"/>
      <c r="AJ60" s="12"/>
      <c r="AK60" s="12"/>
    </row>
    <row r="61">
      <c r="A61" s="13">
        <v>45449.43128635417</v>
      </c>
      <c r="B61" s="14">
        <f t="shared" si="1"/>
        <v>45449</v>
      </c>
      <c r="C61" s="15" t="s">
        <v>327</v>
      </c>
      <c r="D61" s="15" t="s">
        <v>604</v>
      </c>
      <c r="E61" s="15" t="str">
        <f t="shared" si="2"/>
        <v>Annette Jackson</v>
      </c>
      <c r="F61" s="16">
        <f t="shared" si="5"/>
        <v>2027048612</v>
      </c>
      <c r="G61" s="15" t="s">
        <v>605</v>
      </c>
      <c r="H61" s="30" t="s">
        <v>103</v>
      </c>
      <c r="I61" s="17" t="s">
        <v>606</v>
      </c>
      <c r="J61" s="18" t="s">
        <v>337</v>
      </c>
      <c r="K61" s="17" t="s">
        <v>607</v>
      </c>
      <c r="L61" s="19" t="s">
        <v>608</v>
      </c>
      <c r="M61" s="20" t="s">
        <v>39</v>
      </c>
      <c r="N61" s="21" t="s">
        <v>609</v>
      </c>
      <c r="O61" s="21" t="s">
        <v>610</v>
      </c>
      <c r="P61" s="21" t="s">
        <v>611</v>
      </c>
      <c r="Q61" s="21" t="s">
        <v>612</v>
      </c>
      <c r="R61" s="21">
        <v>20018.0</v>
      </c>
      <c r="S61" s="21" t="s">
        <v>74</v>
      </c>
      <c r="T61" s="29">
        <v>2.027048612E9</v>
      </c>
      <c r="U61" s="21">
        <v>1.0</v>
      </c>
      <c r="V61" s="21">
        <v>0.0</v>
      </c>
      <c r="W61" s="21">
        <f t="shared" si="4"/>
        <v>1</v>
      </c>
      <c r="X61" s="21" t="s">
        <v>46</v>
      </c>
      <c r="Y61" s="21" t="s">
        <v>47</v>
      </c>
      <c r="Z61" s="22" t="s">
        <v>61</v>
      </c>
      <c r="AA61" s="22" t="s">
        <v>613</v>
      </c>
      <c r="AB61" s="21" t="s">
        <v>63</v>
      </c>
      <c r="AC61" s="21" t="s">
        <v>614</v>
      </c>
      <c r="AD61" s="24"/>
      <c r="AE61" s="25"/>
      <c r="AF61" s="12"/>
      <c r="AG61" s="12"/>
      <c r="AH61" s="12"/>
      <c r="AI61" s="12"/>
      <c r="AJ61" s="12"/>
      <c r="AK61" s="12"/>
    </row>
    <row r="62">
      <c r="A62" s="13">
        <v>45449.476670868054</v>
      </c>
      <c r="B62" s="14">
        <f t="shared" si="1"/>
        <v>45449</v>
      </c>
      <c r="C62" s="15" t="s">
        <v>327</v>
      </c>
      <c r="D62" s="15" t="s">
        <v>615</v>
      </c>
      <c r="E62" s="15" t="str">
        <f t="shared" si="2"/>
        <v>Jeanette Miller</v>
      </c>
      <c r="F62" s="16">
        <f t="shared" si="5"/>
        <v>2028561763</v>
      </c>
      <c r="G62" s="15" t="s">
        <v>595</v>
      </c>
      <c r="H62" s="30" t="s">
        <v>103</v>
      </c>
      <c r="I62" s="17" t="s">
        <v>541</v>
      </c>
      <c r="J62" s="18" t="s">
        <v>542</v>
      </c>
      <c r="K62" s="17" t="s">
        <v>160</v>
      </c>
      <c r="L62" s="19">
        <v>2.023500938E9</v>
      </c>
      <c r="M62" s="20" t="s">
        <v>39</v>
      </c>
      <c r="N62" s="21" t="s">
        <v>616</v>
      </c>
      <c r="O62" s="21" t="s">
        <v>617</v>
      </c>
      <c r="P62" s="21" t="s">
        <v>618</v>
      </c>
      <c r="Q62" s="21">
        <v>305.0</v>
      </c>
      <c r="R62" s="21">
        <v>20009.0</v>
      </c>
      <c r="S62" s="21" t="s">
        <v>59</v>
      </c>
      <c r="T62" s="29">
        <v>2.028561763E9</v>
      </c>
      <c r="U62" s="21">
        <v>1.0</v>
      </c>
      <c r="V62" s="21">
        <v>0.0</v>
      </c>
      <c r="W62" s="21">
        <f t="shared" si="4"/>
        <v>1</v>
      </c>
      <c r="X62" s="21" t="s">
        <v>46</v>
      </c>
      <c r="Y62" s="21" t="s">
        <v>47</v>
      </c>
      <c r="Z62" s="22" t="s">
        <v>458</v>
      </c>
      <c r="AA62" s="23"/>
      <c r="AB62" s="21" t="s">
        <v>145</v>
      </c>
      <c r="AC62" s="21">
        <v>12.0</v>
      </c>
      <c r="AD62" s="24"/>
      <c r="AE62" s="25"/>
      <c r="AF62" s="12"/>
      <c r="AG62" s="12"/>
      <c r="AH62" s="12"/>
      <c r="AI62" s="12"/>
      <c r="AJ62" s="12"/>
      <c r="AK62" s="12"/>
    </row>
    <row r="63">
      <c r="A63" s="13">
        <v>45449.66652135417</v>
      </c>
      <c r="B63" s="14">
        <f t="shared" si="1"/>
        <v>45449</v>
      </c>
      <c r="C63" s="15" t="s">
        <v>327</v>
      </c>
      <c r="D63" s="15" t="s">
        <v>619</v>
      </c>
      <c r="E63" s="15" t="str">
        <f t="shared" si="2"/>
        <v>Dannie Green</v>
      </c>
      <c r="F63" s="16">
        <f t="shared" si="5"/>
        <v>2024227823</v>
      </c>
      <c r="G63" s="15" t="s">
        <v>595</v>
      </c>
      <c r="H63" s="30" t="s">
        <v>103</v>
      </c>
      <c r="I63" s="17" t="s">
        <v>620</v>
      </c>
      <c r="J63" s="18" t="s">
        <v>621</v>
      </c>
      <c r="K63" s="17" t="s">
        <v>622</v>
      </c>
      <c r="L63" s="19">
        <v>2.024602675E9</v>
      </c>
      <c r="M63" s="20" t="s">
        <v>39</v>
      </c>
      <c r="N63" s="21" t="s">
        <v>623</v>
      </c>
      <c r="O63" s="21" t="s">
        <v>624</v>
      </c>
      <c r="P63" s="21" t="s">
        <v>625</v>
      </c>
      <c r="Q63" s="21">
        <v>221.0</v>
      </c>
      <c r="R63" s="21">
        <v>20019.0</v>
      </c>
      <c r="S63" s="21" t="s">
        <v>74</v>
      </c>
      <c r="T63" s="29">
        <v>2.024227823E9</v>
      </c>
      <c r="U63" s="21">
        <v>4.0</v>
      </c>
      <c r="V63" s="21">
        <v>1.0</v>
      </c>
      <c r="W63" s="21">
        <f t="shared" si="4"/>
        <v>5</v>
      </c>
      <c r="X63" s="21" t="s">
        <v>46</v>
      </c>
      <c r="Y63" s="21" t="s">
        <v>47</v>
      </c>
      <c r="Z63" s="22" t="s">
        <v>187</v>
      </c>
      <c r="AA63" s="22" t="s">
        <v>626</v>
      </c>
      <c r="AB63" s="21" t="s">
        <v>145</v>
      </c>
      <c r="AC63" s="21">
        <v>12.0</v>
      </c>
      <c r="AD63" s="24"/>
      <c r="AE63" s="25"/>
    </row>
    <row r="64">
      <c r="A64" s="13">
        <v>45453.62902458334</v>
      </c>
      <c r="B64" s="14">
        <f t="shared" si="1"/>
        <v>45453</v>
      </c>
      <c r="C64" s="15" t="s">
        <v>31</v>
      </c>
      <c r="D64" s="15" t="s">
        <v>627</v>
      </c>
      <c r="E64" s="15" t="str">
        <f t="shared" si="2"/>
        <v>Keara McLeod</v>
      </c>
      <c r="F64" s="16">
        <f t="shared" si="5"/>
        <v>2029098392</v>
      </c>
      <c r="G64" s="15" t="s">
        <v>628</v>
      </c>
      <c r="H64" s="30" t="s">
        <v>66</v>
      </c>
      <c r="I64" s="17" t="s">
        <v>629</v>
      </c>
      <c r="J64" s="18" t="s">
        <v>630</v>
      </c>
      <c r="K64" s="17" t="s">
        <v>631</v>
      </c>
      <c r="L64" s="19">
        <v>2.0239773E9</v>
      </c>
      <c r="M64" s="20" t="s">
        <v>39</v>
      </c>
      <c r="N64" s="21" t="s">
        <v>632</v>
      </c>
      <c r="O64" s="21" t="s">
        <v>633</v>
      </c>
      <c r="P64" s="21" t="s">
        <v>634</v>
      </c>
      <c r="Q64" s="21">
        <v>2.0</v>
      </c>
      <c r="R64" s="21">
        <v>20019.0</v>
      </c>
      <c r="S64" s="21" t="s">
        <v>44</v>
      </c>
      <c r="T64" s="29">
        <v>2.029098392E9</v>
      </c>
      <c r="U64" s="21">
        <v>1.0</v>
      </c>
      <c r="V64" s="21">
        <v>4.0</v>
      </c>
      <c r="W64" s="21">
        <f t="shared" si="4"/>
        <v>5</v>
      </c>
      <c r="X64" s="21" t="s">
        <v>46</v>
      </c>
      <c r="Y64" s="21" t="s">
        <v>85</v>
      </c>
      <c r="Z64" s="22" t="s">
        <v>437</v>
      </c>
      <c r="AA64" s="22" t="s">
        <v>635</v>
      </c>
      <c r="AB64" s="21" t="s">
        <v>145</v>
      </c>
      <c r="AC64" s="21">
        <v>3.0</v>
      </c>
      <c r="AD64" s="24"/>
      <c r="AE64" s="25"/>
      <c r="AF64" s="12"/>
      <c r="AG64" s="12"/>
      <c r="AH64" s="12"/>
      <c r="AI64" s="12"/>
      <c r="AJ64" s="12"/>
      <c r="AK64" s="12"/>
    </row>
    <row r="65">
      <c r="A65" s="13">
        <v>45455.00591461806</v>
      </c>
      <c r="B65" s="14">
        <f t="shared" si="1"/>
        <v>45455</v>
      </c>
      <c r="C65" s="15" t="s">
        <v>327</v>
      </c>
      <c r="D65" s="15" t="s">
        <v>636</v>
      </c>
      <c r="E65" s="15" t="str">
        <f t="shared" si="2"/>
        <v>Chrystal Wanzer</v>
      </c>
      <c r="F65" s="16">
        <f t="shared" si="5"/>
        <v>2404621736</v>
      </c>
      <c r="G65" s="15" t="s">
        <v>637</v>
      </c>
      <c r="H65" s="30" t="s">
        <v>103</v>
      </c>
      <c r="I65" s="17" t="s">
        <v>620</v>
      </c>
      <c r="J65" s="18" t="s">
        <v>621</v>
      </c>
      <c r="K65" s="17" t="s">
        <v>622</v>
      </c>
      <c r="L65" s="19">
        <v>2.024602675E9</v>
      </c>
      <c r="M65" s="20" t="s">
        <v>39</v>
      </c>
      <c r="N65" s="21" t="s">
        <v>638</v>
      </c>
      <c r="O65" s="21" t="s">
        <v>639</v>
      </c>
      <c r="P65" s="21" t="s">
        <v>640</v>
      </c>
      <c r="Q65" s="21">
        <v>135.0</v>
      </c>
      <c r="R65" s="21">
        <v>20010.0</v>
      </c>
      <c r="S65" s="21" t="s">
        <v>59</v>
      </c>
      <c r="T65" s="29">
        <v>2.404621736E9</v>
      </c>
      <c r="U65" s="21">
        <v>1.0</v>
      </c>
      <c r="V65" s="21">
        <v>1.0</v>
      </c>
      <c r="W65" s="21">
        <f t="shared" si="4"/>
        <v>2</v>
      </c>
      <c r="X65" s="21" t="s">
        <v>46</v>
      </c>
      <c r="Y65" s="21" t="s">
        <v>85</v>
      </c>
      <c r="Z65" s="22" t="s">
        <v>641</v>
      </c>
      <c r="AA65" s="22" t="s">
        <v>642</v>
      </c>
      <c r="AB65" s="21" t="s">
        <v>145</v>
      </c>
      <c r="AC65" s="21">
        <v>12.0</v>
      </c>
      <c r="AD65" s="24"/>
      <c r="AE65" s="25"/>
      <c r="AF65" s="12"/>
      <c r="AG65" s="12"/>
      <c r="AH65" s="12"/>
      <c r="AI65" s="12"/>
      <c r="AJ65" s="12"/>
      <c r="AK65" s="12"/>
    </row>
    <row r="66">
      <c r="A66" s="13">
        <v>45455.56410019676</v>
      </c>
      <c r="B66" s="14">
        <f t="shared" si="1"/>
        <v>45455</v>
      </c>
      <c r="C66" s="15" t="s">
        <v>643</v>
      </c>
      <c r="D66" s="15" t="s">
        <v>644</v>
      </c>
      <c r="E66" s="15" t="str">
        <f t="shared" si="2"/>
        <v>LETICIA DEL CARMEN SANDOVAL DE AXUME</v>
      </c>
      <c r="F66" s="16">
        <f t="shared" si="5"/>
        <v>2405564396</v>
      </c>
      <c r="G66" s="15" t="s">
        <v>645</v>
      </c>
      <c r="H66" s="15" t="s">
        <v>646</v>
      </c>
      <c r="I66" s="17" t="s">
        <v>470</v>
      </c>
      <c r="J66" s="18" t="s">
        <v>471</v>
      </c>
      <c r="K66" s="17" t="s">
        <v>116</v>
      </c>
      <c r="L66" s="19" t="s">
        <v>507</v>
      </c>
      <c r="M66" s="20" t="s">
        <v>39</v>
      </c>
      <c r="N66" s="21" t="s">
        <v>647</v>
      </c>
      <c r="O66" s="21" t="s">
        <v>648</v>
      </c>
      <c r="P66" s="21" t="s">
        <v>649</v>
      </c>
      <c r="Q66" s="21" t="s">
        <v>650</v>
      </c>
      <c r="R66" s="21">
        <v>20018.0</v>
      </c>
      <c r="S66" s="21" t="s">
        <v>74</v>
      </c>
      <c r="T66" s="29">
        <v>2.405564396E9</v>
      </c>
      <c r="U66" s="21">
        <v>2.0</v>
      </c>
      <c r="V66" s="21">
        <v>0.0</v>
      </c>
      <c r="W66" s="21">
        <f t="shared" si="4"/>
        <v>2</v>
      </c>
      <c r="X66" s="21" t="s">
        <v>84</v>
      </c>
      <c r="Y66" s="21" t="s">
        <v>47</v>
      </c>
      <c r="Z66" s="22" t="s">
        <v>187</v>
      </c>
      <c r="AA66" s="23"/>
      <c r="AB66" s="21" t="s">
        <v>49</v>
      </c>
      <c r="AC66" s="21">
        <v>12.0</v>
      </c>
      <c r="AD66" s="24"/>
      <c r="AE66" s="25"/>
      <c r="AF66" s="12"/>
      <c r="AG66" s="12"/>
      <c r="AH66" s="12"/>
      <c r="AI66" s="12"/>
      <c r="AJ66" s="12"/>
      <c r="AK66" s="12"/>
    </row>
    <row r="67">
      <c r="A67" s="13">
        <v>45456.42661898148</v>
      </c>
      <c r="B67" s="14">
        <f t="shared" si="1"/>
        <v>45456</v>
      </c>
      <c r="C67" s="15" t="s">
        <v>327</v>
      </c>
      <c r="D67" s="15" t="s">
        <v>651</v>
      </c>
      <c r="E67" s="15" t="str">
        <f t="shared" si="2"/>
        <v>Jacqueline Dunbar</v>
      </c>
      <c r="F67" s="16">
        <f t="shared" si="5"/>
        <v>2029469215</v>
      </c>
      <c r="G67" s="15" t="s">
        <v>595</v>
      </c>
      <c r="H67" s="30" t="s">
        <v>103</v>
      </c>
      <c r="I67" s="17" t="s">
        <v>136</v>
      </c>
      <c r="J67" s="18" t="s">
        <v>137</v>
      </c>
      <c r="K67" s="17" t="s">
        <v>138</v>
      </c>
      <c r="L67" s="19">
        <v>7.028814251E9</v>
      </c>
      <c r="M67" s="20" t="s">
        <v>39</v>
      </c>
      <c r="N67" s="21" t="s">
        <v>652</v>
      </c>
      <c r="O67" s="21" t="s">
        <v>653</v>
      </c>
      <c r="P67" s="21" t="s">
        <v>654</v>
      </c>
      <c r="Q67" s="21">
        <v>201.0</v>
      </c>
      <c r="R67" s="21">
        <v>20020.0</v>
      </c>
      <c r="S67" s="21" t="s">
        <v>44</v>
      </c>
      <c r="T67" s="29">
        <v>2.029469215E9</v>
      </c>
      <c r="U67" s="21">
        <v>1.0</v>
      </c>
      <c r="V67" s="21">
        <v>0.0</v>
      </c>
      <c r="W67" s="21">
        <f t="shared" si="4"/>
        <v>1</v>
      </c>
      <c r="X67" s="21" t="s">
        <v>46</v>
      </c>
      <c r="Y67" s="21" t="s">
        <v>47</v>
      </c>
      <c r="Z67" s="22" t="s">
        <v>144</v>
      </c>
      <c r="AA67" s="22" t="s">
        <v>655</v>
      </c>
      <c r="AB67" s="21" t="s">
        <v>145</v>
      </c>
      <c r="AC67" s="21">
        <v>12.0</v>
      </c>
      <c r="AD67" s="24"/>
      <c r="AE67" s="25"/>
      <c r="AF67" s="12"/>
      <c r="AG67" s="12"/>
      <c r="AH67" s="12"/>
      <c r="AI67" s="12"/>
      <c r="AJ67" s="12"/>
      <c r="AK67" s="12"/>
    </row>
    <row r="68">
      <c r="A68" s="13">
        <v>45456.49638300926</v>
      </c>
      <c r="B68" s="14">
        <f t="shared" si="1"/>
        <v>45456</v>
      </c>
      <c r="C68" s="15" t="s">
        <v>327</v>
      </c>
      <c r="D68" s="15" t="s">
        <v>656</v>
      </c>
      <c r="E68" s="15" t="str">
        <f t="shared" si="2"/>
        <v>Marcus Wilhite</v>
      </c>
      <c r="F68" s="16" t="str">
        <f t="shared" si="5"/>
        <v>(202) 300-5795</v>
      </c>
      <c r="G68" s="15" t="s">
        <v>595</v>
      </c>
      <c r="H68" s="30" t="s">
        <v>103</v>
      </c>
      <c r="I68" s="17" t="s">
        <v>657</v>
      </c>
      <c r="J68" s="18" t="s">
        <v>658</v>
      </c>
      <c r="K68" s="17" t="s">
        <v>659</v>
      </c>
      <c r="L68" s="19" t="s">
        <v>660</v>
      </c>
      <c r="M68" s="20" t="s">
        <v>39</v>
      </c>
      <c r="N68" s="21" t="s">
        <v>661</v>
      </c>
      <c r="O68" s="21" t="s">
        <v>662</v>
      </c>
      <c r="P68" s="21" t="s">
        <v>663</v>
      </c>
      <c r="Q68" s="28"/>
      <c r="R68" s="21">
        <v>20011.0</v>
      </c>
      <c r="S68" s="21" t="s">
        <v>59</v>
      </c>
      <c r="T68" s="29" t="s">
        <v>664</v>
      </c>
      <c r="U68" s="21">
        <v>1.0</v>
      </c>
      <c r="V68" s="21">
        <v>3.0</v>
      </c>
      <c r="W68" s="21">
        <f t="shared" si="4"/>
        <v>4</v>
      </c>
      <c r="X68" s="21" t="s">
        <v>46</v>
      </c>
      <c r="Y68" s="21" t="s">
        <v>85</v>
      </c>
      <c r="Z68" s="22" t="s">
        <v>665</v>
      </c>
      <c r="AA68" s="22" t="s">
        <v>666</v>
      </c>
      <c r="AB68" s="21" t="s">
        <v>63</v>
      </c>
      <c r="AC68" s="21">
        <v>8.0</v>
      </c>
      <c r="AD68" s="24"/>
      <c r="AE68" s="25"/>
      <c r="AF68" s="12"/>
      <c r="AG68" s="12"/>
      <c r="AH68" s="12"/>
      <c r="AI68" s="12"/>
      <c r="AJ68" s="12"/>
      <c r="AK68" s="12"/>
    </row>
    <row r="69">
      <c r="A69" s="13">
        <v>45456.71059715278</v>
      </c>
      <c r="B69" s="14">
        <f t="shared" si="1"/>
        <v>45456</v>
      </c>
      <c r="C69" s="15" t="s">
        <v>327</v>
      </c>
      <c r="D69" s="15" t="s">
        <v>667</v>
      </c>
      <c r="E69" s="15" t="str">
        <f t="shared" si="2"/>
        <v>dawn henderson</v>
      </c>
      <c r="F69" s="16">
        <f t="shared" si="5"/>
        <v>2024559563</v>
      </c>
      <c r="G69" s="15" t="s">
        <v>668</v>
      </c>
      <c r="H69" s="30" t="s">
        <v>103</v>
      </c>
      <c r="I69" s="17" t="s">
        <v>336</v>
      </c>
      <c r="J69" s="18" t="s">
        <v>337</v>
      </c>
      <c r="K69" s="17" t="s">
        <v>338</v>
      </c>
      <c r="L69" s="19">
        <v>4.437686095E9</v>
      </c>
      <c r="M69" s="20" t="s">
        <v>39</v>
      </c>
      <c r="N69" s="21" t="s">
        <v>669</v>
      </c>
      <c r="O69" s="21" t="s">
        <v>670</v>
      </c>
      <c r="P69" s="21" t="s">
        <v>671</v>
      </c>
      <c r="Q69" s="21">
        <v>202.0</v>
      </c>
      <c r="R69" s="21">
        <v>20007.0</v>
      </c>
      <c r="S69" s="21" t="s">
        <v>483</v>
      </c>
      <c r="T69" s="29">
        <v>2.024559563E9</v>
      </c>
      <c r="U69" s="21">
        <v>1.0</v>
      </c>
      <c r="V69" s="21">
        <v>0.0</v>
      </c>
      <c r="W69" s="21">
        <f t="shared" si="4"/>
        <v>1</v>
      </c>
      <c r="X69" s="21" t="s">
        <v>46</v>
      </c>
      <c r="Y69" s="21" t="s">
        <v>47</v>
      </c>
      <c r="Z69" s="22" t="s">
        <v>122</v>
      </c>
      <c r="AA69" s="22" t="s">
        <v>672</v>
      </c>
      <c r="AB69" s="21" t="s">
        <v>49</v>
      </c>
      <c r="AC69" s="21" t="s">
        <v>673</v>
      </c>
      <c r="AD69" s="24"/>
      <c r="AE69" s="25"/>
      <c r="AF69" s="12"/>
      <c r="AG69" s="12"/>
      <c r="AH69" s="12"/>
      <c r="AI69" s="12"/>
      <c r="AJ69" s="12"/>
      <c r="AK69" s="12"/>
    </row>
    <row r="70">
      <c r="A70" s="13">
        <v>45456.71376115741</v>
      </c>
      <c r="B70" s="14">
        <f t="shared" si="1"/>
        <v>45456</v>
      </c>
      <c r="C70" s="15" t="s">
        <v>327</v>
      </c>
      <c r="D70" s="15" t="s">
        <v>674</v>
      </c>
      <c r="E70" s="15" t="str">
        <f t="shared" si="2"/>
        <v>ANDRE STEVENSON</v>
      </c>
      <c r="F70" s="16">
        <f t="shared" si="5"/>
        <v>2024404128</v>
      </c>
      <c r="G70" s="15" t="s">
        <v>675</v>
      </c>
      <c r="H70" s="30" t="s">
        <v>356</v>
      </c>
      <c r="I70" s="17" t="s">
        <v>336</v>
      </c>
      <c r="J70" s="18" t="s">
        <v>337</v>
      </c>
      <c r="K70" s="17" t="s">
        <v>338</v>
      </c>
      <c r="L70" s="19">
        <v>4.437686095E9</v>
      </c>
      <c r="M70" s="20" t="s">
        <v>39</v>
      </c>
      <c r="N70" s="21" t="s">
        <v>676</v>
      </c>
      <c r="O70" s="21" t="s">
        <v>677</v>
      </c>
      <c r="P70" s="21" t="s">
        <v>678</v>
      </c>
      <c r="Q70" s="21">
        <v>207.0</v>
      </c>
      <c r="R70" s="21">
        <v>20020.0</v>
      </c>
      <c r="S70" s="21" t="s">
        <v>44</v>
      </c>
      <c r="T70" s="29">
        <v>2.024404128E9</v>
      </c>
      <c r="U70" s="21">
        <v>1.0</v>
      </c>
      <c r="V70" s="21">
        <v>0.0</v>
      </c>
      <c r="W70" s="21">
        <f t="shared" si="4"/>
        <v>1</v>
      </c>
      <c r="X70" s="21" t="s">
        <v>46</v>
      </c>
      <c r="Y70" s="21" t="s">
        <v>85</v>
      </c>
      <c r="Z70" s="22" t="s">
        <v>122</v>
      </c>
      <c r="AA70" s="22" t="s">
        <v>679</v>
      </c>
      <c r="AB70" s="21" t="s">
        <v>49</v>
      </c>
      <c r="AC70" s="21" t="s">
        <v>673</v>
      </c>
      <c r="AD70" s="24"/>
      <c r="AE70" s="25"/>
    </row>
    <row r="71">
      <c r="A71" s="34">
        <v>45456.71571855324</v>
      </c>
      <c r="B71" s="14">
        <f t="shared" si="1"/>
        <v>45456</v>
      </c>
      <c r="C71" s="15" t="s">
        <v>31</v>
      </c>
      <c r="D71" s="15" t="s">
        <v>680</v>
      </c>
      <c r="E71" s="15" t="str">
        <f t="shared" si="2"/>
        <v>PAMELA COMER</v>
      </c>
      <c r="F71" s="16" t="str">
        <f t="shared" si="5"/>
        <v>(202) 563-1229</v>
      </c>
      <c r="G71" s="15" t="s">
        <v>681</v>
      </c>
      <c r="H71" s="30" t="s">
        <v>103</v>
      </c>
      <c r="I71" s="17" t="s">
        <v>336</v>
      </c>
      <c r="J71" s="18" t="s">
        <v>337</v>
      </c>
      <c r="K71" s="17" t="s">
        <v>338</v>
      </c>
      <c r="L71" s="19">
        <v>4.437686095E9</v>
      </c>
      <c r="M71" s="20" t="s">
        <v>39</v>
      </c>
      <c r="N71" s="21" t="s">
        <v>682</v>
      </c>
      <c r="O71" s="21" t="s">
        <v>683</v>
      </c>
      <c r="P71" s="21" t="s">
        <v>684</v>
      </c>
      <c r="Q71" s="21" t="s">
        <v>120</v>
      </c>
      <c r="R71" s="21">
        <v>20032.0</v>
      </c>
      <c r="S71" s="21" t="s">
        <v>44</v>
      </c>
      <c r="T71" s="29" t="s">
        <v>685</v>
      </c>
      <c r="U71" s="21">
        <v>1.0</v>
      </c>
      <c r="V71" s="21">
        <v>0.0</v>
      </c>
      <c r="W71" s="21">
        <f t="shared" si="4"/>
        <v>1</v>
      </c>
      <c r="X71" s="21" t="s">
        <v>46</v>
      </c>
      <c r="Y71" s="21" t="s">
        <v>47</v>
      </c>
      <c r="Z71" s="22" t="s">
        <v>122</v>
      </c>
      <c r="AA71" s="22" t="s">
        <v>686</v>
      </c>
      <c r="AB71" s="21" t="s">
        <v>49</v>
      </c>
      <c r="AC71" s="21" t="s">
        <v>673</v>
      </c>
      <c r="AD71" s="24"/>
      <c r="AE71" s="25"/>
      <c r="AF71" s="12"/>
      <c r="AG71" s="12"/>
      <c r="AH71" s="12"/>
      <c r="AI71" s="12"/>
      <c r="AJ71" s="12"/>
      <c r="AK71" s="12"/>
    </row>
    <row r="72">
      <c r="A72" s="34">
        <v>45462.56758849537</v>
      </c>
      <c r="B72" s="14">
        <f t="shared" si="1"/>
        <v>45462</v>
      </c>
      <c r="C72" s="15" t="s">
        <v>327</v>
      </c>
      <c r="D72" s="15" t="s">
        <v>687</v>
      </c>
      <c r="E72" s="15" t="str">
        <f t="shared" si="2"/>
        <v>Shykayla Jackson</v>
      </c>
      <c r="F72" s="16" t="str">
        <f t="shared" si="5"/>
        <v>(240) 375-4926</v>
      </c>
      <c r="G72" s="15" t="s">
        <v>688</v>
      </c>
      <c r="H72" s="30" t="s">
        <v>356</v>
      </c>
      <c r="I72" s="17" t="s">
        <v>541</v>
      </c>
      <c r="J72" s="18" t="s">
        <v>542</v>
      </c>
      <c r="K72" s="17" t="s">
        <v>160</v>
      </c>
      <c r="L72" s="19" t="s">
        <v>544</v>
      </c>
      <c r="M72" s="20" t="s">
        <v>39</v>
      </c>
      <c r="N72" s="21" t="s">
        <v>689</v>
      </c>
      <c r="O72" s="21" t="s">
        <v>610</v>
      </c>
      <c r="P72" s="21" t="s">
        <v>690</v>
      </c>
      <c r="Q72" s="21">
        <v>203.0</v>
      </c>
      <c r="R72" s="21">
        <v>20020.0</v>
      </c>
      <c r="S72" s="21" t="s">
        <v>44</v>
      </c>
      <c r="T72" s="29" t="s">
        <v>691</v>
      </c>
      <c r="U72" s="21">
        <v>2.0</v>
      </c>
      <c r="V72" s="21">
        <v>0.0</v>
      </c>
      <c r="W72" s="21">
        <f t="shared" si="4"/>
        <v>2</v>
      </c>
      <c r="X72" s="21" t="s">
        <v>46</v>
      </c>
      <c r="Y72" s="21" t="s">
        <v>85</v>
      </c>
      <c r="Z72" s="22" t="s">
        <v>236</v>
      </c>
      <c r="AA72" s="23"/>
      <c r="AB72" s="21" t="s">
        <v>145</v>
      </c>
      <c r="AC72" s="21">
        <v>12.0</v>
      </c>
      <c r="AD72" s="24"/>
      <c r="AE72" s="25"/>
      <c r="AF72" s="12"/>
      <c r="AG72" s="12"/>
      <c r="AH72" s="12"/>
      <c r="AI72" s="12"/>
      <c r="AJ72" s="12"/>
      <c r="AK72" s="12"/>
    </row>
    <row r="73">
      <c r="A73" s="34">
        <v>45462.95449229167</v>
      </c>
      <c r="B73" s="14">
        <f t="shared" si="1"/>
        <v>45462</v>
      </c>
      <c r="C73" s="15" t="s">
        <v>327</v>
      </c>
      <c r="D73" s="15" t="s">
        <v>692</v>
      </c>
      <c r="E73" s="15" t="str">
        <f t="shared" si="2"/>
        <v>Jerome Peele</v>
      </c>
      <c r="F73" s="16">
        <f t="shared" si="5"/>
        <v>2029106046</v>
      </c>
      <c r="G73" s="15" t="s">
        <v>595</v>
      </c>
      <c r="H73" s="30" t="s">
        <v>103</v>
      </c>
      <c r="I73" s="17" t="s">
        <v>693</v>
      </c>
      <c r="J73" s="18" t="s">
        <v>694</v>
      </c>
      <c r="K73" s="17" t="s">
        <v>695</v>
      </c>
      <c r="L73" s="19" t="s">
        <v>696</v>
      </c>
      <c r="M73" s="20" t="s">
        <v>39</v>
      </c>
      <c r="N73" s="21" t="s">
        <v>697</v>
      </c>
      <c r="O73" s="21" t="s">
        <v>698</v>
      </c>
      <c r="P73" s="21" t="s">
        <v>699</v>
      </c>
      <c r="Q73" s="21">
        <v>2.0</v>
      </c>
      <c r="R73" s="21">
        <v>20019.0</v>
      </c>
      <c r="S73" s="21" t="s">
        <v>700</v>
      </c>
      <c r="T73" s="29">
        <v>2.029106046E9</v>
      </c>
      <c r="U73" s="21">
        <v>1.0</v>
      </c>
      <c r="V73" s="21">
        <v>0.0</v>
      </c>
      <c r="W73" s="21">
        <f t="shared" si="4"/>
        <v>1</v>
      </c>
      <c r="X73" s="21" t="s">
        <v>46</v>
      </c>
      <c r="Y73" s="21" t="s">
        <v>47</v>
      </c>
      <c r="Z73" s="22" t="s">
        <v>61</v>
      </c>
      <c r="AA73" s="22" t="s">
        <v>701</v>
      </c>
      <c r="AB73" s="21" t="s">
        <v>145</v>
      </c>
      <c r="AC73" s="21">
        <v>12.0</v>
      </c>
      <c r="AD73" s="24"/>
      <c r="AE73" s="25"/>
      <c r="AF73" s="12"/>
      <c r="AG73" s="12"/>
      <c r="AH73" s="12"/>
      <c r="AI73" s="12"/>
      <c r="AJ73" s="12"/>
      <c r="AK73" s="12"/>
    </row>
    <row r="74">
      <c r="A74" s="34">
        <v>45463.381994537034</v>
      </c>
      <c r="B74" s="14">
        <f t="shared" si="1"/>
        <v>45463</v>
      </c>
      <c r="C74" s="15" t="s">
        <v>31</v>
      </c>
      <c r="D74" s="15" t="s">
        <v>702</v>
      </c>
      <c r="E74" s="15" t="str">
        <f t="shared" si="2"/>
        <v>Patricia Washington</v>
      </c>
      <c r="F74" s="16">
        <f t="shared" si="5"/>
        <v>2024877764</v>
      </c>
      <c r="G74" s="15" t="s">
        <v>703</v>
      </c>
      <c r="H74" s="30" t="s">
        <v>103</v>
      </c>
      <c r="I74" s="17" t="s">
        <v>704</v>
      </c>
      <c r="J74" s="18" t="s">
        <v>705</v>
      </c>
      <c r="K74" s="17" t="s">
        <v>706</v>
      </c>
      <c r="L74" s="19" t="s">
        <v>707</v>
      </c>
      <c r="M74" s="20" t="s">
        <v>39</v>
      </c>
      <c r="N74" s="21" t="s">
        <v>708</v>
      </c>
      <c r="O74" s="21" t="s">
        <v>709</v>
      </c>
      <c r="P74" s="21" t="s">
        <v>710</v>
      </c>
      <c r="Q74" s="21">
        <v>636.0</v>
      </c>
      <c r="R74" s="21">
        <v>20019.0</v>
      </c>
      <c r="S74" s="21" t="s">
        <v>74</v>
      </c>
      <c r="T74" s="29">
        <v>2.024877764E9</v>
      </c>
      <c r="U74" s="21">
        <v>1.0</v>
      </c>
      <c r="V74" s="21">
        <v>0.0</v>
      </c>
      <c r="W74" s="21">
        <f t="shared" si="4"/>
        <v>1</v>
      </c>
      <c r="X74" s="21" t="s">
        <v>46</v>
      </c>
      <c r="Y74" s="21" t="s">
        <v>85</v>
      </c>
      <c r="Z74" s="22" t="s">
        <v>187</v>
      </c>
      <c r="AA74" s="22" t="s">
        <v>711</v>
      </c>
      <c r="AB74" s="21" t="s">
        <v>145</v>
      </c>
      <c r="AC74" s="21" t="s">
        <v>712</v>
      </c>
      <c r="AD74" s="24"/>
      <c r="AE74" s="25"/>
      <c r="AF74" s="12"/>
      <c r="AG74" s="12"/>
      <c r="AH74" s="12"/>
      <c r="AI74" s="12"/>
      <c r="AJ74" s="12"/>
      <c r="AK74" s="12"/>
    </row>
    <row r="75">
      <c r="A75" s="34">
        <v>45464.360661412036</v>
      </c>
      <c r="B75" s="14">
        <f t="shared" si="1"/>
        <v>45464</v>
      </c>
      <c r="C75" s="15" t="s">
        <v>327</v>
      </c>
      <c r="D75" s="15" t="s">
        <v>713</v>
      </c>
      <c r="E75" s="15" t="str">
        <f t="shared" si="2"/>
        <v>Michelle Strong</v>
      </c>
      <c r="F75" s="16" t="str">
        <f t="shared" si="5"/>
        <v>(202) 391-3052</v>
      </c>
      <c r="G75" s="15" t="s">
        <v>703</v>
      </c>
      <c r="H75" s="30" t="s">
        <v>103</v>
      </c>
      <c r="I75" s="17" t="s">
        <v>714</v>
      </c>
      <c r="J75" s="18" t="s">
        <v>715</v>
      </c>
      <c r="K75" s="17" t="s">
        <v>716</v>
      </c>
      <c r="L75" s="19" t="s">
        <v>717</v>
      </c>
      <c r="M75" s="20" t="s">
        <v>39</v>
      </c>
      <c r="N75" s="21" t="s">
        <v>173</v>
      </c>
      <c r="O75" s="21" t="s">
        <v>718</v>
      </c>
      <c r="P75" s="21" t="s">
        <v>719</v>
      </c>
      <c r="Q75" s="21">
        <v>502.0</v>
      </c>
      <c r="R75" s="21">
        <v>20009.0</v>
      </c>
      <c r="S75" s="21" t="s">
        <v>59</v>
      </c>
      <c r="T75" s="29" t="s">
        <v>720</v>
      </c>
      <c r="U75" s="21">
        <v>1.0</v>
      </c>
      <c r="V75" s="21">
        <v>0.0</v>
      </c>
      <c r="W75" s="21">
        <f t="shared" si="4"/>
        <v>1</v>
      </c>
      <c r="X75" s="21" t="s">
        <v>46</v>
      </c>
      <c r="Y75" s="21" t="s">
        <v>47</v>
      </c>
      <c r="Z75" s="22" t="s">
        <v>122</v>
      </c>
      <c r="AA75" s="23"/>
      <c r="AB75" s="21" t="s">
        <v>145</v>
      </c>
      <c r="AC75" s="21">
        <v>60.0</v>
      </c>
      <c r="AD75" s="24"/>
      <c r="AE75" s="25"/>
    </row>
    <row r="76">
      <c r="A76" s="34">
        <v>45467.57173188658</v>
      </c>
      <c r="B76" s="14">
        <f t="shared" si="1"/>
        <v>45467</v>
      </c>
      <c r="C76" s="15" t="s">
        <v>327</v>
      </c>
      <c r="D76" s="15" t="s">
        <v>721</v>
      </c>
      <c r="E76" s="15" t="str">
        <f t="shared" si="2"/>
        <v>Ambrose King</v>
      </c>
      <c r="F76" s="16">
        <f t="shared" si="5"/>
        <v>2028305810</v>
      </c>
      <c r="G76" s="15" t="s">
        <v>722</v>
      </c>
      <c r="H76" s="30" t="s">
        <v>103</v>
      </c>
      <c r="I76" s="17" t="s">
        <v>104</v>
      </c>
      <c r="J76" s="18" t="s">
        <v>105</v>
      </c>
      <c r="K76" s="17" t="s">
        <v>106</v>
      </c>
      <c r="L76" s="19">
        <v>2.028420001E9</v>
      </c>
      <c r="M76" s="20" t="s">
        <v>39</v>
      </c>
      <c r="N76" s="21" t="s">
        <v>723</v>
      </c>
      <c r="O76" s="21" t="s">
        <v>724</v>
      </c>
      <c r="P76" s="21" t="s">
        <v>725</v>
      </c>
      <c r="Q76" s="28"/>
      <c r="R76" s="21">
        <v>20011.0</v>
      </c>
      <c r="S76" s="21" t="s">
        <v>59</v>
      </c>
      <c r="T76" s="29">
        <v>2.02830581E9</v>
      </c>
      <c r="U76" s="21">
        <v>1.0</v>
      </c>
      <c r="V76" s="21">
        <v>0.0</v>
      </c>
      <c r="W76" s="21">
        <f t="shared" si="4"/>
        <v>1</v>
      </c>
      <c r="X76" s="21" t="s">
        <v>46</v>
      </c>
      <c r="Y76" s="21" t="s">
        <v>47</v>
      </c>
      <c r="Z76" s="22" t="s">
        <v>236</v>
      </c>
      <c r="AA76" s="22" t="s">
        <v>726</v>
      </c>
      <c r="AB76" s="21" t="s">
        <v>63</v>
      </c>
      <c r="AC76" s="21">
        <v>12.0</v>
      </c>
      <c r="AD76" s="24"/>
      <c r="AE76" s="25"/>
      <c r="AF76" s="12"/>
      <c r="AG76" s="12"/>
      <c r="AH76" s="12"/>
      <c r="AI76" s="12"/>
      <c r="AJ76" s="12"/>
      <c r="AK76" s="12"/>
    </row>
    <row r="77">
      <c r="A77" s="34">
        <v>45467.59749814815</v>
      </c>
      <c r="B77" s="14">
        <f t="shared" si="1"/>
        <v>45467</v>
      </c>
      <c r="C77" s="15" t="s">
        <v>327</v>
      </c>
      <c r="D77" s="15" t="s">
        <v>727</v>
      </c>
      <c r="E77" s="15" t="str">
        <f t="shared" si="2"/>
        <v>tanyia tapp</v>
      </c>
      <c r="F77" s="16">
        <f t="shared" si="5"/>
        <v>2028830896</v>
      </c>
      <c r="G77" s="15" t="s">
        <v>728</v>
      </c>
      <c r="H77" s="30" t="s">
        <v>356</v>
      </c>
      <c r="I77" s="17" t="s">
        <v>541</v>
      </c>
      <c r="J77" s="18" t="s">
        <v>542</v>
      </c>
      <c r="K77" s="17" t="s">
        <v>160</v>
      </c>
      <c r="L77" s="19">
        <v>2.023500938E9</v>
      </c>
      <c r="M77" s="20" t="s">
        <v>39</v>
      </c>
      <c r="N77" s="21" t="s">
        <v>729</v>
      </c>
      <c r="O77" s="21" t="s">
        <v>730</v>
      </c>
      <c r="P77" s="21" t="s">
        <v>731</v>
      </c>
      <c r="Q77" s="21">
        <v>365.0</v>
      </c>
      <c r="R77" s="21">
        <v>20011.0</v>
      </c>
      <c r="S77" s="21" t="s">
        <v>732</v>
      </c>
      <c r="T77" s="29">
        <v>2.028830896E9</v>
      </c>
      <c r="U77" s="21">
        <v>1.0</v>
      </c>
      <c r="V77" s="21">
        <v>2.0</v>
      </c>
      <c r="W77" s="21">
        <f t="shared" si="4"/>
        <v>3</v>
      </c>
      <c r="X77" s="21" t="s">
        <v>46</v>
      </c>
      <c r="Y77" s="21" t="s">
        <v>85</v>
      </c>
      <c r="Z77" s="22" t="s">
        <v>449</v>
      </c>
      <c r="AA77" s="23"/>
      <c r="AB77" s="21" t="s">
        <v>49</v>
      </c>
      <c r="AC77" s="21">
        <v>12.0</v>
      </c>
      <c r="AD77" s="24"/>
      <c r="AE77" s="25"/>
      <c r="AF77" s="12"/>
      <c r="AG77" s="12"/>
      <c r="AH77" s="12"/>
      <c r="AI77" s="12"/>
      <c r="AJ77" s="12"/>
      <c r="AK77" s="12"/>
    </row>
    <row r="78">
      <c r="A78" s="34">
        <v>45468.5474428125</v>
      </c>
      <c r="B78" s="14">
        <f t="shared" si="1"/>
        <v>45468</v>
      </c>
      <c r="C78" s="15" t="s">
        <v>327</v>
      </c>
      <c r="D78" s="15" t="s">
        <v>733</v>
      </c>
      <c r="E78" s="15" t="str">
        <f t="shared" si="2"/>
        <v>James Robinson</v>
      </c>
      <c r="F78" s="16">
        <f t="shared" si="5"/>
        <v>7432588718</v>
      </c>
      <c r="G78" s="15" t="s">
        <v>734</v>
      </c>
      <c r="H78" s="30" t="s">
        <v>356</v>
      </c>
      <c r="I78" s="17" t="s">
        <v>104</v>
      </c>
      <c r="J78" s="18" t="s">
        <v>105</v>
      </c>
      <c r="K78" s="17" t="s">
        <v>106</v>
      </c>
      <c r="L78" s="19">
        <v>2.028420001E9</v>
      </c>
      <c r="M78" s="20" t="s">
        <v>39</v>
      </c>
      <c r="N78" s="21" t="s">
        <v>442</v>
      </c>
      <c r="O78" s="21" t="s">
        <v>735</v>
      </c>
      <c r="P78" s="21" t="s">
        <v>736</v>
      </c>
      <c r="Q78" s="21">
        <v>202.0</v>
      </c>
      <c r="R78" s="21">
        <v>20020.0</v>
      </c>
      <c r="S78" s="21" t="s">
        <v>44</v>
      </c>
      <c r="T78" s="29">
        <v>7.432588718E9</v>
      </c>
      <c r="U78" s="21">
        <v>1.0</v>
      </c>
      <c r="V78" s="21">
        <v>2.0</v>
      </c>
      <c r="W78" s="21">
        <f t="shared" si="4"/>
        <v>3</v>
      </c>
      <c r="X78" s="21" t="s">
        <v>46</v>
      </c>
      <c r="Y78" s="21" t="s">
        <v>85</v>
      </c>
      <c r="Z78" s="22" t="s">
        <v>737</v>
      </c>
      <c r="AA78" s="22" t="s">
        <v>738</v>
      </c>
      <c r="AB78" s="21" t="s">
        <v>63</v>
      </c>
      <c r="AC78" s="21">
        <v>12.0</v>
      </c>
      <c r="AD78" s="24"/>
      <c r="AE78" s="25"/>
      <c r="AF78" s="12"/>
      <c r="AG78" s="12"/>
      <c r="AH78" s="12"/>
      <c r="AI78" s="12"/>
      <c r="AJ78" s="12"/>
      <c r="AK78" s="12"/>
    </row>
    <row r="79">
      <c r="A79" s="34">
        <v>45468.61935850694</v>
      </c>
      <c r="B79" s="14">
        <f t="shared" si="1"/>
        <v>45468</v>
      </c>
      <c r="C79" s="15" t="s">
        <v>327</v>
      </c>
      <c r="D79" s="15" t="s">
        <v>739</v>
      </c>
      <c r="E79" s="15" t="str">
        <f t="shared" si="2"/>
        <v>Robert Lindsey</v>
      </c>
      <c r="F79" s="16">
        <f t="shared" si="5"/>
        <v>2023593456</v>
      </c>
      <c r="G79" s="15" t="s">
        <v>595</v>
      </c>
      <c r="H79" s="30" t="s">
        <v>66</v>
      </c>
      <c r="I79" s="17" t="s">
        <v>104</v>
      </c>
      <c r="J79" s="18" t="s">
        <v>105</v>
      </c>
      <c r="K79" s="17" t="s">
        <v>106</v>
      </c>
      <c r="L79" s="19">
        <v>2.028420001E9</v>
      </c>
      <c r="M79" s="20" t="s">
        <v>39</v>
      </c>
      <c r="N79" s="21" t="s">
        <v>740</v>
      </c>
      <c r="O79" s="21" t="s">
        <v>741</v>
      </c>
      <c r="P79" s="21" t="s">
        <v>742</v>
      </c>
      <c r="Q79" s="21">
        <v>823.0</v>
      </c>
      <c r="R79" s="21">
        <v>20020.0</v>
      </c>
      <c r="S79" s="21" t="s">
        <v>44</v>
      </c>
      <c r="T79" s="29">
        <v>2.023593456E9</v>
      </c>
      <c r="U79" s="21">
        <v>1.0</v>
      </c>
      <c r="V79" s="21">
        <v>0.0</v>
      </c>
      <c r="W79" s="21">
        <f t="shared" si="4"/>
        <v>1</v>
      </c>
      <c r="X79" s="21" t="s">
        <v>46</v>
      </c>
      <c r="Y79" s="21" t="s">
        <v>47</v>
      </c>
      <c r="Z79" s="22" t="s">
        <v>166</v>
      </c>
      <c r="AA79" s="22" t="s">
        <v>743</v>
      </c>
      <c r="AB79" s="21" t="s">
        <v>63</v>
      </c>
      <c r="AC79" s="21">
        <v>12.0</v>
      </c>
      <c r="AD79" s="24"/>
      <c r="AE79" s="25"/>
      <c r="AF79" s="12"/>
      <c r="AG79" s="12"/>
      <c r="AH79" s="12"/>
      <c r="AI79" s="12"/>
      <c r="AJ79" s="12"/>
      <c r="AK79" s="12"/>
    </row>
    <row r="80">
      <c r="A80" s="34">
        <v>45468.62763289352</v>
      </c>
      <c r="B80" s="14">
        <f t="shared" si="1"/>
        <v>45468</v>
      </c>
      <c r="C80" s="15" t="s">
        <v>327</v>
      </c>
      <c r="D80" s="15" t="s">
        <v>744</v>
      </c>
      <c r="E80" s="15" t="str">
        <f t="shared" si="2"/>
        <v>Francis Bankins</v>
      </c>
      <c r="F80" s="16">
        <f t="shared" si="5"/>
        <v>7712339043</v>
      </c>
      <c r="G80" s="15" t="s">
        <v>595</v>
      </c>
      <c r="H80" s="30" t="s">
        <v>66</v>
      </c>
      <c r="I80" s="17" t="s">
        <v>104</v>
      </c>
      <c r="J80" s="18" t="s">
        <v>105</v>
      </c>
      <c r="K80" s="17" t="s">
        <v>106</v>
      </c>
      <c r="L80" s="19">
        <v>2.028420001E9</v>
      </c>
      <c r="M80" s="20" t="s">
        <v>39</v>
      </c>
      <c r="N80" s="21" t="s">
        <v>745</v>
      </c>
      <c r="O80" s="21" t="s">
        <v>746</v>
      </c>
      <c r="P80" s="21" t="s">
        <v>747</v>
      </c>
      <c r="Q80" s="21" t="s">
        <v>748</v>
      </c>
      <c r="R80" s="21">
        <v>20020.0</v>
      </c>
      <c r="S80" s="21" t="s">
        <v>44</v>
      </c>
      <c r="T80" s="29">
        <v>7.712339043E9</v>
      </c>
      <c r="U80" s="21">
        <v>1.0</v>
      </c>
      <c r="V80" s="21">
        <v>0.0</v>
      </c>
      <c r="W80" s="21">
        <f t="shared" si="4"/>
        <v>1</v>
      </c>
      <c r="X80" s="21" t="s">
        <v>46</v>
      </c>
      <c r="Y80" s="21" t="s">
        <v>47</v>
      </c>
      <c r="Z80" s="22" t="s">
        <v>236</v>
      </c>
      <c r="AA80" s="22" t="s">
        <v>749</v>
      </c>
      <c r="AB80" s="21" t="s">
        <v>145</v>
      </c>
      <c r="AC80" s="21">
        <v>12.0</v>
      </c>
      <c r="AD80" s="24"/>
      <c r="AE80" s="25"/>
      <c r="AF80" s="12"/>
      <c r="AG80" s="12"/>
      <c r="AH80" s="12"/>
      <c r="AI80" s="12"/>
      <c r="AJ80" s="12"/>
      <c r="AK80" s="12"/>
    </row>
    <row r="81">
      <c r="A81" s="34">
        <v>45468.63402586806</v>
      </c>
      <c r="B81" s="14">
        <f t="shared" si="1"/>
        <v>45468</v>
      </c>
      <c r="C81" s="15" t="s">
        <v>295</v>
      </c>
      <c r="D81" s="15" t="s">
        <v>750</v>
      </c>
      <c r="E81" s="15" t="str">
        <f t="shared" si="2"/>
        <v>Getenesh Woldetsadik</v>
      </c>
      <c r="F81" s="16">
        <f t="shared" si="5"/>
        <v>2407155414</v>
      </c>
      <c r="G81" s="15" t="s">
        <v>751</v>
      </c>
      <c r="H81" s="15" t="s">
        <v>34</v>
      </c>
      <c r="I81" s="17" t="s">
        <v>104</v>
      </c>
      <c r="J81" s="18" t="s">
        <v>752</v>
      </c>
      <c r="K81" s="31" t="s">
        <v>106</v>
      </c>
      <c r="L81" s="26">
        <v>2.028420001E9</v>
      </c>
      <c r="M81" s="27" t="s">
        <v>39</v>
      </c>
      <c r="N81" s="21" t="s">
        <v>753</v>
      </c>
      <c r="O81" s="21" t="s">
        <v>754</v>
      </c>
      <c r="P81" s="21" t="s">
        <v>755</v>
      </c>
      <c r="Q81" s="21" t="s">
        <v>291</v>
      </c>
      <c r="R81" s="21">
        <v>20012.0</v>
      </c>
      <c r="S81" s="21" t="s">
        <v>59</v>
      </c>
      <c r="T81" s="29">
        <v>2.407155414E9</v>
      </c>
      <c r="U81" s="21">
        <v>1.0</v>
      </c>
      <c r="V81" s="21">
        <v>0.0</v>
      </c>
      <c r="W81" s="21">
        <f t="shared" si="4"/>
        <v>1</v>
      </c>
      <c r="X81" s="21" t="s">
        <v>84</v>
      </c>
      <c r="Y81" s="21" t="s">
        <v>47</v>
      </c>
      <c r="Z81" s="22" t="s">
        <v>756</v>
      </c>
      <c r="AA81" s="22" t="s">
        <v>757</v>
      </c>
      <c r="AB81" s="21" t="s">
        <v>63</v>
      </c>
      <c r="AC81" s="21" t="s">
        <v>758</v>
      </c>
      <c r="AD81" s="24"/>
      <c r="AE81" s="25"/>
      <c r="AF81" s="12"/>
      <c r="AG81" s="12"/>
      <c r="AH81" s="12"/>
      <c r="AI81" s="12"/>
      <c r="AJ81" s="12"/>
      <c r="AK81" s="12"/>
    </row>
    <row r="82">
      <c r="A82" s="34">
        <v>45469.441813784724</v>
      </c>
      <c r="B82" s="14">
        <f t="shared" si="1"/>
        <v>45469</v>
      </c>
      <c r="C82" s="37" t="s">
        <v>282</v>
      </c>
      <c r="D82" s="15" t="s">
        <v>759</v>
      </c>
      <c r="E82" s="15" t="str">
        <f t="shared" si="2"/>
        <v>Donita Martin</v>
      </c>
      <c r="F82" s="16" t="str">
        <f t="shared" si="5"/>
        <v>(202) 878-5648</v>
      </c>
      <c r="G82" s="15" t="s">
        <v>722</v>
      </c>
      <c r="H82" s="30" t="s">
        <v>34</v>
      </c>
      <c r="I82" s="17" t="s">
        <v>760</v>
      </c>
      <c r="J82" s="18" t="s">
        <v>761</v>
      </c>
      <c r="K82" s="31" t="s">
        <v>762</v>
      </c>
      <c r="L82" s="26" t="s">
        <v>763</v>
      </c>
      <c r="M82" s="27" t="s">
        <v>39</v>
      </c>
      <c r="N82" s="21" t="s">
        <v>764</v>
      </c>
      <c r="O82" s="21" t="s">
        <v>765</v>
      </c>
      <c r="P82" s="21" t="s">
        <v>766</v>
      </c>
      <c r="Q82" s="21" t="s">
        <v>767</v>
      </c>
      <c r="R82" s="21">
        <v>20011.0</v>
      </c>
      <c r="S82" s="21" t="s">
        <v>59</v>
      </c>
      <c r="T82" s="21" t="s">
        <v>768</v>
      </c>
      <c r="U82" s="21">
        <v>1.0</v>
      </c>
      <c r="V82" s="21">
        <v>0.0</v>
      </c>
      <c r="W82" s="21">
        <f t="shared" si="4"/>
        <v>1</v>
      </c>
      <c r="X82" s="21" t="s">
        <v>46</v>
      </c>
      <c r="Y82" s="21" t="s">
        <v>47</v>
      </c>
      <c r="Z82" s="22" t="s">
        <v>236</v>
      </c>
      <c r="AA82" s="22" t="s">
        <v>769</v>
      </c>
      <c r="AB82" s="21" t="s">
        <v>63</v>
      </c>
      <c r="AC82" s="21">
        <v>2.0</v>
      </c>
      <c r="AD82" s="24"/>
      <c r="AE82" s="25"/>
      <c r="AF82" s="12"/>
      <c r="AG82" s="12"/>
      <c r="AH82" s="12"/>
      <c r="AI82" s="12"/>
      <c r="AJ82" s="12"/>
      <c r="AK82" s="12"/>
    </row>
    <row r="83">
      <c r="A83" s="34">
        <v>45469.47380233796</v>
      </c>
      <c r="B83" s="14">
        <f t="shared" si="1"/>
        <v>45469</v>
      </c>
      <c r="C83" s="15" t="s">
        <v>327</v>
      </c>
      <c r="D83" s="15" t="s">
        <v>721</v>
      </c>
      <c r="E83" s="15" t="str">
        <f t="shared" si="2"/>
        <v>Lee Repass</v>
      </c>
      <c r="F83" s="16">
        <f t="shared" si="5"/>
        <v>2028482274</v>
      </c>
      <c r="G83" s="15" t="s">
        <v>770</v>
      </c>
      <c r="H83" s="30" t="s">
        <v>356</v>
      </c>
      <c r="I83" s="17" t="s">
        <v>104</v>
      </c>
      <c r="J83" s="18" t="s">
        <v>105</v>
      </c>
      <c r="K83" s="17" t="s">
        <v>106</v>
      </c>
      <c r="L83" s="19">
        <v>2.028420001E9</v>
      </c>
      <c r="M83" s="20" t="s">
        <v>39</v>
      </c>
      <c r="N83" s="21" t="s">
        <v>771</v>
      </c>
      <c r="O83" s="21" t="s">
        <v>772</v>
      </c>
      <c r="P83" s="21" t="s">
        <v>773</v>
      </c>
      <c r="Q83" s="21"/>
      <c r="R83" s="21">
        <v>20020.0</v>
      </c>
      <c r="S83" s="21" t="s">
        <v>44</v>
      </c>
      <c r="T83" s="29">
        <v>2.028482274E9</v>
      </c>
      <c r="U83" s="21">
        <v>1.0</v>
      </c>
      <c r="V83" s="21">
        <v>3.0</v>
      </c>
      <c r="W83" s="21">
        <f t="shared" si="4"/>
        <v>4</v>
      </c>
      <c r="X83" s="21" t="s">
        <v>46</v>
      </c>
      <c r="Y83" s="21" t="s">
        <v>85</v>
      </c>
      <c r="Z83" s="22" t="s">
        <v>449</v>
      </c>
      <c r="AA83" s="22" t="s">
        <v>774</v>
      </c>
      <c r="AB83" s="21" t="s">
        <v>145</v>
      </c>
      <c r="AC83" s="21">
        <v>12.0</v>
      </c>
      <c r="AD83" s="24"/>
      <c r="AE83" s="25"/>
    </row>
    <row r="84">
      <c r="A84" s="34">
        <v>45469.6217702662</v>
      </c>
      <c r="B84" s="14">
        <f t="shared" si="1"/>
        <v>45469</v>
      </c>
      <c r="C84" s="15" t="s">
        <v>327</v>
      </c>
      <c r="D84" s="15" t="s">
        <v>775</v>
      </c>
      <c r="E84" s="15" t="str">
        <f t="shared" si="2"/>
        <v>Terri Jordan</v>
      </c>
      <c r="F84" s="16" t="str">
        <f t="shared" si="5"/>
        <v>(202) 660-8649</v>
      </c>
      <c r="G84" s="15" t="s">
        <v>776</v>
      </c>
      <c r="H84" s="30" t="s">
        <v>356</v>
      </c>
      <c r="I84" s="17" t="s">
        <v>760</v>
      </c>
      <c r="J84" s="18" t="s">
        <v>761</v>
      </c>
      <c r="K84" s="17" t="s">
        <v>777</v>
      </c>
      <c r="L84" s="19" t="s">
        <v>778</v>
      </c>
      <c r="M84" s="20" t="s">
        <v>39</v>
      </c>
      <c r="N84" s="21" t="s">
        <v>779</v>
      </c>
      <c r="O84" s="21" t="s">
        <v>780</v>
      </c>
      <c r="P84" s="21" t="s">
        <v>781</v>
      </c>
      <c r="Q84" s="21" t="s">
        <v>782</v>
      </c>
      <c r="R84" s="21">
        <v>20020.0</v>
      </c>
      <c r="S84" s="21" t="s">
        <v>44</v>
      </c>
      <c r="T84" s="29" t="s">
        <v>783</v>
      </c>
      <c r="U84" s="21">
        <v>2.0</v>
      </c>
      <c r="V84" s="21">
        <v>2.0</v>
      </c>
      <c r="W84" s="21">
        <f t="shared" si="4"/>
        <v>4</v>
      </c>
      <c r="X84" s="21" t="s">
        <v>46</v>
      </c>
      <c r="Y84" s="21" t="s">
        <v>47</v>
      </c>
      <c r="Z84" s="22" t="s">
        <v>166</v>
      </c>
      <c r="AA84" s="22" t="s">
        <v>784</v>
      </c>
      <c r="AB84" s="21" t="s">
        <v>63</v>
      </c>
      <c r="AC84" s="21">
        <v>2.0</v>
      </c>
      <c r="AD84" s="24"/>
      <c r="AE84" s="25"/>
      <c r="AF84" s="12"/>
      <c r="AG84" s="12"/>
      <c r="AH84" s="12"/>
      <c r="AI84" s="12"/>
      <c r="AJ84" s="12"/>
      <c r="AK84" s="12"/>
    </row>
    <row r="85">
      <c r="A85" s="34">
        <v>45470.32593868056</v>
      </c>
      <c r="B85" s="14">
        <f t="shared" si="1"/>
        <v>45470</v>
      </c>
      <c r="C85" s="15" t="s">
        <v>327</v>
      </c>
      <c r="D85" s="15" t="s">
        <v>785</v>
      </c>
      <c r="E85" s="15" t="str">
        <f t="shared" si="2"/>
        <v>Earline Simmons</v>
      </c>
      <c r="F85" s="16" t="str">
        <f t="shared" si="5"/>
        <v>(202) 836-5026</v>
      </c>
      <c r="G85" s="15" t="s">
        <v>786</v>
      </c>
      <c r="H85" s="30" t="s">
        <v>66</v>
      </c>
      <c r="I85" s="17" t="s">
        <v>336</v>
      </c>
      <c r="J85" s="18" t="s">
        <v>337</v>
      </c>
      <c r="K85" s="17" t="s">
        <v>338</v>
      </c>
      <c r="L85" s="19">
        <v>4.437686095E9</v>
      </c>
      <c r="M85" s="20" t="s">
        <v>39</v>
      </c>
      <c r="N85" s="21" t="s">
        <v>787</v>
      </c>
      <c r="O85" s="21" t="s">
        <v>788</v>
      </c>
      <c r="P85" s="21" t="s">
        <v>789</v>
      </c>
      <c r="Q85" s="21">
        <v>102.0</v>
      </c>
      <c r="R85" s="21">
        <v>20032.0</v>
      </c>
      <c r="S85" s="21" t="s">
        <v>44</v>
      </c>
      <c r="T85" s="29" t="s">
        <v>790</v>
      </c>
      <c r="U85" s="21">
        <v>3.0</v>
      </c>
      <c r="V85" s="21">
        <v>0.0</v>
      </c>
      <c r="W85" s="21">
        <f t="shared" si="4"/>
        <v>3</v>
      </c>
      <c r="X85" s="21" t="s">
        <v>46</v>
      </c>
      <c r="Y85" s="21" t="s">
        <v>47</v>
      </c>
      <c r="Z85" s="22" t="s">
        <v>122</v>
      </c>
      <c r="AA85" s="22" t="s">
        <v>791</v>
      </c>
      <c r="AB85" s="21" t="s">
        <v>49</v>
      </c>
      <c r="AC85" s="21" t="s">
        <v>673</v>
      </c>
      <c r="AD85" s="24"/>
      <c r="AE85" s="25"/>
      <c r="AF85" s="12"/>
      <c r="AG85" s="12"/>
      <c r="AH85" s="12"/>
      <c r="AI85" s="12"/>
      <c r="AJ85" s="12"/>
      <c r="AK85" s="12"/>
    </row>
    <row r="86">
      <c r="A86" s="34">
        <v>45470.47630895833</v>
      </c>
      <c r="B86" s="14">
        <f t="shared" si="1"/>
        <v>45470</v>
      </c>
      <c r="C86" s="15" t="s">
        <v>327</v>
      </c>
      <c r="D86" s="15" t="s">
        <v>792</v>
      </c>
      <c r="E86" s="15" t="str">
        <f t="shared" si="2"/>
        <v>Aiesha Chase-White</v>
      </c>
      <c r="F86" s="16">
        <f t="shared" si="5"/>
        <v>2029831943</v>
      </c>
      <c r="G86" s="15" t="s">
        <v>793</v>
      </c>
      <c r="H86" s="30" t="s">
        <v>356</v>
      </c>
      <c r="I86" s="17" t="s">
        <v>794</v>
      </c>
      <c r="J86" s="18" t="s">
        <v>795</v>
      </c>
      <c r="K86" s="17" t="s">
        <v>150</v>
      </c>
      <c r="L86" s="19">
        <v>2.028513686E9</v>
      </c>
      <c r="M86" s="20" t="s">
        <v>39</v>
      </c>
      <c r="N86" s="21" t="s">
        <v>796</v>
      </c>
      <c r="O86" s="21" t="s">
        <v>797</v>
      </c>
      <c r="P86" s="21" t="s">
        <v>798</v>
      </c>
      <c r="Q86" s="21" t="s">
        <v>799</v>
      </c>
      <c r="R86" s="21">
        <v>20020.0</v>
      </c>
      <c r="S86" s="21" t="s">
        <v>44</v>
      </c>
      <c r="T86" s="29">
        <v>2.029831943E9</v>
      </c>
      <c r="U86" s="21">
        <v>1.0</v>
      </c>
      <c r="V86" s="21">
        <v>6.0</v>
      </c>
      <c r="W86" s="21">
        <f t="shared" si="4"/>
        <v>7</v>
      </c>
      <c r="X86" s="21" t="s">
        <v>46</v>
      </c>
      <c r="Y86" s="21" t="s">
        <v>85</v>
      </c>
      <c r="Z86" s="22" t="s">
        <v>665</v>
      </c>
      <c r="AA86" s="22" t="s">
        <v>800</v>
      </c>
      <c r="AB86" s="21" t="s">
        <v>63</v>
      </c>
      <c r="AC86" s="21" t="s">
        <v>801</v>
      </c>
      <c r="AD86" s="24"/>
      <c r="AE86" s="25"/>
    </row>
    <row r="87">
      <c r="A87" s="34">
        <v>45470.5673325463</v>
      </c>
      <c r="B87" s="14">
        <f t="shared" si="1"/>
        <v>45470</v>
      </c>
      <c r="C87" s="15" t="s">
        <v>327</v>
      </c>
      <c r="D87" s="15" t="s">
        <v>802</v>
      </c>
      <c r="E87" s="15" t="str">
        <f t="shared" si="2"/>
        <v>Randy Allen</v>
      </c>
      <c r="F87" s="16">
        <f t="shared" si="5"/>
        <v>2028093691</v>
      </c>
      <c r="G87" s="15" t="s">
        <v>803</v>
      </c>
      <c r="H87" s="30" t="s">
        <v>103</v>
      </c>
      <c r="I87" s="17" t="s">
        <v>704</v>
      </c>
      <c r="J87" s="18" t="s">
        <v>705</v>
      </c>
      <c r="K87" s="17" t="s">
        <v>706</v>
      </c>
      <c r="L87" s="19" t="s">
        <v>707</v>
      </c>
      <c r="M87" s="20" t="s">
        <v>39</v>
      </c>
      <c r="N87" s="21" t="s">
        <v>804</v>
      </c>
      <c r="O87" s="21" t="s">
        <v>127</v>
      </c>
      <c r="P87" s="21" t="s">
        <v>710</v>
      </c>
      <c r="Q87" s="21">
        <v>714.0</v>
      </c>
      <c r="R87" s="21">
        <v>20019.0</v>
      </c>
      <c r="S87" s="21" t="s">
        <v>74</v>
      </c>
      <c r="T87" s="29">
        <v>2.028093691E9</v>
      </c>
      <c r="U87" s="21">
        <v>1.0</v>
      </c>
      <c r="V87" s="21">
        <v>0.0</v>
      </c>
      <c r="W87" s="21">
        <f t="shared" si="4"/>
        <v>1</v>
      </c>
      <c r="X87" s="21" t="s">
        <v>46</v>
      </c>
      <c r="Y87" s="21" t="s">
        <v>85</v>
      </c>
      <c r="Z87" s="22" t="s">
        <v>805</v>
      </c>
      <c r="AA87" s="22" t="s">
        <v>806</v>
      </c>
      <c r="AB87" s="21" t="s">
        <v>49</v>
      </c>
      <c r="AC87" s="21" t="s">
        <v>712</v>
      </c>
      <c r="AD87" s="24"/>
      <c r="AE87" s="25"/>
      <c r="AF87" s="12"/>
      <c r="AG87" s="12"/>
      <c r="AH87" s="12"/>
      <c r="AI87" s="12"/>
      <c r="AJ87" s="12"/>
      <c r="AK87" s="12"/>
    </row>
    <row r="88">
      <c r="A88" s="34">
        <v>45470.57842149306</v>
      </c>
      <c r="B88" s="14">
        <f t="shared" si="1"/>
        <v>45470</v>
      </c>
      <c r="C88" s="15" t="s">
        <v>327</v>
      </c>
      <c r="D88" s="37" t="s">
        <v>807</v>
      </c>
      <c r="E88" s="15" t="str">
        <f t="shared" si="2"/>
        <v>Jerry Hicks</v>
      </c>
      <c r="F88" s="16">
        <f t="shared" si="5"/>
        <v>2027466072</v>
      </c>
      <c r="G88" s="37" t="s">
        <v>808</v>
      </c>
      <c r="H88" s="30" t="s">
        <v>356</v>
      </c>
      <c r="I88" s="17" t="s">
        <v>104</v>
      </c>
      <c r="J88" s="18" t="s">
        <v>105</v>
      </c>
      <c r="K88" s="17" t="s">
        <v>106</v>
      </c>
      <c r="L88" s="19">
        <v>2.028420001E9</v>
      </c>
      <c r="M88" s="20" t="s">
        <v>39</v>
      </c>
      <c r="N88" s="21" t="s">
        <v>809</v>
      </c>
      <c r="O88" s="21" t="s">
        <v>810</v>
      </c>
      <c r="P88" s="21" t="s">
        <v>811</v>
      </c>
      <c r="Q88" s="21" t="s">
        <v>812</v>
      </c>
      <c r="R88" s="21">
        <v>20019.0</v>
      </c>
      <c r="S88" s="21" t="s">
        <v>74</v>
      </c>
      <c r="T88" s="29">
        <v>2.027466072E9</v>
      </c>
      <c r="U88" s="21">
        <v>1.0</v>
      </c>
      <c r="V88" s="21">
        <v>2.0</v>
      </c>
      <c r="W88" s="21">
        <f t="shared" si="4"/>
        <v>3</v>
      </c>
      <c r="X88" s="21" t="s">
        <v>46</v>
      </c>
      <c r="Y88" s="21" t="s">
        <v>47</v>
      </c>
      <c r="Z88" s="22" t="s">
        <v>236</v>
      </c>
      <c r="AA88" s="22" t="s">
        <v>813</v>
      </c>
      <c r="AB88" s="21" t="s">
        <v>145</v>
      </c>
      <c r="AC88" s="21">
        <v>12.0</v>
      </c>
      <c r="AD88" s="24"/>
      <c r="AE88" s="25"/>
      <c r="AF88" s="12"/>
      <c r="AG88" s="12"/>
      <c r="AH88" s="12"/>
      <c r="AI88" s="12"/>
      <c r="AJ88" s="12"/>
      <c r="AK88" s="12"/>
    </row>
    <row r="89">
      <c r="A89" s="34">
        <v>45471.47434943287</v>
      </c>
      <c r="B89" s="14">
        <f t="shared" si="1"/>
        <v>45471</v>
      </c>
      <c r="C89" s="15" t="s">
        <v>327</v>
      </c>
      <c r="D89" s="15" t="s">
        <v>814</v>
      </c>
      <c r="E89" s="15" t="str">
        <f t="shared" si="2"/>
        <v>Alvin Chun</v>
      </c>
      <c r="F89" s="16">
        <f t="shared" si="5"/>
        <v>2406464118</v>
      </c>
      <c r="G89" s="15" t="s">
        <v>815</v>
      </c>
      <c r="H89" s="30" t="s">
        <v>356</v>
      </c>
      <c r="I89" s="17" t="s">
        <v>104</v>
      </c>
      <c r="J89" s="18" t="s">
        <v>105</v>
      </c>
      <c r="K89" s="17" t="s">
        <v>106</v>
      </c>
      <c r="L89" s="19">
        <v>2.028420001E9</v>
      </c>
      <c r="M89" s="20" t="s">
        <v>39</v>
      </c>
      <c r="N89" s="21" t="s">
        <v>816</v>
      </c>
      <c r="O89" s="21" t="s">
        <v>817</v>
      </c>
      <c r="P89" s="21" t="s">
        <v>818</v>
      </c>
      <c r="Q89" s="21" t="s">
        <v>819</v>
      </c>
      <c r="R89" s="21">
        <v>20019.0</v>
      </c>
      <c r="S89" s="21" t="s">
        <v>74</v>
      </c>
      <c r="T89" s="29">
        <v>2.406464118E9</v>
      </c>
      <c r="U89" s="21">
        <v>1.0</v>
      </c>
      <c r="V89" s="21">
        <v>0.0</v>
      </c>
      <c r="W89" s="21">
        <f t="shared" si="4"/>
        <v>1</v>
      </c>
      <c r="X89" s="21" t="s">
        <v>820</v>
      </c>
      <c r="Y89" s="21" t="s">
        <v>47</v>
      </c>
      <c r="Z89" s="22" t="s">
        <v>236</v>
      </c>
      <c r="AA89" s="22" t="s">
        <v>821</v>
      </c>
      <c r="AB89" s="21" t="s">
        <v>145</v>
      </c>
      <c r="AC89" s="21">
        <v>12.0</v>
      </c>
      <c r="AD89" s="24"/>
      <c r="AE89" s="25"/>
    </row>
    <row r="90">
      <c r="A90" s="34">
        <v>45471.4796825463</v>
      </c>
      <c r="B90" s="14">
        <f t="shared" si="1"/>
        <v>45471</v>
      </c>
      <c r="C90" s="15" t="s">
        <v>327</v>
      </c>
      <c r="D90" s="15" t="s">
        <v>822</v>
      </c>
      <c r="E90" s="15" t="str">
        <f t="shared" si="2"/>
        <v>Tonya Jefferson</v>
      </c>
      <c r="F90" s="16">
        <f t="shared" si="5"/>
        <v>2024375496</v>
      </c>
      <c r="G90" s="15" t="s">
        <v>823</v>
      </c>
      <c r="H90" s="30" t="s">
        <v>356</v>
      </c>
      <c r="I90" s="17" t="s">
        <v>104</v>
      </c>
      <c r="J90" s="18" t="s">
        <v>105</v>
      </c>
      <c r="K90" s="17" t="s">
        <v>106</v>
      </c>
      <c r="L90" s="19">
        <v>2.028420001E9</v>
      </c>
      <c r="M90" s="20" t="s">
        <v>39</v>
      </c>
      <c r="N90" s="21" t="s">
        <v>824</v>
      </c>
      <c r="O90" s="21" t="s">
        <v>825</v>
      </c>
      <c r="P90" s="21" t="s">
        <v>826</v>
      </c>
      <c r="Q90" s="21">
        <v>3446.0</v>
      </c>
      <c r="R90" s="21">
        <v>20020.0</v>
      </c>
      <c r="S90" s="21" t="s">
        <v>44</v>
      </c>
      <c r="T90" s="29">
        <v>2.024375496E9</v>
      </c>
      <c r="U90" s="21">
        <v>1.0</v>
      </c>
      <c r="V90" s="21">
        <v>0.0</v>
      </c>
      <c r="W90" s="21">
        <f t="shared" si="4"/>
        <v>1</v>
      </c>
      <c r="X90" s="21" t="s">
        <v>46</v>
      </c>
      <c r="Y90" s="21" t="s">
        <v>47</v>
      </c>
      <c r="Z90" s="22" t="s">
        <v>48</v>
      </c>
      <c r="AA90" s="22" t="s">
        <v>827</v>
      </c>
      <c r="AB90" s="21" t="s">
        <v>145</v>
      </c>
      <c r="AC90" s="21">
        <v>12.0</v>
      </c>
      <c r="AD90" s="24"/>
      <c r="AE90" s="25"/>
      <c r="AF90" s="12"/>
      <c r="AG90" s="12"/>
      <c r="AH90" s="12"/>
      <c r="AI90" s="12"/>
      <c r="AJ90" s="12"/>
      <c r="AK90" s="12"/>
    </row>
    <row r="91">
      <c r="A91" s="34">
        <v>45474.428814259256</v>
      </c>
      <c r="B91" s="14">
        <f t="shared" si="1"/>
        <v>45474</v>
      </c>
      <c r="C91" s="15" t="s">
        <v>327</v>
      </c>
      <c r="D91" s="15" t="s">
        <v>828</v>
      </c>
      <c r="E91" s="15" t="str">
        <f t="shared" si="2"/>
        <v>Derek Lewis</v>
      </c>
      <c r="F91" s="16">
        <f t="shared" si="5"/>
        <v>2025565577</v>
      </c>
      <c r="G91" s="15" t="s">
        <v>829</v>
      </c>
      <c r="H91" s="30" t="s">
        <v>34</v>
      </c>
      <c r="I91" s="17" t="s">
        <v>629</v>
      </c>
      <c r="J91" s="18" t="s">
        <v>830</v>
      </c>
      <c r="K91" s="31" t="s">
        <v>831</v>
      </c>
      <c r="L91" s="26">
        <v>2.027348365E9</v>
      </c>
      <c r="M91" s="27" t="s">
        <v>39</v>
      </c>
      <c r="N91" s="21" t="s">
        <v>832</v>
      </c>
      <c r="O91" s="21" t="s">
        <v>833</v>
      </c>
      <c r="P91" s="21" t="s">
        <v>834</v>
      </c>
      <c r="Q91" s="21">
        <v>501.0</v>
      </c>
      <c r="R91" s="21">
        <v>20019.0</v>
      </c>
      <c r="S91" s="21" t="s">
        <v>74</v>
      </c>
      <c r="T91" s="29">
        <v>2.025565577E9</v>
      </c>
      <c r="U91" s="21">
        <v>1.0</v>
      </c>
      <c r="V91" s="21">
        <v>2.0</v>
      </c>
      <c r="W91" s="21">
        <f t="shared" si="4"/>
        <v>3</v>
      </c>
      <c r="X91" s="21" t="s">
        <v>46</v>
      </c>
      <c r="Y91" s="21" t="s">
        <v>85</v>
      </c>
      <c r="Z91" s="22" t="s">
        <v>835</v>
      </c>
      <c r="AA91" s="22" t="s">
        <v>836</v>
      </c>
      <c r="AB91" s="21" t="s">
        <v>145</v>
      </c>
      <c r="AC91" s="21">
        <v>3.0</v>
      </c>
      <c r="AD91" s="22" t="s">
        <v>837</v>
      </c>
      <c r="AE91" s="25"/>
      <c r="AF91" s="12"/>
      <c r="AG91" s="12"/>
      <c r="AH91" s="12"/>
      <c r="AI91" s="12"/>
      <c r="AJ91" s="12"/>
      <c r="AK91" s="12"/>
    </row>
    <row r="92">
      <c r="A92" s="34">
        <v>45474.65429708333</v>
      </c>
      <c r="B92" s="14">
        <f t="shared" si="1"/>
        <v>45474</v>
      </c>
      <c r="C92" s="15" t="s">
        <v>327</v>
      </c>
      <c r="D92" s="15" t="s">
        <v>838</v>
      </c>
      <c r="E92" s="15" t="str">
        <f t="shared" si="2"/>
        <v>Yenneylis Jimez</v>
      </c>
      <c r="F92" s="16">
        <f t="shared" si="5"/>
        <v>2028450564</v>
      </c>
      <c r="G92" s="15" t="s">
        <v>839</v>
      </c>
      <c r="H92" s="15" t="s">
        <v>34</v>
      </c>
      <c r="I92" s="17" t="s">
        <v>840</v>
      </c>
      <c r="J92" s="18" t="s">
        <v>841</v>
      </c>
      <c r="K92" s="31" t="s">
        <v>150</v>
      </c>
      <c r="L92" s="26">
        <v>2.029859505E9</v>
      </c>
      <c r="M92" s="27" t="s">
        <v>39</v>
      </c>
      <c r="N92" s="21" t="s">
        <v>842</v>
      </c>
      <c r="O92" s="21" t="s">
        <v>843</v>
      </c>
      <c r="P92" s="21" t="s">
        <v>844</v>
      </c>
      <c r="Q92" s="21">
        <v>410.0</v>
      </c>
      <c r="R92" s="21">
        <v>20002.0</v>
      </c>
      <c r="S92" s="21" t="s">
        <v>74</v>
      </c>
      <c r="T92" s="29">
        <v>2.028450564E9</v>
      </c>
      <c r="U92" s="21">
        <v>4.0</v>
      </c>
      <c r="V92" s="21">
        <v>6.0</v>
      </c>
      <c r="W92" s="21">
        <f t="shared" si="4"/>
        <v>10</v>
      </c>
      <c r="X92" s="21" t="s">
        <v>46</v>
      </c>
      <c r="Y92" s="21" t="s">
        <v>47</v>
      </c>
      <c r="Z92" s="22" t="s">
        <v>845</v>
      </c>
      <c r="AA92" s="22" t="s">
        <v>846</v>
      </c>
      <c r="AB92" s="21" t="s">
        <v>63</v>
      </c>
      <c r="AC92" s="21">
        <v>2.0</v>
      </c>
      <c r="AD92" s="22" t="s">
        <v>847</v>
      </c>
      <c r="AE92" s="25"/>
      <c r="AF92" s="12"/>
      <c r="AG92" s="12"/>
      <c r="AH92" s="12"/>
      <c r="AI92" s="12"/>
      <c r="AJ92" s="12"/>
      <c r="AK92" s="12"/>
    </row>
    <row r="93">
      <c r="A93" s="34">
        <v>45476.41771576389</v>
      </c>
      <c r="B93" s="14">
        <f t="shared" si="1"/>
        <v>45476</v>
      </c>
      <c r="C93" s="15" t="s">
        <v>848</v>
      </c>
      <c r="D93" s="15" t="s">
        <v>849</v>
      </c>
      <c r="E93" s="15" t="str">
        <f t="shared" si="2"/>
        <v>Gabi (Cinthia) Peraza-Rosales</v>
      </c>
      <c r="F93" s="16">
        <f t="shared" si="5"/>
        <v>2402346833</v>
      </c>
      <c r="G93" s="15" t="s">
        <v>850</v>
      </c>
      <c r="H93" s="38" t="s">
        <v>356</v>
      </c>
      <c r="I93" s="17" t="s">
        <v>285</v>
      </c>
      <c r="J93" s="18" t="s">
        <v>851</v>
      </c>
      <c r="K93" s="17" t="s">
        <v>287</v>
      </c>
      <c r="L93" s="19" t="s">
        <v>852</v>
      </c>
      <c r="M93" s="20" t="s">
        <v>39</v>
      </c>
      <c r="N93" s="21" t="s">
        <v>853</v>
      </c>
      <c r="O93" s="21" t="s">
        <v>854</v>
      </c>
      <c r="P93" s="21" t="s">
        <v>855</v>
      </c>
      <c r="Q93" s="21" t="s">
        <v>856</v>
      </c>
      <c r="R93" s="21">
        <v>20009.0</v>
      </c>
      <c r="S93" s="21" t="s">
        <v>59</v>
      </c>
      <c r="T93" s="29">
        <v>2.402346833E9</v>
      </c>
      <c r="U93" s="21">
        <v>2.0</v>
      </c>
      <c r="V93" s="21">
        <v>2.0</v>
      </c>
      <c r="W93" s="21">
        <f t="shared" si="4"/>
        <v>4</v>
      </c>
      <c r="X93" s="21" t="s">
        <v>46</v>
      </c>
      <c r="Y93" s="21" t="s">
        <v>85</v>
      </c>
      <c r="Z93" s="22" t="s">
        <v>857</v>
      </c>
      <c r="AA93" s="22" t="s">
        <v>858</v>
      </c>
      <c r="AB93" s="21" t="s">
        <v>63</v>
      </c>
      <c r="AC93" s="21">
        <v>3.0</v>
      </c>
      <c r="AD93" s="22" t="s">
        <v>859</v>
      </c>
      <c r="AE93" s="25"/>
      <c r="AF93" s="12"/>
      <c r="AG93" s="12"/>
      <c r="AH93" s="12"/>
      <c r="AI93" s="12"/>
      <c r="AJ93" s="12"/>
      <c r="AK93" s="12"/>
    </row>
    <row r="94">
      <c r="A94" s="34">
        <v>45476.843942719905</v>
      </c>
      <c r="B94" s="14">
        <f t="shared" si="1"/>
        <v>45476</v>
      </c>
      <c r="C94" s="15" t="s">
        <v>643</v>
      </c>
      <c r="D94" s="15" t="s">
        <v>860</v>
      </c>
      <c r="E94" s="15" t="str">
        <f t="shared" si="2"/>
        <v>Fozeya Ahmed</v>
      </c>
      <c r="F94" s="16">
        <f t="shared" si="5"/>
        <v>7032949702</v>
      </c>
      <c r="G94" s="15" t="s">
        <v>861</v>
      </c>
      <c r="H94" s="38" t="s">
        <v>66</v>
      </c>
      <c r="I94" s="17" t="s">
        <v>862</v>
      </c>
      <c r="J94" s="18" t="s">
        <v>863</v>
      </c>
      <c r="K94" s="17" t="s">
        <v>864</v>
      </c>
      <c r="L94" s="19">
        <v>2.024972568E9</v>
      </c>
      <c r="M94" s="20" t="s">
        <v>39</v>
      </c>
      <c r="N94" s="21" t="s">
        <v>865</v>
      </c>
      <c r="O94" s="21" t="s">
        <v>866</v>
      </c>
      <c r="P94" s="21" t="s">
        <v>867</v>
      </c>
      <c r="Q94" s="21" t="s">
        <v>360</v>
      </c>
      <c r="R94" s="21">
        <v>20001.0</v>
      </c>
      <c r="S94" s="21" t="s">
        <v>59</v>
      </c>
      <c r="T94" s="29">
        <v>7.032949702E9</v>
      </c>
      <c r="U94" s="21">
        <v>1.0</v>
      </c>
      <c r="V94" s="21">
        <v>1.0</v>
      </c>
      <c r="W94" s="21">
        <f t="shared" si="4"/>
        <v>2</v>
      </c>
      <c r="X94" s="21" t="s">
        <v>46</v>
      </c>
      <c r="Y94" s="21" t="s">
        <v>85</v>
      </c>
      <c r="Z94" s="22" t="s">
        <v>122</v>
      </c>
      <c r="AA94" s="22" t="s">
        <v>868</v>
      </c>
      <c r="AB94" s="21" t="s">
        <v>145</v>
      </c>
      <c r="AC94" s="21">
        <v>12.0</v>
      </c>
      <c r="AD94" s="22" t="s">
        <v>869</v>
      </c>
      <c r="AE94" s="25"/>
      <c r="AF94" s="12"/>
      <c r="AG94" s="12"/>
      <c r="AH94" s="12"/>
      <c r="AI94" s="12"/>
      <c r="AJ94" s="12"/>
      <c r="AK94" s="12"/>
    </row>
    <row r="95">
      <c r="A95" s="34">
        <v>45481.39951268518</v>
      </c>
      <c r="B95" s="14">
        <f t="shared" si="1"/>
        <v>45481</v>
      </c>
      <c r="C95" s="15" t="s">
        <v>31</v>
      </c>
      <c r="D95" s="15" t="s">
        <v>870</v>
      </c>
      <c r="E95" s="15" t="str">
        <f t="shared" si="2"/>
        <v>Concepta Davis Perry</v>
      </c>
      <c r="F95" s="16">
        <f t="shared" si="5"/>
        <v>2027942508</v>
      </c>
      <c r="G95" s="15" t="s">
        <v>871</v>
      </c>
      <c r="H95" s="38" t="s">
        <v>66</v>
      </c>
      <c r="I95" s="17" t="s">
        <v>872</v>
      </c>
      <c r="J95" s="18" t="s">
        <v>873</v>
      </c>
      <c r="K95" s="17" t="s">
        <v>874</v>
      </c>
      <c r="L95" s="19" t="s">
        <v>875</v>
      </c>
      <c r="M95" s="20" t="s">
        <v>39</v>
      </c>
      <c r="N95" s="21" t="s">
        <v>876</v>
      </c>
      <c r="O95" s="21" t="s">
        <v>877</v>
      </c>
      <c r="P95" s="21" t="s">
        <v>878</v>
      </c>
      <c r="Q95" s="21" t="s">
        <v>879</v>
      </c>
      <c r="R95" s="21">
        <v>20012.0</v>
      </c>
      <c r="S95" s="21" t="s">
        <v>59</v>
      </c>
      <c r="T95" s="29">
        <v>2.027942508E9</v>
      </c>
      <c r="U95" s="21">
        <v>1.0</v>
      </c>
      <c r="V95" s="21">
        <v>0.0</v>
      </c>
      <c r="W95" s="21">
        <f t="shared" si="4"/>
        <v>1</v>
      </c>
      <c r="X95" s="21" t="s">
        <v>46</v>
      </c>
      <c r="Y95" s="21" t="s">
        <v>47</v>
      </c>
      <c r="Z95" s="22" t="s">
        <v>76</v>
      </c>
      <c r="AA95" s="22" t="s">
        <v>880</v>
      </c>
      <c r="AB95" s="21" t="s">
        <v>145</v>
      </c>
      <c r="AC95" s="21">
        <v>12.0</v>
      </c>
      <c r="AD95" s="23"/>
      <c r="AE95" s="39"/>
      <c r="AF95" s="12"/>
      <c r="AG95" s="12"/>
      <c r="AH95" s="12"/>
      <c r="AI95" s="12"/>
      <c r="AJ95" s="12"/>
      <c r="AK95" s="12"/>
    </row>
    <row r="96">
      <c r="A96" s="34">
        <v>45482.66180695602</v>
      </c>
      <c r="B96" s="14">
        <f t="shared" si="1"/>
        <v>45482</v>
      </c>
      <c r="C96" s="15" t="s">
        <v>31</v>
      </c>
      <c r="D96" s="15" t="s">
        <v>881</v>
      </c>
      <c r="E96" s="15" t="str">
        <f t="shared" si="2"/>
        <v>Milton Henderson</v>
      </c>
      <c r="F96" s="16" t="str">
        <f t="shared" si="5"/>
        <v>(240) 604-6600</v>
      </c>
      <c r="G96" s="15" t="s">
        <v>882</v>
      </c>
      <c r="H96" s="30" t="s">
        <v>356</v>
      </c>
      <c r="I96" s="17" t="s">
        <v>213</v>
      </c>
      <c r="J96" s="18" t="s">
        <v>214</v>
      </c>
      <c r="K96" s="17" t="s">
        <v>116</v>
      </c>
      <c r="L96" s="19" t="s">
        <v>883</v>
      </c>
      <c r="M96" s="20" t="s">
        <v>39</v>
      </c>
      <c r="N96" s="21" t="s">
        <v>884</v>
      </c>
      <c r="O96" s="21" t="s">
        <v>885</v>
      </c>
      <c r="P96" s="21" t="s">
        <v>886</v>
      </c>
      <c r="Q96" s="21">
        <v>349.0</v>
      </c>
      <c r="R96" s="21">
        <v>20019.0</v>
      </c>
      <c r="S96" s="21" t="s">
        <v>74</v>
      </c>
      <c r="T96" s="29" t="s">
        <v>887</v>
      </c>
      <c r="U96" s="21">
        <v>1.0</v>
      </c>
      <c r="V96" s="21">
        <v>0.0</v>
      </c>
      <c r="W96" s="21">
        <f t="shared" si="4"/>
        <v>1</v>
      </c>
      <c r="X96" s="21" t="s">
        <v>46</v>
      </c>
      <c r="Y96" s="21" t="s">
        <v>85</v>
      </c>
      <c r="Z96" s="22" t="s">
        <v>187</v>
      </c>
      <c r="AA96" s="22" t="s">
        <v>888</v>
      </c>
      <c r="AB96" s="21" t="s">
        <v>49</v>
      </c>
      <c r="AC96" s="21">
        <v>6.0</v>
      </c>
      <c r="AD96" s="22" t="s">
        <v>889</v>
      </c>
      <c r="AE96" s="25"/>
      <c r="AF96" s="12"/>
      <c r="AG96" s="12"/>
      <c r="AH96" s="12"/>
      <c r="AI96" s="12"/>
      <c r="AJ96" s="12"/>
      <c r="AK96" s="12"/>
    </row>
    <row r="97">
      <c r="A97" s="34">
        <v>45483.55744203704</v>
      </c>
      <c r="B97" s="14">
        <f t="shared" si="1"/>
        <v>45483</v>
      </c>
      <c r="C97" s="15" t="s">
        <v>327</v>
      </c>
      <c r="D97" s="15" t="s">
        <v>890</v>
      </c>
      <c r="E97" s="15" t="str">
        <f t="shared" si="2"/>
        <v>Delonte Williams</v>
      </c>
      <c r="F97" s="16" t="str">
        <f t="shared" si="5"/>
        <v>(443) 680-6938</v>
      </c>
      <c r="G97" s="15" t="s">
        <v>891</v>
      </c>
      <c r="H97" s="30" t="s">
        <v>356</v>
      </c>
      <c r="I97" s="17" t="s">
        <v>892</v>
      </c>
      <c r="J97" s="18" t="s">
        <v>893</v>
      </c>
      <c r="K97" s="17" t="s">
        <v>894</v>
      </c>
      <c r="L97" s="19" t="s">
        <v>895</v>
      </c>
      <c r="M97" s="20" t="s">
        <v>39</v>
      </c>
      <c r="N97" s="21" t="s">
        <v>896</v>
      </c>
      <c r="O97" s="21" t="s">
        <v>537</v>
      </c>
      <c r="P97" s="21" t="s">
        <v>897</v>
      </c>
      <c r="Q97" s="21">
        <v>4.0</v>
      </c>
      <c r="R97" s="21">
        <v>20019.0</v>
      </c>
      <c r="S97" s="21" t="s">
        <v>74</v>
      </c>
      <c r="T97" s="29" t="s">
        <v>898</v>
      </c>
      <c r="U97" s="21">
        <v>2.0</v>
      </c>
      <c r="V97" s="21">
        <v>0.0</v>
      </c>
      <c r="W97" s="21">
        <f t="shared" si="4"/>
        <v>2</v>
      </c>
      <c r="X97" s="21" t="s">
        <v>46</v>
      </c>
      <c r="Y97" s="21" t="s">
        <v>47</v>
      </c>
      <c r="Z97" s="22" t="s">
        <v>361</v>
      </c>
      <c r="AA97" s="22" t="s">
        <v>899</v>
      </c>
      <c r="AB97" s="21" t="s">
        <v>63</v>
      </c>
      <c r="AC97" s="21">
        <v>3.0</v>
      </c>
      <c r="AD97" s="22" t="s">
        <v>900</v>
      </c>
      <c r="AE97" s="25"/>
      <c r="AF97" s="12"/>
      <c r="AG97" s="12"/>
      <c r="AH97" s="12"/>
      <c r="AI97" s="12"/>
      <c r="AJ97" s="12"/>
      <c r="AK97" s="12"/>
    </row>
    <row r="98">
      <c r="A98" s="34">
        <v>45483.586672743055</v>
      </c>
      <c r="B98" s="14">
        <f t="shared" si="1"/>
        <v>45483</v>
      </c>
      <c r="C98" s="15" t="s">
        <v>327</v>
      </c>
      <c r="D98" s="15" t="s">
        <v>901</v>
      </c>
      <c r="E98" s="15" t="str">
        <f t="shared" si="2"/>
        <v>Jennifer Harris</v>
      </c>
      <c r="F98" s="16">
        <f t="shared" si="5"/>
        <v>2027702089</v>
      </c>
      <c r="G98" s="15" t="s">
        <v>902</v>
      </c>
      <c r="H98" s="30" t="s">
        <v>356</v>
      </c>
      <c r="I98" s="17" t="s">
        <v>903</v>
      </c>
      <c r="J98" s="18" t="s">
        <v>904</v>
      </c>
      <c r="K98" s="17" t="s">
        <v>311</v>
      </c>
      <c r="L98" s="19">
        <v>2.026426765E9</v>
      </c>
      <c r="M98" s="20" t="s">
        <v>39</v>
      </c>
      <c r="N98" s="21" t="s">
        <v>905</v>
      </c>
      <c r="O98" s="21" t="s">
        <v>906</v>
      </c>
      <c r="P98" s="21" t="s">
        <v>907</v>
      </c>
      <c r="Q98" s="21">
        <v>303.0</v>
      </c>
      <c r="R98" s="21">
        <v>20019.0</v>
      </c>
      <c r="S98" s="21" t="s">
        <v>44</v>
      </c>
      <c r="T98" s="29">
        <v>2.027702089E9</v>
      </c>
      <c r="U98" s="21">
        <v>1.0</v>
      </c>
      <c r="V98" s="21">
        <v>0.0</v>
      </c>
      <c r="W98" s="21">
        <f t="shared" si="4"/>
        <v>1</v>
      </c>
      <c r="X98" s="21" t="s">
        <v>84</v>
      </c>
      <c r="Y98" s="21" t="s">
        <v>47</v>
      </c>
      <c r="Z98" s="22" t="s">
        <v>144</v>
      </c>
      <c r="AA98" s="22" t="s">
        <v>908</v>
      </c>
      <c r="AB98" s="21" t="s">
        <v>145</v>
      </c>
      <c r="AC98" s="21">
        <v>12.0</v>
      </c>
      <c r="AD98" s="22" t="s">
        <v>909</v>
      </c>
      <c r="AE98" s="25"/>
      <c r="AF98" s="12"/>
      <c r="AG98" s="12"/>
      <c r="AH98" s="12"/>
      <c r="AI98" s="12"/>
      <c r="AJ98" s="12"/>
      <c r="AK98" s="12"/>
    </row>
    <row r="99">
      <c r="A99" s="34">
        <v>45483.63664193287</v>
      </c>
      <c r="B99" s="14">
        <f t="shared" si="1"/>
        <v>45483</v>
      </c>
      <c r="C99" s="15" t="s">
        <v>327</v>
      </c>
      <c r="D99" s="15" t="s">
        <v>910</v>
      </c>
      <c r="E99" s="15" t="str">
        <f t="shared" si="2"/>
        <v>Thomasine BENNETT</v>
      </c>
      <c r="F99" s="16">
        <f t="shared" si="5"/>
        <v>2024691812</v>
      </c>
      <c r="G99" s="15" t="s">
        <v>911</v>
      </c>
      <c r="H99" s="30" t="s">
        <v>103</v>
      </c>
      <c r="I99" s="17" t="s">
        <v>912</v>
      </c>
      <c r="J99" s="18" t="s">
        <v>913</v>
      </c>
      <c r="K99" s="17" t="s">
        <v>914</v>
      </c>
      <c r="L99" s="19" t="s">
        <v>915</v>
      </c>
      <c r="M99" s="20" t="s">
        <v>39</v>
      </c>
      <c r="N99" s="21" t="s">
        <v>916</v>
      </c>
      <c r="O99" s="21" t="s">
        <v>917</v>
      </c>
      <c r="P99" s="21" t="s">
        <v>918</v>
      </c>
      <c r="Q99" s="21" t="s">
        <v>919</v>
      </c>
      <c r="R99" s="21">
        <v>20003.0</v>
      </c>
      <c r="S99" s="21" t="s">
        <v>44</v>
      </c>
      <c r="T99" s="29">
        <v>2.024691812E9</v>
      </c>
      <c r="U99" s="21">
        <v>1.0</v>
      </c>
      <c r="V99" s="21">
        <v>0.0</v>
      </c>
      <c r="W99" s="21">
        <f t="shared" si="4"/>
        <v>1</v>
      </c>
      <c r="X99" s="21" t="s">
        <v>84</v>
      </c>
      <c r="Y99" s="21" t="s">
        <v>85</v>
      </c>
      <c r="Z99" s="22" t="s">
        <v>920</v>
      </c>
      <c r="AA99" s="22" t="s">
        <v>921</v>
      </c>
      <c r="AB99" s="21" t="s">
        <v>49</v>
      </c>
      <c r="AC99" s="21">
        <v>12.0</v>
      </c>
      <c r="AD99" s="22" t="s">
        <v>922</v>
      </c>
      <c r="AE99" s="25"/>
      <c r="AF99" s="12"/>
      <c r="AG99" s="12"/>
      <c r="AH99" s="12"/>
      <c r="AI99" s="12"/>
      <c r="AJ99" s="12"/>
      <c r="AK99" s="12"/>
    </row>
    <row r="100">
      <c r="A100" s="34">
        <v>45484.45638957176</v>
      </c>
      <c r="B100" s="14">
        <f t="shared" si="1"/>
        <v>45484</v>
      </c>
      <c r="C100" s="15" t="s">
        <v>327</v>
      </c>
      <c r="D100" s="15" t="s">
        <v>923</v>
      </c>
      <c r="E100" s="15" t="str">
        <f t="shared" si="2"/>
        <v>Odell Hillman</v>
      </c>
      <c r="F100" s="16" t="str">
        <f t="shared" si="5"/>
        <v>202-609-2755
771-201-2469</v>
      </c>
      <c r="G100" s="15" t="s">
        <v>924</v>
      </c>
      <c r="H100" s="30" t="s">
        <v>356</v>
      </c>
      <c r="I100" s="17" t="s">
        <v>925</v>
      </c>
      <c r="J100" s="18" t="s">
        <v>926</v>
      </c>
      <c r="K100" s="17" t="s">
        <v>927</v>
      </c>
      <c r="L100" s="19" t="s">
        <v>928</v>
      </c>
      <c r="M100" s="20" t="s">
        <v>39</v>
      </c>
      <c r="N100" s="21" t="s">
        <v>929</v>
      </c>
      <c r="O100" s="21" t="s">
        <v>930</v>
      </c>
      <c r="P100" s="21" t="s">
        <v>931</v>
      </c>
      <c r="Q100" s="21">
        <v>101.0</v>
      </c>
      <c r="R100" s="21" t="s">
        <v>932</v>
      </c>
      <c r="S100" s="21" t="s">
        <v>44</v>
      </c>
      <c r="T100" s="29" t="s">
        <v>933</v>
      </c>
      <c r="U100" s="21">
        <v>1.0</v>
      </c>
      <c r="V100" s="21">
        <v>0.0</v>
      </c>
      <c r="W100" s="21">
        <f t="shared" si="4"/>
        <v>1</v>
      </c>
      <c r="X100" s="21" t="s">
        <v>84</v>
      </c>
      <c r="Y100" s="21" t="s">
        <v>47</v>
      </c>
      <c r="Z100" s="22" t="s">
        <v>187</v>
      </c>
      <c r="AA100" s="22" t="s">
        <v>934</v>
      </c>
      <c r="AB100" s="21" t="s">
        <v>63</v>
      </c>
      <c r="AC100" s="21">
        <v>12.0</v>
      </c>
      <c r="AD100" s="22" t="s">
        <v>935</v>
      </c>
      <c r="AE100" s="25"/>
      <c r="AF100" s="12"/>
      <c r="AG100" s="12"/>
      <c r="AH100" s="12"/>
      <c r="AI100" s="12"/>
      <c r="AJ100" s="12"/>
      <c r="AK100" s="12"/>
    </row>
    <row r="101">
      <c r="A101" s="34">
        <v>45484.71003376157</v>
      </c>
      <c r="B101" s="14">
        <f t="shared" si="1"/>
        <v>45484</v>
      </c>
      <c r="C101" s="15" t="s">
        <v>327</v>
      </c>
      <c r="D101" s="15" t="s">
        <v>189</v>
      </c>
      <c r="E101" s="15" t="str">
        <f t="shared" si="2"/>
        <v>Ronald Anthony</v>
      </c>
      <c r="F101" s="16">
        <f t="shared" si="5"/>
        <v>7712336242</v>
      </c>
      <c r="G101" s="15" t="s">
        <v>936</v>
      </c>
      <c r="H101" s="30" t="s">
        <v>356</v>
      </c>
      <c r="I101" s="17" t="s">
        <v>170</v>
      </c>
      <c r="J101" s="18" t="s">
        <v>171</v>
      </c>
      <c r="K101" s="17" t="s">
        <v>367</v>
      </c>
      <c r="L101" s="19" t="s">
        <v>519</v>
      </c>
      <c r="M101" s="20" t="s">
        <v>39</v>
      </c>
      <c r="N101" s="21" t="s">
        <v>937</v>
      </c>
      <c r="O101" s="21" t="s">
        <v>938</v>
      </c>
      <c r="P101" s="21" t="s">
        <v>939</v>
      </c>
      <c r="Q101" s="21">
        <v>12.0</v>
      </c>
      <c r="R101" s="21">
        <v>20001.0</v>
      </c>
      <c r="S101" s="21" t="s">
        <v>59</v>
      </c>
      <c r="T101" s="29">
        <v>7.712336242E9</v>
      </c>
      <c r="U101" s="21">
        <v>1.0</v>
      </c>
      <c r="V101" s="21">
        <v>0.0</v>
      </c>
      <c r="W101" s="21">
        <f t="shared" si="4"/>
        <v>1</v>
      </c>
      <c r="X101" s="21" t="s">
        <v>46</v>
      </c>
      <c r="Y101" s="21" t="s">
        <v>47</v>
      </c>
      <c r="Z101" s="22" t="s">
        <v>940</v>
      </c>
      <c r="AA101" s="22" t="s">
        <v>941</v>
      </c>
      <c r="AB101" s="21" t="s">
        <v>49</v>
      </c>
      <c r="AC101" s="21">
        <v>3.0</v>
      </c>
      <c r="AD101" s="22" t="s">
        <v>942</v>
      </c>
      <c r="AE101" s="25"/>
      <c r="AF101" s="12"/>
      <c r="AG101" s="12"/>
      <c r="AH101" s="12"/>
      <c r="AI101" s="12"/>
      <c r="AJ101" s="12"/>
      <c r="AK101" s="12"/>
    </row>
    <row r="102">
      <c r="A102" s="34">
        <v>45485.016277800925</v>
      </c>
      <c r="B102" s="14">
        <f t="shared" si="1"/>
        <v>45485</v>
      </c>
      <c r="C102" s="15" t="s">
        <v>31</v>
      </c>
      <c r="D102" s="15" t="s">
        <v>943</v>
      </c>
      <c r="E102" s="15" t="str">
        <f t="shared" si="2"/>
        <v>Monica Cole</v>
      </c>
      <c r="F102" s="16" t="str">
        <f t="shared" si="5"/>
        <v> (202) 424-4204</v>
      </c>
      <c r="G102" s="15" t="s">
        <v>944</v>
      </c>
      <c r="H102" s="30" t="s">
        <v>103</v>
      </c>
      <c r="I102" s="17" t="s">
        <v>945</v>
      </c>
      <c r="J102" s="18" t="s">
        <v>946</v>
      </c>
      <c r="K102" s="17" t="s">
        <v>947</v>
      </c>
      <c r="L102" s="19">
        <v>2.407040629E9</v>
      </c>
      <c r="M102" s="20" t="s">
        <v>39</v>
      </c>
      <c r="N102" s="21" t="s">
        <v>948</v>
      </c>
      <c r="O102" s="21" t="s">
        <v>949</v>
      </c>
      <c r="P102" s="21" t="s">
        <v>950</v>
      </c>
      <c r="Q102" s="21">
        <v>302.0</v>
      </c>
      <c r="R102" s="21">
        <v>20001.0</v>
      </c>
      <c r="S102" s="21" t="s">
        <v>59</v>
      </c>
      <c r="T102" s="29" t="s">
        <v>951</v>
      </c>
      <c r="U102" s="21">
        <v>2.0</v>
      </c>
      <c r="V102" s="21">
        <v>0.0</v>
      </c>
      <c r="W102" s="21">
        <f t="shared" si="4"/>
        <v>2</v>
      </c>
      <c r="X102" s="21" t="s">
        <v>46</v>
      </c>
      <c r="Y102" s="21" t="s">
        <v>47</v>
      </c>
      <c r="Z102" s="22" t="s">
        <v>144</v>
      </c>
      <c r="AA102" s="22" t="s">
        <v>952</v>
      </c>
      <c r="AB102" s="21" t="s">
        <v>145</v>
      </c>
      <c r="AC102" s="21">
        <v>12.0</v>
      </c>
      <c r="AD102" s="22" t="s">
        <v>953</v>
      </c>
      <c r="AE102" s="25"/>
      <c r="AF102" s="12"/>
      <c r="AG102" s="12"/>
      <c r="AH102" s="12"/>
      <c r="AI102" s="12"/>
      <c r="AJ102" s="12"/>
      <c r="AK102" s="12"/>
    </row>
    <row r="103">
      <c r="A103" s="34">
        <v>45487.10806684028</v>
      </c>
      <c r="B103" s="14">
        <f t="shared" si="1"/>
        <v>45487</v>
      </c>
      <c r="C103" s="15" t="s">
        <v>327</v>
      </c>
      <c r="D103" s="15" t="s">
        <v>954</v>
      </c>
      <c r="E103" s="15" t="str">
        <f t="shared" si="2"/>
        <v>Howard Poole</v>
      </c>
      <c r="F103" s="16">
        <f t="shared" si="5"/>
        <v>2023623140</v>
      </c>
      <c r="G103" s="15" t="s">
        <v>955</v>
      </c>
      <c r="H103" s="30" t="s">
        <v>356</v>
      </c>
      <c r="I103" s="17" t="s">
        <v>956</v>
      </c>
      <c r="J103" s="18" t="s">
        <v>957</v>
      </c>
      <c r="K103" s="17" t="s">
        <v>253</v>
      </c>
      <c r="L103" s="19">
        <v>2.025383951E9</v>
      </c>
      <c r="M103" s="20" t="s">
        <v>39</v>
      </c>
      <c r="N103" s="21" t="s">
        <v>958</v>
      </c>
      <c r="O103" s="21" t="s">
        <v>959</v>
      </c>
      <c r="P103" s="21" t="s">
        <v>960</v>
      </c>
      <c r="Q103" s="21">
        <v>317.0</v>
      </c>
      <c r="R103" s="21">
        <v>20016.0</v>
      </c>
      <c r="S103" s="21" t="s">
        <v>59</v>
      </c>
      <c r="T103" s="29">
        <v>2.02362314E9</v>
      </c>
      <c r="U103" s="21">
        <v>1.0</v>
      </c>
      <c r="V103" s="21">
        <v>0.0</v>
      </c>
      <c r="W103" s="21">
        <f t="shared" si="4"/>
        <v>1</v>
      </c>
      <c r="X103" s="21" t="s">
        <v>84</v>
      </c>
      <c r="Y103" s="21" t="s">
        <v>47</v>
      </c>
      <c r="Z103" s="22" t="s">
        <v>756</v>
      </c>
      <c r="AA103" s="22" t="s">
        <v>961</v>
      </c>
      <c r="AB103" s="21" t="s">
        <v>49</v>
      </c>
      <c r="AC103" s="21">
        <v>12.0</v>
      </c>
      <c r="AD103" s="22" t="s">
        <v>962</v>
      </c>
      <c r="AE103" s="25"/>
      <c r="AF103" s="12"/>
      <c r="AG103" s="12"/>
      <c r="AH103" s="12"/>
      <c r="AI103" s="12"/>
      <c r="AJ103" s="12"/>
      <c r="AK103" s="12"/>
    </row>
    <row r="104">
      <c r="A104" s="34">
        <v>45488.387670254626</v>
      </c>
      <c r="B104" s="14">
        <f t="shared" si="1"/>
        <v>45488</v>
      </c>
      <c r="C104" s="15" t="s">
        <v>327</v>
      </c>
      <c r="D104" s="15" t="s">
        <v>963</v>
      </c>
      <c r="E104" s="15" t="str">
        <f t="shared" si="2"/>
        <v>Stephen Nebel</v>
      </c>
      <c r="F104" s="16">
        <f t="shared" si="5"/>
        <v>2029669419</v>
      </c>
      <c r="G104" s="15" t="s">
        <v>964</v>
      </c>
      <c r="H104" s="30" t="s">
        <v>34</v>
      </c>
      <c r="I104" s="17" t="s">
        <v>965</v>
      </c>
      <c r="J104" s="18" t="s">
        <v>966</v>
      </c>
      <c r="K104" s="17" t="s">
        <v>967</v>
      </c>
      <c r="L104" s="19" t="s">
        <v>968</v>
      </c>
      <c r="M104" s="20" t="s">
        <v>39</v>
      </c>
      <c r="N104" s="21" t="s">
        <v>969</v>
      </c>
      <c r="O104" s="21" t="s">
        <v>970</v>
      </c>
      <c r="P104" s="21" t="s">
        <v>971</v>
      </c>
      <c r="Q104" s="21" t="s">
        <v>972</v>
      </c>
      <c r="R104" s="21">
        <v>20016.0</v>
      </c>
      <c r="S104" s="21" t="s">
        <v>59</v>
      </c>
      <c r="T104" s="29">
        <v>2.029669419E9</v>
      </c>
      <c r="U104" s="21">
        <v>1.0</v>
      </c>
      <c r="V104" s="21">
        <v>0.0</v>
      </c>
      <c r="W104" s="21">
        <f t="shared" si="4"/>
        <v>1</v>
      </c>
      <c r="X104" s="21" t="s">
        <v>84</v>
      </c>
      <c r="Y104" s="21" t="s">
        <v>47</v>
      </c>
      <c r="Z104" s="22" t="s">
        <v>259</v>
      </c>
      <c r="AA104" s="22" t="s">
        <v>973</v>
      </c>
      <c r="AB104" s="21" t="s">
        <v>49</v>
      </c>
      <c r="AC104" s="21">
        <v>6.0</v>
      </c>
      <c r="AD104" s="22" t="s">
        <v>974</v>
      </c>
      <c r="AE104" s="25"/>
      <c r="AF104" s="12"/>
      <c r="AG104" s="12"/>
      <c r="AH104" s="12"/>
      <c r="AI104" s="12"/>
      <c r="AJ104" s="12"/>
      <c r="AK104" s="12"/>
    </row>
    <row r="105">
      <c r="A105" s="34">
        <v>45492.47838158565</v>
      </c>
      <c r="B105" s="14">
        <f t="shared" si="1"/>
        <v>45492</v>
      </c>
      <c r="C105" s="15" t="s">
        <v>327</v>
      </c>
      <c r="D105" s="15" t="s">
        <v>975</v>
      </c>
      <c r="E105" s="15" t="str">
        <f t="shared" si="2"/>
        <v>Donica hemphill</v>
      </c>
      <c r="F105" s="16" t="str">
        <f t="shared" si="5"/>
        <v>(202) 971-2826</v>
      </c>
      <c r="G105" s="15" t="s">
        <v>976</v>
      </c>
      <c r="H105" s="30" t="s">
        <v>66</v>
      </c>
      <c r="I105" s="17" t="s">
        <v>977</v>
      </c>
      <c r="J105" s="18" t="s">
        <v>978</v>
      </c>
      <c r="K105" s="17" t="s">
        <v>979</v>
      </c>
      <c r="L105" s="19" t="s">
        <v>980</v>
      </c>
      <c r="M105" s="20" t="s">
        <v>39</v>
      </c>
      <c r="N105" s="21" t="s">
        <v>981</v>
      </c>
      <c r="O105" s="21" t="s">
        <v>982</v>
      </c>
      <c r="P105" s="21" t="s">
        <v>983</v>
      </c>
      <c r="Q105" s="28"/>
      <c r="R105" s="21">
        <v>20020.0</v>
      </c>
      <c r="S105" s="21" t="s">
        <v>44</v>
      </c>
      <c r="T105" s="29" t="s">
        <v>984</v>
      </c>
      <c r="U105" s="21">
        <v>2.0</v>
      </c>
      <c r="V105" s="21">
        <v>3.0</v>
      </c>
      <c r="W105" s="21">
        <f t="shared" si="4"/>
        <v>5</v>
      </c>
      <c r="X105" s="21" t="s">
        <v>46</v>
      </c>
      <c r="Y105" s="21" t="s">
        <v>85</v>
      </c>
      <c r="Z105" s="22" t="s">
        <v>61</v>
      </c>
      <c r="AA105" s="22" t="s">
        <v>985</v>
      </c>
      <c r="AB105" s="21" t="s">
        <v>49</v>
      </c>
      <c r="AC105" s="21">
        <v>6.0</v>
      </c>
      <c r="AD105" s="22" t="s">
        <v>986</v>
      </c>
      <c r="AE105" s="25"/>
    </row>
    <row r="106">
      <c r="A106" s="34">
        <v>45496.46903953704</v>
      </c>
      <c r="B106" s="14">
        <f t="shared" si="1"/>
        <v>45496</v>
      </c>
      <c r="C106" s="15" t="s">
        <v>327</v>
      </c>
      <c r="D106" s="15" t="s">
        <v>987</v>
      </c>
      <c r="E106" s="15" t="str">
        <f t="shared" si="2"/>
        <v>Anderson Daeshauna</v>
      </c>
      <c r="F106" s="16">
        <f t="shared" si="5"/>
        <v>2022715055</v>
      </c>
      <c r="G106" s="15" t="s">
        <v>595</v>
      </c>
      <c r="H106" s="30" t="s">
        <v>66</v>
      </c>
      <c r="I106" s="17" t="s">
        <v>988</v>
      </c>
      <c r="J106" s="18" t="s">
        <v>989</v>
      </c>
      <c r="K106" s="17" t="s">
        <v>990</v>
      </c>
      <c r="L106" s="19">
        <v>2.40714844E9</v>
      </c>
      <c r="M106" s="20" t="s">
        <v>39</v>
      </c>
      <c r="N106" s="21" t="s">
        <v>991</v>
      </c>
      <c r="O106" s="21" t="s">
        <v>992</v>
      </c>
      <c r="P106" s="21" t="s">
        <v>993</v>
      </c>
      <c r="Q106" s="28"/>
      <c r="R106" s="21">
        <v>20002.0</v>
      </c>
      <c r="S106" s="21" t="s">
        <v>74</v>
      </c>
      <c r="T106" s="29">
        <v>2.022715055E9</v>
      </c>
      <c r="U106" s="21">
        <v>1.0</v>
      </c>
      <c r="V106" s="21">
        <v>1.0</v>
      </c>
      <c r="W106" s="21">
        <f t="shared" si="4"/>
        <v>2</v>
      </c>
      <c r="X106" s="21" t="s">
        <v>46</v>
      </c>
      <c r="Y106" s="21" t="s">
        <v>85</v>
      </c>
      <c r="Z106" s="22" t="s">
        <v>994</v>
      </c>
      <c r="AA106" s="22" t="s">
        <v>995</v>
      </c>
      <c r="AB106" s="21" t="s">
        <v>63</v>
      </c>
      <c r="AC106" s="21">
        <v>6.0</v>
      </c>
      <c r="AD106" s="23"/>
      <c r="AE106" s="39"/>
      <c r="AF106" s="12"/>
      <c r="AG106" s="12"/>
      <c r="AH106" s="12"/>
      <c r="AI106" s="12"/>
      <c r="AJ106" s="12"/>
      <c r="AK106" s="12"/>
    </row>
    <row r="107">
      <c r="A107" s="34">
        <v>45496.58435359954</v>
      </c>
      <c r="B107" s="14">
        <f t="shared" si="1"/>
        <v>45496</v>
      </c>
      <c r="C107" s="15" t="s">
        <v>327</v>
      </c>
      <c r="D107" s="15" t="s">
        <v>996</v>
      </c>
      <c r="E107" s="15" t="str">
        <f t="shared" si="2"/>
        <v>Jatease Hall</v>
      </c>
      <c r="F107" s="16">
        <f t="shared" si="5"/>
        <v>2028098931</v>
      </c>
      <c r="G107" s="15" t="s">
        <v>997</v>
      </c>
      <c r="H107" s="30" t="s">
        <v>66</v>
      </c>
      <c r="I107" s="17" t="s">
        <v>998</v>
      </c>
      <c r="J107" s="18" t="s">
        <v>999</v>
      </c>
      <c r="K107" s="17" t="s">
        <v>1000</v>
      </c>
      <c r="L107" s="19">
        <v>2.023684555E9</v>
      </c>
      <c r="M107" s="20" t="s">
        <v>39</v>
      </c>
      <c r="N107" s="21" t="s">
        <v>1001</v>
      </c>
      <c r="O107" s="21" t="s">
        <v>1002</v>
      </c>
      <c r="P107" s="21" t="s">
        <v>1003</v>
      </c>
      <c r="Q107" s="21">
        <v>1.0</v>
      </c>
      <c r="R107" s="21">
        <v>200020.0</v>
      </c>
      <c r="S107" s="21" t="s">
        <v>74</v>
      </c>
      <c r="T107" s="29">
        <v>2.028098931E9</v>
      </c>
      <c r="U107" s="21">
        <v>1.0</v>
      </c>
      <c r="V107" s="21">
        <v>3.0</v>
      </c>
      <c r="W107" s="21">
        <f t="shared" si="4"/>
        <v>4</v>
      </c>
      <c r="X107" s="21" t="s">
        <v>46</v>
      </c>
      <c r="Y107" s="21" t="s">
        <v>47</v>
      </c>
      <c r="Z107" s="22" t="s">
        <v>236</v>
      </c>
      <c r="AA107" s="22" t="s">
        <v>1004</v>
      </c>
      <c r="AB107" s="21" t="s">
        <v>145</v>
      </c>
      <c r="AC107" s="21">
        <v>3.0</v>
      </c>
      <c r="AD107" s="22" t="s">
        <v>1005</v>
      </c>
      <c r="AE107" s="25"/>
    </row>
    <row r="108">
      <c r="A108" s="34">
        <v>45498.48244908565</v>
      </c>
      <c r="B108" s="14">
        <f t="shared" si="1"/>
        <v>45498</v>
      </c>
      <c r="C108" s="15" t="s">
        <v>295</v>
      </c>
      <c r="D108" s="15" t="s">
        <v>1006</v>
      </c>
      <c r="E108" s="15" t="str">
        <f t="shared" si="2"/>
        <v>Mary Kamara</v>
      </c>
      <c r="F108" s="16">
        <f t="shared" si="5"/>
        <v>2025384443</v>
      </c>
      <c r="G108" s="15" t="s">
        <v>1007</v>
      </c>
      <c r="H108" s="38" t="s">
        <v>66</v>
      </c>
      <c r="I108" s="17" t="s">
        <v>298</v>
      </c>
      <c r="J108" s="18" t="s">
        <v>299</v>
      </c>
      <c r="K108" s="17" t="s">
        <v>150</v>
      </c>
      <c r="L108" s="19" t="s">
        <v>1008</v>
      </c>
      <c r="M108" s="20" t="s">
        <v>39</v>
      </c>
      <c r="N108" s="21" t="s">
        <v>1009</v>
      </c>
      <c r="O108" s="21" t="s">
        <v>1010</v>
      </c>
      <c r="P108" s="21" t="s">
        <v>1011</v>
      </c>
      <c r="Q108" s="28"/>
      <c r="R108" s="21">
        <v>20011.0</v>
      </c>
      <c r="S108" s="21" t="s">
        <v>59</v>
      </c>
      <c r="T108" s="29">
        <v>2.025384443E9</v>
      </c>
      <c r="U108" s="21">
        <v>2.0</v>
      </c>
      <c r="V108" s="21">
        <v>0.0</v>
      </c>
      <c r="W108" s="21">
        <f t="shared" si="4"/>
        <v>2</v>
      </c>
      <c r="X108" s="21" t="s">
        <v>84</v>
      </c>
      <c r="Y108" s="21" t="s">
        <v>47</v>
      </c>
      <c r="Z108" s="22" t="s">
        <v>756</v>
      </c>
      <c r="AA108" s="23"/>
      <c r="AB108" s="21" t="s">
        <v>145</v>
      </c>
      <c r="AC108" s="21">
        <v>6.0</v>
      </c>
      <c r="AD108" s="23"/>
      <c r="AE108" s="39"/>
      <c r="AF108" s="12"/>
      <c r="AG108" s="12"/>
      <c r="AH108" s="12"/>
      <c r="AI108" s="12"/>
      <c r="AJ108" s="12"/>
      <c r="AK108" s="12"/>
    </row>
    <row r="109">
      <c r="A109" s="34">
        <v>45502.34232821759</v>
      </c>
      <c r="B109" s="14">
        <f t="shared" si="1"/>
        <v>45502</v>
      </c>
      <c r="C109" s="15" t="s">
        <v>643</v>
      </c>
      <c r="D109" s="15" t="s">
        <v>1012</v>
      </c>
      <c r="E109" s="15" t="str">
        <f t="shared" si="2"/>
        <v>CHARLESETTA PRATHER</v>
      </c>
      <c r="F109" s="16">
        <v>2.027146573E9</v>
      </c>
      <c r="G109" s="15" t="s">
        <v>1013</v>
      </c>
      <c r="H109" s="30" t="s">
        <v>103</v>
      </c>
      <c r="I109" s="17" t="s">
        <v>1014</v>
      </c>
      <c r="J109" s="18" t="s">
        <v>1015</v>
      </c>
      <c r="K109" s="17" t="s">
        <v>1016</v>
      </c>
      <c r="L109" s="19" t="s">
        <v>1017</v>
      </c>
      <c r="M109" s="20" t="s">
        <v>39</v>
      </c>
      <c r="N109" s="21" t="s">
        <v>1018</v>
      </c>
      <c r="O109" s="21" t="s">
        <v>1019</v>
      </c>
      <c r="P109" s="21" t="s">
        <v>1020</v>
      </c>
      <c r="Q109" s="28"/>
      <c r="R109" s="21">
        <v>20019.0</v>
      </c>
      <c r="S109" s="21" t="s">
        <v>74</v>
      </c>
      <c r="T109" s="29">
        <v>2.023961242E9</v>
      </c>
      <c r="U109" s="21">
        <v>1.0</v>
      </c>
      <c r="V109" s="21">
        <v>0.0</v>
      </c>
      <c r="W109" s="21">
        <f t="shared" si="4"/>
        <v>1</v>
      </c>
      <c r="X109" s="21" t="s">
        <v>84</v>
      </c>
      <c r="Y109" s="21" t="s">
        <v>47</v>
      </c>
      <c r="Z109" s="22" t="s">
        <v>259</v>
      </c>
      <c r="AA109" s="22" t="s">
        <v>1021</v>
      </c>
      <c r="AB109" s="21" t="s">
        <v>49</v>
      </c>
      <c r="AC109" s="21">
        <v>3.0</v>
      </c>
      <c r="AD109" s="22" t="s">
        <v>1022</v>
      </c>
      <c r="AE109" s="25"/>
      <c r="AF109" s="12"/>
      <c r="AG109" s="12"/>
      <c r="AH109" s="12"/>
      <c r="AI109" s="12"/>
      <c r="AJ109" s="12"/>
      <c r="AK109" s="12"/>
    </row>
    <row r="110">
      <c r="A110" s="34">
        <v>45502.65253402777</v>
      </c>
      <c r="B110" s="14">
        <f t="shared" si="1"/>
        <v>45502</v>
      </c>
      <c r="C110" s="15" t="s">
        <v>327</v>
      </c>
      <c r="D110" s="15" t="s">
        <v>1023</v>
      </c>
      <c r="E110" s="15" t="str">
        <f t="shared" si="2"/>
        <v>Don'Nika Jenkins</v>
      </c>
      <c r="F110" s="16">
        <f t="shared" ref="F110:F133" si="6">T110</f>
        <v>3012666201</v>
      </c>
      <c r="G110" s="15" t="s">
        <v>595</v>
      </c>
      <c r="H110" s="30" t="s">
        <v>66</v>
      </c>
      <c r="I110" s="17" t="s">
        <v>1024</v>
      </c>
      <c r="J110" s="18" t="s">
        <v>1025</v>
      </c>
      <c r="K110" s="17" t="s">
        <v>1026</v>
      </c>
      <c r="L110" s="19">
        <v>2.022465938E9</v>
      </c>
      <c r="M110" s="20" t="s">
        <v>39</v>
      </c>
      <c r="N110" s="21" t="s">
        <v>1027</v>
      </c>
      <c r="O110" s="21" t="s">
        <v>1028</v>
      </c>
      <c r="P110" s="21" t="s">
        <v>1029</v>
      </c>
      <c r="Q110" s="21">
        <v>37.0</v>
      </c>
      <c r="R110" s="21">
        <v>20001.0</v>
      </c>
      <c r="S110" s="21" t="s">
        <v>74</v>
      </c>
      <c r="T110" s="29">
        <v>3.012666201E9</v>
      </c>
      <c r="U110" s="21">
        <v>1.0</v>
      </c>
      <c r="V110" s="21">
        <v>0.0</v>
      </c>
      <c r="W110" s="21">
        <f t="shared" si="4"/>
        <v>1</v>
      </c>
      <c r="X110" s="21" t="s">
        <v>46</v>
      </c>
      <c r="Y110" s="21" t="s">
        <v>47</v>
      </c>
      <c r="Z110" s="22" t="s">
        <v>166</v>
      </c>
      <c r="AA110" s="22" t="s">
        <v>1030</v>
      </c>
      <c r="AB110" s="21" t="s">
        <v>145</v>
      </c>
      <c r="AC110" s="21">
        <v>24.0</v>
      </c>
      <c r="AD110" s="22" t="s">
        <v>1031</v>
      </c>
      <c r="AE110" s="25"/>
      <c r="AF110" s="12"/>
      <c r="AG110" s="12"/>
      <c r="AH110" s="12"/>
      <c r="AI110" s="12"/>
      <c r="AJ110" s="12"/>
      <c r="AK110" s="12"/>
    </row>
    <row r="111">
      <c r="A111" s="34">
        <v>45503.45038094907</v>
      </c>
      <c r="B111" s="14">
        <f t="shared" si="1"/>
        <v>45503</v>
      </c>
      <c r="C111" s="15" t="s">
        <v>327</v>
      </c>
      <c r="D111" s="15" t="s">
        <v>1032</v>
      </c>
      <c r="E111" s="15" t="str">
        <f t="shared" si="2"/>
        <v>Annushka Wade</v>
      </c>
      <c r="F111" s="16">
        <f t="shared" si="6"/>
        <v>2028559607</v>
      </c>
      <c r="G111" s="15" t="s">
        <v>595</v>
      </c>
      <c r="H111" s="30" t="s">
        <v>66</v>
      </c>
      <c r="I111" s="17" t="s">
        <v>998</v>
      </c>
      <c r="J111" s="18" t="s">
        <v>999</v>
      </c>
      <c r="K111" s="17" t="s">
        <v>1033</v>
      </c>
      <c r="L111" s="19" t="s">
        <v>1034</v>
      </c>
      <c r="M111" s="20" t="s">
        <v>39</v>
      </c>
      <c r="N111" s="21" t="s">
        <v>1035</v>
      </c>
      <c r="O111" s="21" t="s">
        <v>1036</v>
      </c>
      <c r="P111" s="21" t="s">
        <v>1037</v>
      </c>
      <c r="Q111" s="21" t="s">
        <v>889</v>
      </c>
      <c r="R111" s="21">
        <v>20017.0</v>
      </c>
      <c r="S111" s="21" t="s">
        <v>74</v>
      </c>
      <c r="T111" s="29">
        <v>2.028559607E9</v>
      </c>
      <c r="U111" s="21">
        <v>1.0</v>
      </c>
      <c r="V111" s="21">
        <v>4.0</v>
      </c>
      <c r="W111" s="21">
        <f t="shared" si="4"/>
        <v>5</v>
      </c>
      <c r="X111" s="21" t="s">
        <v>46</v>
      </c>
      <c r="Y111" s="21" t="s">
        <v>85</v>
      </c>
      <c r="Z111" s="22" t="s">
        <v>236</v>
      </c>
      <c r="AA111" s="22" t="s">
        <v>1038</v>
      </c>
      <c r="AB111" s="21" t="s">
        <v>145</v>
      </c>
      <c r="AC111" s="21">
        <v>3.0</v>
      </c>
      <c r="AD111" s="22" t="s">
        <v>1039</v>
      </c>
      <c r="AE111" s="25"/>
      <c r="AF111" s="12"/>
      <c r="AG111" s="12"/>
      <c r="AH111" s="12"/>
      <c r="AI111" s="12"/>
      <c r="AJ111" s="12"/>
      <c r="AK111" s="12"/>
    </row>
    <row r="112">
      <c r="A112" s="34">
        <v>45503.67948121528</v>
      </c>
      <c r="B112" s="14">
        <f t="shared" si="1"/>
        <v>45503</v>
      </c>
      <c r="C112" s="15" t="s">
        <v>327</v>
      </c>
      <c r="D112" s="15" t="s">
        <v>1040</v>
      </c>
      <c r="E112" s="15" t="str">
        <f t="shared" si="2"/>
        <v>Betty Shabazz</v>
      </c>
      <c r="F112" s="16">
        <f t="shared" si="6"/>
        <v>3013265622</v>
      </c>
      <c r="G112" s="15" t="s">
        <v>1041</v>
      </c>
      <c r="H112" s="30" t="s">
        <v>66</v>
      </c>
      <c r="I112" s="17" t="s">
        <v>1042</v>
      </c>
      <c r="J112" s="18" t="s">
        <v>1043</v>
      </c>
      <c r="K112" s="17" t="s">
        <v>1044</v>
      </c>
      <c r="L112" s="19">
        <v>2.028789863E9</v>
      </c>
      <c r="M112" s="20" t="s">
        <v>39</v>
      </c>
      <c r="N112" s="21" t="s">
        <v>1045</v>
      </c>
      <c r="O112" s="21" t="s">
        <v>1046</v>
      </c>
      <c r="P112" s="21" t="s">
        <v>1047</v>
      </c>
      <c r="Q112" s="21">
        <v>5.0</v>
      </c>
      <c r="R112" s="21">
        <v>20019.0</v>
      </c>
      <c r="S112" s="21" t="s">
        <v>74</v>
      </c>
      <c r="T112" s="29">
        <v>3.013265622E9</v>
      </c>
      <c r="U112" s="21">
        <v>1.0</v>
      </c>
      <c r="V112" s="21">
        <v>0.0</v>
      </c>
      <c r="W112" s="21">
        <f t="shared" si="4"/>
        <v>1</v>
      </c>
      <c r="X112" s="21" t="s">
        <v>84</v>
      </c>
      <c r="Y112" s="21" t="s">
        <v>47</v>
      </c>
      <c r="Z112" s="22" t="s">
        <v>756</v>
      </c>
      <c r="AA112" s="22" t="s">
        <v>1048</v>
      </c>
      <c r="AB112" s="21" t="s">
        <v>145</v>
      </c>
      <c r="AC112" s="21">
        <v>3.0</v>
      </c>
      <c r="AD112" s="22" t="s">
        <v>1049</v>
      </c>
      <c r="AE112" s="25"/>
      <c r="AF112" s="12"/>
      <c r="AG112" s="12"/>
      <c r="AH112" s="12"/>
      <c r="AI112" s="12"/>
      <c r="AJ112" s="12"/>
      <c r="AK112" s="12"/>
    </row>
    <row r="113">
      <c r="A113" s="34">
        <v>45503.686291053236</v>
      </c>
      <c r="B113" s="14">
        <f t="shared" si="1"/>
        <v>45503</v>
      </c>
      <c r="C113" s="15" t="s">
        <v>327</v>
      </c>
      <c r="D113" s="15" t="s">
        <v>1050</v>
      </c>
      <c r="E113" s="15" t="str">
        <f t="shared" si="2"/>
        <v>Lena Tobin</v>
      </c>
      <c r="F113" s="16">
        <f t="shared" si="6"/>
        <v>2023971988</v>
      </c>
      <c r="G113" s="15" t="s">
        <v>1051</v>
      </c>
      <c r="H113" s="30" t="s">
        <v>356</v>
      </c>
      <c r="I113" s="17" t="s">
        <v>1042</v>
      </c>
      <c r="J113" s="18" t="s">
        <v>1043</v>
      </c>
      <c r="K113" s="17" t="s">
        <v>1044</v>
      </c>
      <c r="L113" s="19">
        <v>2.028789863E9</v>
      </c>
      <c r="M113" s="20" t="s">
        <v>39</v>
      </c>
      <c r="N113" s="21" t="s">
        <v>1052</v>
      </c>
      <c r="O113" s="21" t="s">
        <v>1053</v>
      </c>
      <c r="P113" s="21" t="s">
        <v>1054</v>
      </c>
      <c r="Q113" s="21">
        <v>23.0</v>
      </c>
      <c r="R113" s="21">
        <v>20002.0</v>
      </c>
      <c r="S113" s="21" t="s">
        <v>59</v>
      </c>
      <c r="T113" s="29">
        <v>2.023971988E9</v>
      </c>
      <c r="U113" s="21">
        <v>1.0</v>
      </c>
      <c r="V113" s="21">
        <v>0.0</v>
      </c>
      <c r="W113" s="21">
        <f t="shared" si="4"/>
        <v>1</v>
      </c>
      <c r="X113" s="21" t="s">
        <v>84</v>
      </c>
      <c r="Y113" s="21" t="s">
        <v>47</v>
      </c>
      <c r="Z113" s="22" t="s">
        <v>756</v>
      </c>
      <c r="AA113" s="23"/>
      <c r="AB113" s="21" t="s">
        <v>145</v>
      </c>
      <c r="AC113" s="21">
        <v>6.0</v>
      </c>
      <c r="AD113" s="22" t="s">
        <v>1055</v>
      </c>
      <c r="AE113" s="25"/>
    </row>
    <row r="114">
      <c r="A114" s="34">
        <v>45504.64656569445</v>
      </c>
      <c r="B114" s="14">
        <f t="shared" si="1"/>
        <v>45504</v>
      </c>
      <c r="C114" s="15" t="s">
        <v>327</v>
      </c>
      <c r="D114" s="15" t="s">
        <v>1056</v>
      </c>
      <c r="E114" s="15" t="str">
        <f t="shared" si="2"/>
        <v>Eric Smith</v>
      </c>
      <c r="F114" s="16" t="str">
        <f t="shared" si="6"/>
        <v>(202) 749-0387</v>
      </c>
      <c r="G114" s="15" t="s">
        <v>1057</v>
      </c>
      <c r="H114" s="30" t="s">
        <v>356</v>
      </c>
      <c r="I114" s="17" t="s">
        <v>1058</v>
      </c>
      <c r="J114" s="18" t="s">
        <v>1059</v>
      </c>
      <c r="K114" s="17" t="s">
        <v>311</v>
      </c>
      <c r="L114" s="19" t="s">
        <v>1060</v>
      </c>
      <c r="M114" s="20" t="s">
        <v>39</v>
      </c>
      <c r="N114" s="21" t="s">
        <v>1061</v>
      </c>
      <c r="O114" s="21" t="s">
        <v>1062</v>
      </c>
      <c r="P114" s="21" t="s">
        <v>1063</v>
      </c>
      <c r="Q114" s="21" t="s">
        <v>1064</v>
      </c>
      <c r="R114" s="21">
        <v>20009.0</v>
      </c>
      <c r="S114" s="21" t="s">
        <v>59</v>
      </c>
      <c r="T114" s="29" t="s">
        <v>1065</v>
      </c>
      <c r="U114" s="21">
        <v>1.0</v>
      </c>
      <c r="V114" s="21">
        <v>0.0</v>
      </c>
      <c r="W114" s="21">
        <f t="shared" si="4"/>
        <v>1</v>
      </c>
      <c r="X114" s="21" t="s">
        <v>46</v>
      </c>
      <c r="Y114" s="21" t="s">
        <v>47</v>
      </c>
      <c r="Z114" s="22" t="s">
        <v>1066</v>
      </c>
      <c r="AA114" s="22" t="s">
        <v>1067</v>
      </c>
      <c r="AB114" s="21" t="s">
        <v>49</v>
      </c>
      <c r="AC114" s="21"/>
      <c r="AD114" s="22" t="s">
        <v>1068</v>
      </c>
      <c r="AE114" s="25"/>
      <c r="AF114" s="12"/>
      <c r="AG114" s="12"/>
      <c r="AH114" s="12"/>
      <c r="AI114" s="12"/>
      <c r="AJ114" s="12"/>
      <c r="AK114" s="12"/>
    </row>
    <row r="115">
      <c r="A115" s="34">
        <v>45509.31691587963</v>
      </c>
      <c r="B115" s="14">
        <f t="shared" si="1"/>
        <v>45509</v>
      </c>
      <c r="C115" s="15" t="s">
        <v>327</v>
      </c>
      <c r="D115" s="30" t="s">
        <v>1069</v>
      </c>
      <c r="E115" s="15" t="str">
        <f t="shared" si="2"/>
        <v>Mfon Udonkang</v>
      </c>
      <c r="F115" s="16" t="str">
        <f t="shared" si="6"/>
        <v>(202) 351-8360</v>
      </c>
      <c r="G115" s="30" t="s">
        <v>1070</v>
      </c>
      <c r="H115" s="30" t="s">
        <v>356</v>
      </c>
      <c r="I115" s="17" t="s">
        <v>1071</v>
      </c>
      <c r="J115" s="18" t="s">
        <v>1072</v>
      </c>
      <c r="K115" s="17" t="s">
        <v>1073</v>
      </c>
      <c r="L115" s="19" t="s">
        <v>1074</v>
      </c>
      <c r="M115" s="20" t="s">
        <v>39</v>
      </c>
      <c r="N115" s="21" t="s">
        <v>1075</v>
      </c>
      <c r="O115" s="21" t="s">
        <v>1076</v>
      </c>
      <c r="P115" s="21" t="s">
        <v>1077</v>
      </c>
      <c r="Q115" s="21">
        <v>32.0</v>
      </c>
      <c r="R115" s="21">
        <v>20001.0</v>
      </c>
      <c r="S115" s="21" t="s">
        <v>59</v>
      </c>
      <c r="T115" s="29" t="s">
        <v>1078</v>
      </c>
      <c r="U115" s="21">
        <v>2.0</v>
      </c>
      <c r="V115" s="21">
        <v>0.0</v>
      </c>
      <c r="W115" s="21">
        <f t="shared" si="4"/>
        <v>2</v>
      </c>
      <c r="X115" s="21" t="s">
        <v>46</v>
      </c>
      <c r="Y115" s="21" t="s">
        <v>47</v>
      </c>
      <c r="Z115" s="22" t="s">
        <v>1079</v>
      </c>
      <c r="AA115" s="23"/>
      <c r="AB115" s="21" t="s">
        <v>145</v>
      </c>
      <c r="AC115" s="21">
        <v>12.0</v>
      </c>
      <c r="AD115" s="22" t="s">
        <v>1080</v>
      </c>
      <c r="AE115" s="25"/>
      <c r="AF115" s="12"/>
      <c r="AG115" s="12"/>
      <c r="AH115" s="12"/>
      <c r="AI115" s="12"/>
      <c r="AJ115" s="12"/>
      <c r="AK115" s="12"/>
    </row>
    <row r="116">
      <c r="A116" s="34">
        <v>45509.43089195601</v>
      </c>
      <c r="B116" s="14">
        <f t="shared" si="1"/>
        <v>45509</v>
      </c>
      <c r="C116" s="15" t="s">
        <v>295</v>
      </c>
      <c r="D116" s="30" t="s">
        <v>1081</v>
      </c>
      <c r="E116" s="15" t="str">
        <f t="shared" si="2"/>
        <v>Edward Jones</v>
      </c>
      <c r="F116" s="16" t="str">
        <f t="shared" si="6"/>
        <v>(202) 977-9903</v>
      </c>
      <c r="G116" s="30" t="s">
        <v>1082</v>
      </c>
      <c r="H116" s="30" t="s">
        <v>103</v>
      </c>
      <c r="I116" s="17" t="s">
        <v>1083</v>
      </c>
      <c r="J116" s="18" t="s">
        <v>1084</v>
      </c>
      <c r="K116" s="17" t="s">
        <v>1085</v>
      </c>
      <c r="L116" s="19" t="s">
        <v>1086</v>
      </c>
      <c r="M116" s="20" t="s">
        <v>39</v>
      </c>
      <c r="N116" s="21" t="s">
        <v>184</v>
      </c>
      <c r="O116" s="21" t="s">
        <v>1087</v>
      </c>
      <c r="P116" s="21" t="s">
        <v>1088</v>
      </c>
      <c r="Q116" s="21" t="s">
        <v>1089</v>
      </c>
      <c r="R116" s="21">
        <v>20024.0</v>
      </c>
      <c r="S116" s="21" t="s">
        <v>562</v>
      </c>
      <c r="T116" s="29" t="s">
        <v>1090</v>
      </c>
      <c r="U116" s="21">
        <v>1.0</v>
      </c>
      <c r="V116" s="21">
        <v>0.0</v>
      </c>
      <c r="W116" s="21">
        <f t="shared" si="4"/>
        <v>1</v>
      </c>
      <c r="X116" s="21" t="s">
        <v>46</v>
      </c>
      <c r="Y116" s="21" t="s">
        <v>47</v>
      </c>
      <c r="Z116" s="22" t="s">
        <v>144</v>
      </c>
      <c r="AA116" s="23"/>
      <c r="AB116" s="21" t="s">
        <v>49</v>
      </c>
      <c r="AC116" s="21">
        <v>16.0</v>
      </c>
      <c r="AD116" s="22" t="s">
        <v>1091</v>
      </c>
      <c r="AE116" s="25"/>
      <c r="AF116" s="12"/>
      <c r="AG116" s="12"/>
      <c r="AH116" s="12"/>
      <c r="AI116" s="12"/>
      <c r="AJ116" s="12"/>
      <c r="AK116" s="12"/>
    </row>
    <row r="117">
      <c r="A117" s="34">
        <v>45510.56777796296</v>
      </c>
      <c r="B117" s="14">
        <f t="shared" si="1"/>
        <v>45510</v>
      </c>
      <c r="C117" s="15" t="s">
        <v>327</v>
      </c>
      <c r="D117" s="30" t="s">
        <v>1092</v>
      </c>
      <c r="E117" s="15" t="str">
        <f t="shared" si="2"/>
        <v>Shawn Mallory</v>
      </c>
      <c r="F117" s="16" t="str">
        <f t="shared" si="6"/>
        <v>(202) 749-7497</v>
      </c>
      <c r="G117" s="30" t="s">
        <v>595</v>
      </c>
      <c r="H117" s="30" t="s">
        <v>66</v>
      </c>
      <c r="I117" s="17" t="s">
        <v>1058</v>
      </c>
      <c r="J117" s="18" t="s">
        <v>1059</v>
      </c>
      <c r="K117" s="17" t="s">
        <v>311</v>
      </c>
      <c r="L117" s="19" t="s">
        <v>1059</v>
      </c>
      <c r="M117" s="20" t="s">
        <v>39</v>
      </c>
      <c r="N117" s="21" t="s">
        <v>1093</v>
      </c>
      <c r="O117" s="21" t="s">
        <v>1094</v>
      </c>
      <c r="P117" s="21" t="s">
        <v>1095</v>
      </c>
      <c r="Q117" s="21" t="s">
        <v>1096</v>
      </c>
      <c r="R117" s="21">
        <v>20032.0</v>
      </c>
      <c r="S117" s="21" t="s">
        <v>562</v>
      </c>
      <c r="T117" s="29" t="s">
        <v>1097</v>
      </c>
      <c r="U117" s="21">
        <v>1.0</v>
      </c>
      <c r="V117" s="21">
        <v>0.0</v>
      </c>
      <c r="W117" s="21">
        <f t="shared" si="4"/>
        <v>1</v>
      </c>
      <c r="X117" s="21" t="s">
        <v>46</v>
      </c>
      <c r="Y117" s="21" t="s">
        <v>47</v>
      </c>
      <c r="Z117" s="22" t="s">
        <v>1098</v>
      </c>
      <c r="AA117" s="22" t="s">
        <v>1099</v>
      </c>
      <c r="AB117" s="21" t="s">
        <v>49</v>
      </c>
      <c r="AC117" s="21"/>
      <c r="AD117" s="22" t="s">
        <v>1100</v>
      </c>
      <c r="AE117" s="25"/>
      <c r="AF117" s="12"/>
      <c r="AG117" s="12"/>
      <c r="AH117" s="12"/>
      <c r="AI117" s="12"/>
      <c r="AJ117" s="12"/>
      <c r="AK117" s="12"/>
    </row>
    <row r="118">
      <c r="A118" s="34">
        <v>45510.64193543981</v>
      </c>
      <c r="B118" s="14">
        <f t="shared" si="1"/>
        <v>45510</v>
      </c>
      <c r="C118" s="15" t="s">
        <v>327</v>
      </c>
      <c r="D118" s="30" t="s">
        <v>1101</v>
      </c>
      <c r="E118" s="15" t="str">
        <f t="shared" si="2"/>
        <v>Taria Darden</v>
      </c>
      <c r="F118" s="16" t="str">
        <f t="shared" si="6"/>
        <v>(202) 948-6501</v>
      </c>
      <c r="G118" s="30" t="s">
        <v>595</v>
      </c>
      <c r="H118" s="30" t="s">
        <v>66</v>
      </c>
      <c r="I118" s="17" t="s">
        <v>1102</v>
      </c>
      <c r="J118" s="18" t="s">
        <v>1103</v>
      </c>
      <c r="K118" s="17" t="s">
        <v>1104</v>
      </c>
      <c r="L118" s="19" t="s">
        <v>1105</v>
      </c>
      <c r="M118" s="20" t="s">
        <v>39</v>
      </c>
      <c r="N118" s="21" t="s">
        <v>1106</v>
      </c>
      <c r="O118" s="21" t="s">
        <v>1107</v>
      </c>
      <c r="P118" s="21" t="s">
        <v>1108</v>
      </c>
      <c r="Q118" s="21">
        <v>519.0</v>
      </c>
      <c r="R118" s="21">
        <v>20020.0</v>
      </c>
      <c r="S118" s="21" t="s">
        <v>44</v>
      </c>
      <c r="T118" s="29" t="s">
        <v>1109</v>
      </c>
      <c r="U118" s="21">
        <v>1.0</v>
      </c>
      <c r="V118" s="21">
        <v>1.0</v>
      </c>
      <c r="W118" s="21">
        <f t="shared" si="4"/>
        <v>2</v>
      </c>
      <c r="X118" s="21" t="s">
        <v>46</v>
      </c>
      <c r="Y118" s="21" t="s">
        <v>85</v>
      </c>
      <c r="Z118" s="22" t="s">
        <v>437</v>
      </c>
      <c r="AA118" s="22" t="s">
        <v>1110</v>
      </c>
      <c r="AB118" s="21" t="s">
        <v>49</v>
      </c>
      <c r="AC118" s="21">
        <v>2.0</v>
      </c>
      <c r="AD118" s="22" t="s">
        <v>1111</v>
      </c>
      <c r="AE118" s="25"/>
      <c r="AF118" s="12"/>
      <c r="AG118" s="12"/>
      <c r="AH118" s="12"/>
      <c r="AI118" s="12"/>
      <c r="AJ118" s="12"/>
      <c r="AK118" s="12"/>
    </row>
    <row r="119">
      <c r="A119" s="34">
        <v>45511.57023060185</v>
      </c>
      <c r="B119" s="14">
        <f t="shared" si="1"/>
        <v>45511</v>
      </c>
      <c r="C119" s="15" t="s">
        <v>643</v>
      </c>
      <c r="D119" s="30" t="s">
        <v>1112</v>
      </c>
      <c r="E119" s="15" t="str">
        <f t="shared" si="2"/>
        <v>Fonda Roy-Hankerson</v>
      </c>
      <c r="F119" s="16">
        <f t="shared" si="6"/>
        <v>2022761934</v>
      </c>
      <c r="G119" s="30" t="s">
        <v>1113</v>
      </c>
      <c r="H119" s="30" t="s">
        <v>103</v>
      </c>
      <c r="I119" s="17" t="s">
        <v>1114</v>
      </c>
      <c r="J119" s="18" t="s">
        <v>1115</v>
      </c>
      <c r="K119" s="17" t="s">
        <v>1116</v>
      </c>
      <c r="L119" s="19" t="s">
        <v>1117</v>
      </c>
      <c r="M119" s="20" t="s">
        <v>39</v>
      </c>
      <c r="N119" s="21" t="s">
        <v>323</v>
      </c>
      <c r="O119" s="21" t="s">
        <v>1118</v>
      </c>
      <c r="P119" s="21" t="s">
        <v>1119</v>
      </c>
      <c r="Q119" s="21" t="s">
        <v>1120</v>
      </c>
      <c r="R119" s="21">
        <v>20032.0</v>
      </c>
      <c r="S119" s="21" t="s">
        <v>44</v>
      </c>
      <c r="T119" s="29">
        <v>2.022761934E9</v>
      </c>
      <c r="U119" s="21">
        <v>1.0</v>
      </c>
      <c r="V119" s="21">
        <v>0.0</v>
      </c>
      <c r="W119" s="21">
        <f t="shared" si="4"/>
        <v>1</v>
      </c>
      <c r="X119" s="21" t="s">
        <v>46</v>
      </c>
      <c r="Y119" s="21" t="s">
        <v>47</v>
      </c>
      <c r="Z119" s="22" t="s">
        <v>61</v>
      </c>
      <c r="AA119" s="22" t="s">
        <v>1121</v>
      </c>
      <c r="AB119" s="21" t="s">
        <v>145</v>
      </c>
      <c r="AC119" s="21" t="s">
        <v>1122</v>
      </c>
      <c r="AD119" s="22" t="s">
        <v>1123</v>
      </c>
      <c r="AE119" s="25"/>
      <c r="AF119" s="12"/>
      <c r="AG119" s="12"/>
      <c r="AH119" s="12"/>
      <c r="AI119" s="12"/>
      <c r="AJ119" s="12"/>
      <c r="AK119" s="12"/>
    </row>
    <row r="120">
      <c r="A120" s="34">
        <v>45512.460089768516</v>
      </c>
      <c r="B120" s="14">
        <f t="shared" si="1"/>
        <v>45512</v>
      </c>
      <c r="C120" s="15" t="s">
        <v>327</v>
      </c>
      <c r="D120" s="15" t="s">
        <v>1124</v>
      </c>
      <c r="E120" s="15" t="str">
        <f t="shared" si="2"/>
        <v>Jacob Brunson</v>
      </c>
      <c r="F120" s="16">
        <f t="shared" si="6"/>
        <v>2023913021</v>
      </c>
      <c r="G120" s="15" t="s">
        <v>595</v>
      </c>
      <c r="H120" s="15" t="s">
        <v>66</v>
      </c>
      <c r="I120" s="17" t="s">
        <v>1125</v>
      </c>
      <c r="J120" s="18" t="s">
        <v>1126</v>
      </c>
      <c r="K120" s="17" t="s">
        <v>631</v>
      </c>
      <c r="L120" s="19" t="s">
        <v>1127</v>
      </c>
      <c r="M120" s="20" t="s">
        <v>39</v>
      </c>
      <c r="N120" s="21" t="s">
        <v>1128</v>
      </c>
      <c r="O120" s="21" t="s">
        <v>1129</v>
      </c>
      <c r="P120" s="21" t="s">
        <v>1130</v>
      </c>
      <c r="Q120" s="28"/>
      <c r="R120" s="21">
        <v>20019.0</v>
      </c>
      <c r="S120" s="21" t="s">
        <v>74</v>
      </c>
      <c r="T120" s="29">
        <v>2.023913021E9</v>
      </c>
      <c r="U120" s="21">
        <v>4.0</v>
      </c>
      <c r="V120" s="21">
        <v>0.0</v>
      </c>
      <c r="W120" s="21">
        <f t="shared" si="4"/>
        <v>4</v>
      </c>
      <c r="X120" s="21" t="s">
        <v>84</v>
      </c>
      <c r="Y120" s="21" t="s">
        <v>47</v>
      </c>
      <c r="Z120" s="22" t="s">
        <v>76</v>
      </c>
      <c r="AA120" s="22" t="s">
        <v>1131</v>
      </c>
      <c r="AB120" s="21" t="s">
        <v>63</v>
      </c>
      <c r="AC120" s="21" t="s">
        <v>1132</v>
      </c>
      <c r="AD120" s="22" t="s">
        <v>1133</v>
      </c>
      <c r="AE120" s="25"/>
      <c r="AF120" s="12"/>
      <c r="AG120" s="12"/>
      <c r="AH120" s="12"/>
      <c r="AI120" s="12"/>
      <c r="AJ120" s="12"/>
      <c r="AK120" s="12"/>
    </row>
    <row r="121">
      <c r="A121" s="34">
        <v>45513.47199269676</v>
      </c>
      <c r="B121" s="14">
        <f t="shared" si="1"/>
        <v>45513</v>
      </c>
      <c r="C121" s="15" t="s">
        <v>327</v>
      </c>
      <c r="D121" s="15" t="s">
        <v>1134</v>
      </c>
      <c r="E121" s="15" t="str">
        <f t="shared" si="2"/>
        <v>DARRYL MCGUIRE</v>
      </c>
      <c r="F121" s="16">
        <f t="shared" si="6"/>
        <v>2025565683</v>
      </c>
      <c r="G121" s="15" t="s">
        <v>595</v>
      </c>
      <c r="H121" s="15" t="s">
        <v>66</v>
      </c>
      <c r="I121" s="17" t="s">
        <v>1135</v>
      </c>
      <c r="J121" s="18" t="s">
        <v>1136</v>
      </c>
      <c r="K121" s="17" t="s">
        <v>116</v>
      </c>
      <c r="L121" s="19" t="s">
        <v>1137</v>
      </c>
      <c r="M121" s="20" t="s">
        <v>39</v>
      </c>
      <c r="N121" s="21" t="s">
        <v>1138</v>
      </c>
      <c r="O121" s="21" t="s">
        <v>1139</v>
      </c>
      <c r="P121" s="21" t="s">
        <v>1140</v>
      </c>
      <c r="Q121" s="21" t="s">
        <v>1141</v>
      </c>
      <c r="R121" s="21">
        <v>20032.0</v>
      </c>
      <c r="S121" s="21" t="s">
        <v>44</v>
      </c>
      <c r="T121" s="29">
        <v>2.025565683E9</v>
      </c>
      <c r="U121" s="21">
        <v>1.0</v>
      </c>
      <c r="V121" s="21">
        <v>0.0</v>
      </c>
      <c r="W121" s="21">
        <f t="shared" si="4"/>
        <v>1</v>
      </c>
      <c r="X121" s="21" t="s">
        <v>84</v>
      </c>
      <c r="Y121" s="21" t="s">
        <v>85</v>
      </c>
      <c r="Z121" s="22" t="s">
        <v>187</v>
      </c>
      <c r="AA121" s="22" t="s">
        <v>1142</v>
      </c>
      <c r="AB121" s="21" t="s">
        <v>49</v>
      </c>
      <c r="AC121" s="21">
        <v>12.0</v>
      </c>
      <c r="AD121" s="23"/>
      <c r="AE121" s="39"/>
      <c r="AF121" s="12"/>
      <c r="AG121" s="12"/>
      <c r="AH121" s="12"/>
      <c r="AI121" s="12"/>
      <c r="AJ121" s="12"/>
      <c r="AK121" s="12"/>
    </row>
    <row r="122">
      <c r="A122" s="34">
        <v>45516.30483959491</v>
      </c>
      <c r="B122" s="14">
        <f t="shared" si="1"/>
        <v>45516</v>
      </c>
      <c r="C122" s="15" t="s">
        <v>327</v>
      </c>
      <c r="D122" s="15" t="s">
        <v>1143</v>
      </c>
      <c r="E122" s="15" t="str">
        <f t="shared" si="2"/>
        <v>Charles Lacey</v>
      </c>
      <c r="F122" s="16" t="str">
        <f t="shared" si="6"/>
        <v>(202) 702-7447</v>
      </c>
      <c r="G122" s="15" t="s">
        <v>1144</v>
      </c>
      <c r="H122" s="15" t="s">
        <v>103</v>
      </c>
      <c r="I122" s="17" t="s">
        <v>1145</v>
      </c>
      <c r="J122" s="18" t="s">
        <v>1146</v>
      </c>
      <c r="K122" s="17" t="s">
        <v>69</v>
      </c>
      <c r="L122" s="19" t="s">
        <v>1147</v>
      </c>
      <c r="M122" s="20" t="s">
        <v>39</v>
      </c>
      <c r="N122" s="21" t="s">
        <v>227</v>
      </c>
      <c r="O122" s="21" t="s">
        <v>1148</v>
      </c>
      <c r="P122" s="21" t="s">
        <v>1149</v>
      </c>
      <c r="Q122" s="28"/>
      <c r="R122" s="21">
        <v>20019.0</v>
      </c>
      <c r="S122" s="21" t="s">
        <v>74</v>
      </c>
      <c r="T122" s="29" t="s">
        <v>1150</v>
      </c>
      <c r="U122" s="21">
        <v>2.0</v>
      </c>
      <c r="V122" s="21">
        <v>0.0</v>
      </c>
      <c r="W122" s="21">
        <f t="shared" si="4"/>
        <v>2</v>
      </c>
      <c r="X122" s="21" t="s">
        <v>46</v>
      </c>
      <c r="Y122" s="21" t="s">
        <v>47</v>
      </c>
      <c r="Z122" s="22" t="s">
        <v>61</v>
      </c>
      <c r="AA122" s="23"/>
      <c r="AB122" s="21" t="s">
        <v>49</v>
      </c>
      <c r="AC122" s="21">
        <v>12.0</v>
      </c>
      <c r="AD122" s="23"/>
      <c r="AE122" s="39"/>
      <c r="AF122" s="12"/>
      <c r="AG122" s="12"/>
      <c r="AH122" s="12"/>
      <c r="AI122" s="12"/>
      <c r="AJ122" s="12"/>
      <c r="AK122" s="12"/>
    </row>
    <row r="123">
      <c r="A123" s="34">
        <v>45517.36371039352</v>
      </c>
      <c r="B123" s="14">
        <f t="shared" si="1"/>
        <v>45517</v>
      </c>
      <c r="C123" s="15" t="s">
        <v>327</v>
      </c>
      <c r="D123" s="15" t="s">
        <v>1151</v>
      </c>
      <c r="E123" s="15" t="str">
        <f t="shared" si="2"/>
        <v>Elizabeth Newman</v>
      </c>
      <c r="F123" s="16" t="str">
        <f t="shared" si="6"/>
        <v>(347) 213-0930</v>
      </c>
      <c r="G123" s="15" t="s">
        <v>1152</v>
      </c>
      <c r="H123" s="15" t="s">
        <v>66</v>
      </c>
      <c r="I123" s="17" t="s">
        <v>1153</v>
      </c>
      <c r="J123" s="18" t="s">
        <v>1154</v>
      </c>
      <c r="K123" s="17" t="s">
        <v>1155</v>
      </c>
      <c r="L123" s="19" t="s">
        <v>1156</v>
      </c>
      <c r="M123" s="20" t="s">
        <v>39</v>
      </c>
      <c r="N123" s="21" t="s">
        <v>295</v>
      </c>
      <c r="O123" s="21" t="s">
        <v>1157</v>
      </c>
      <c r="P123" s="21" t="s">
        <v>1158</v>
      </c>
      <c r="Q123" s="21">
        <v>808.0</v>
      </c>
      <c r="R123" s="21">
        <v>20024.0</v>
      </c>
      <c r="S123" s="21" t="s">
        <v>562</v>
      </c>
      <c r="T123" s="29" t="s">
        <v>1159</v>
      </c>
      <c r="U123" s="21">
        <v>1.0</v>
      </c>
      <c r="V123" s="21">
        <v>0.0</v>
      </c>
      <c r="W123" s="21">
        <f t="shared" si="4"/>
        <v>1</v>
      </c>
      <c r="X123" s="21" t="s">
        <v>46</v>
      </c>
      <c r="Y123" s="21" t="s">
        <v>47</v>
      </c>
      <c r="Z123" s="22" t="s">
        <v>48</v>
      </c>
      <c r="AA123" s="22" t="s">
        <v>1160</v>
      </c>
      <c r="AB123" s="21" t="s">
        <v>49</v>
      </c>
      <c r="AC123" s="21">
        <v>6.0</v>
      </c>
      <c r="AD123" s="22" t="s">
        <v>1161</v>
      </c>
      <c r="AE123" s="25"/>
      <c r="AF123" s="12"/>
      <c r="AG123" s="12"/>
      <c r="AH123" s="12"/>
      <c r="AI123" s="12"/>
      <c r="AJ123" s="12"/>
      <c r="AK123" s="12"/>
    </row>
    <row r="124">
      <c r="A124" s="34">
        <v>45519.5448534375</v>
      </c>
      <c r="B124" s="14">
        <f t="shared" si="1"/>
        <v>45519</v>
      </c>
      <c r="C124" s="15" t="s">
        <v>327</v>
      </c>
      <c r="D124" s="15" t="s">
        <v>1162</v>
      </c>
      <c r="E124" s="15" t="str">
        <f t="shared" si="2"/>
        <v>Yvette Smith</v>
      </c>
      <c r="F124" s="16">
        <f t="shared" si="6"/>
        <v>2026784171</v>
      </c>
      <c r="G124" s="15" t="s">
        <v>1163</v>
      </c>
      <c r="H124" s="15" t="s">
        <v>103</v>
      </c>
      <c r="I124" s="17" t="s">
        <v>1135</v>
      </c>
      <c r="J124" s="18" t="s">
        <v>1136</v>
      </c>
      <c r="K124" s="17" t="s">
        <v>116</v>
      </c>
      <c r="L124" s="19">
        <v>2.029841777E9</v>
      </c>
      <c r="M124" s="20" t="s">
        <v>39</v>
      </c>
      <c r="N124" s="21" t="s">
        <v>531</v>
      </c>
      <c r="O124" s="21" t="s">
        <v>1062</v>
      </c>
      <c r="P124" s="21" t="s">
        <v>1164</v>
      </c>
      <c r="Q124" s="21" t="s">
        <v>1165</v>
      </c>
      <c r="R124" s="21" t="s">
        <v>1166</v>
      </c>
      <c r="S124" s="21" t="s">
        <v>44</v>
      </c>
      <c r="T124" s="29">
        <v>2.026784171E9</v>
      </c>
      <c r="U124" s="21">
        <v>1.0</v>
      </c>
      <c r="V124" s="21">
        <v>2.0</v>
      </c>
      <c r="W124" s="21">
        <f t="shared" si="4"/>
        <v>3</v>
      </c>
      <c r="X124" s="21" t="s">
        <v>46</v>
      </c>
      <c r="Y124" s="21" t="s">
        <v>85</v>
      </c>
      <c r="Z124" s="22" t="s">
        <v>48</v>
      </c>
      <c r="AA124" s="22" t="s">
        <v>1167</v>
      </c>
      <c r="AB124" s="21" t="s">
        <v>49</v>
      </c>
      <c r="AC124" s="21">
        <v>12.0</v>
      </c>
      <c r="AD124" s="23"/>
      <c r="AE124" s="39"/>
      <c r="AF124" s="12"/>
      <c r="AG124" s="12"/>
      <c r="AH124" s="12"/>
      <c r="AI124" s="12"/>
      <c r="AJ124" s="12"/>
      <c r="AK124" s="12"/>
    </row>
    <row r="125">
      <c r="A125" s="34">
        <v>45521.58514417824</v>
      </c>
      <c r="B125" s="14">
        <f t="shared" si="1"/>
        <v>45521</v>
      </c>
      <c r="C125" s="15" t="s">
        <v>31</v>
      </c>
      <c r="D125" s="15" t="s">
        <v>1168</v>
      </c>
      <c r="E125" s="15" t="str">
        <f t="shared" si="2"/>
        <v>Janene George</v>
      </c>
      <c r="F125" s="16" t="str">
        <f t="shared" si="6"/>
        <v>(202) 642-7783</v>
      </c>
      <c r="G125" s="15" t="s">
        <v>1169</v>
      </c>
      <c r="H125" s="15" t="s">
        <v>103</v>
      </c>
      <c r="I125" s="17" t="s">
        <v>1170</v>
      </c>
      <c r="J125" s="18" t="s">
        <v>1171</v>
      </c>
      <c r="K125" s="17" t="s">
        <v>1172</v>
      </c>
      <c r="L125" s="19">
        <v>2.025694461E9</v>
      </c>
      <c r="M125" s="20" t="s">
        <v>39</v>
      </c>
      <c r="N125" s="21" t="s">
        <v>1173</v>
      </c>
      <c r="O125" s="21" t="s">
        <v>1174</v>
      </c>
      <c r="P125" s="21" t="s">
        <v>1175</v>
      </c>
      <c r="Q125" s="21">
        <v>316.0</v>
      </c>
      <c r="R125" s="21">
        <v>20001.0</v>
      </c>
      <c r="S125" s="21" t="s">
        <v>1176</v>
      </c>
      <c r="T125" s="29" t="s">
        <v>1177</v>
      </c>
      <c r="U125" s="21">
        <v>0.0</v>
      </c>
      <c r="V125" s="21">
        <v>0.0</v>
      </c>
      <c r="W125" s="21">
        <f t="shared" si="4"/>
        <v>0</v>
      </c>
      <c r="X125" s="21" t="s">
        <v>46</v>
      </c>
      <c r="Y125" s="21" t="s">
        <v>85</v>
      </c>
      <c r="Z125" s="22" t="s">
        <v>144</v>
      </c>
      <c r="AA125" s="22" t="s">
        <v>1178</v>
      </c>
      <c r="AB125" s="21" t="s">
        <v>49</v>
      </c>
      <c r="AC125" s="21" t="s">
        <v>1179</v>
      </c>
      <c r="AD125" s="23"/>
      <c r="AE125" s="39"/>
      <c r="AF125" s="12"/>
      <c r="AG125" s="12"/>
      <c r="AH125" s="12"/>
      <c r="AI125" s="12"/>
      <c r="AJ125" s="12"/>
      <c r="AK125" s="12"/>
    </row>
    <row r="126">
      <c r="A126" s="34">
        <v>45521.97362899306</v>
      </c>
      <c r="B126" s="14">
        <f t="shared" si="1"/>
        <v>45521</v>
      </c>
      <c r="C126" s="15" t="s">
        <v>31</v>
      </c>
      <c r="D126" s="15" t="s">
        <v>1180</v>
      </c>
      <c r="E126" s="15" t="str">
        <f t="shared" si="2"/>
        <v>ERIKA MCRAE</v>
      </c>
      <c r="F126" s="16" t="str">
        <f t="shared" si="6"/>
        <v>(202) 489-1372</v>
      </c>
      <c r="G126" s="16" t="s">
        <v>1181</v>
      </c>
      <c r="H126" s="15" t="s">
        <v>103</v>
      </c>
      <c r="I126" s="17" t="s">
        <v>1182</v>
      </c>
      <c r="J126" s="18" t="s">
        <v>1183</v>
      </c>
      <c r="K126" s="17" t="s">
        <v>1184</v>
      </c>
      <c r="L126" s="19">
        <v>2.023362864E9</v>
      </c>
      <c r="M126" s="20" t="s">
        <v>39</v>
      </c>
      <c r="N126" s="21" t="s">
        <v>1185</v>
      </c>
      <c r="O126" s="21" t="s">
        <v>1186</v>
      </c>
      <c r="P126" s="21" t="s">
        <v>1187</v>
      </c>
      <c r="Q126" s="28"/>
      <c r="R126" s="21">
        <v>20002.0</v>
      </c>
      <c r="S126" s="21" t="s">
        <v>74</v>
      </c>
      <c r="T126" s="29" t="s">
        <v>1188</v>
      </c>
      <c r="U126" s="21">
        <v>1.0</v>
      </c>
      <c r="V126" s="21">
        <v>0.0</v>
      </c>
      <c r="W126" s="21">
        <f t="shared" si="4"/>
        <v>1</v>
      </c>
      <c r="X126" s="21" t="s">
        <v>46</v>
      </c>
      <c r="Y126" s="21" t="s">
        <v>47</v>
      </c>
      <c r="Z126" s="22" t="s">
        <v>361</v>
      </c>
      <c r="AA126" s="22" t="s">
        <v>1189</v>
      </c>
      <c r="AB126" s="21" t="s">
        <v>49</v>
      </c>
      <c r="AC126" s="21">
        <v>12.0</v>
      </c>
      <c r="AD126" s="22" t="s">
        <v>1190</v>
      </c>
      <c r="AE126" s="25"/>
      <c r="AF126" s="12"/>
      <c r="AG126" s="12"/>
      <c r="AH126" s="12"/>
      <c r="AI126" s="12"/>
      <c r="AJ126" s="12"/>
      <c r="AK126" s="12"/>
    </row>
    <row r="127">
      <c r="A127" s="13">
        <v>45523.41517277778</v>
      </c>
      <c r="B127" s="14">
        <f t="shared" si="1"/>
        <v>45523</v>
      </c>
      <c r="C127" s="15" t="s">
        <v>31</v>
      </c>
      <c r="D127" s="15" t="s">
        <v>1191</v>
      </c>
      <c r="E127" s="15" t="s">
        <v>1192</v>
      </c>
      <c r="F127" s="16">
        <f t="shared" si="6"/>
        <v>2027022783</v>
      </c>
      <c r="G127" s="15" t="s">
        <v>1193</v>
      </c>
      <c r="H127" s="15" t="s">
        <v>103</v>
      </c>
      <c r="I127" s="17" t="s">
        <v>1194</v>
      </c>
      <c r="J127" s="18" t="s">
        <v>1195</v>
      </c>
      <c r="K127" s="17" t="s">
        <v>1196</v>
      </c>
      <c r="L127" s="19">
        <v>2.404878614E9</v>
      </c>
      <c r="M127" s="20" t="s">
        <v>39</v>
      </c>
      <c r="N127" s="21" t="s">
        <v>1197</v>
      </c>
      <c r="O127" s="21" t="s">
        <v>1198</v>
      </c>
      <c r="P127" s="21" t="s">
        <v>1199</v>
      </c>
      <c r="Q127" s="28"/>
      <c r="R127" s="21">
        <v>20019.0</v>
      </c>
      <c r="S127" s="21" t="s">
        <v>74</v>
      </c>
      <c r="T127" s="29">
        <v>2.027022783E9</v>
      </c>
      <c r="U127" s="21">
        <v>2.0</v>
      </c>
      <c r="V127" s="21">
        <v>1.0</v>
      </c>
      <c r="W127" s="21">
        <f t="shared" si="4"/>
        <v>3</v>
      </c>
      <c r="X127" s="21" t="s">
        <v>46</v>
      </c>
      <c r="Y127" s="21" t="s">
        <v>85</v>
      </c>
      <c r="Z127" s="22" t="s">
        <v>48</v>
      </c>
      <c r="AA127" s="22" t="s">
        <v>1200</v>
      </c>
      <c r="AB127" s="21" t="s">
        <v>63</v>
      </c>
      <c r="AC127" s="21">
        <v>12.0</v>
      </c>
      <c r="AD127" s="22" t="s">
        <v>1201</v>
      </c>
      <c r="AE127" s="25"/>
      <c r="AF127" s="12"/>
      <c r="AG127" s="12"/>
      <c r="AH127" s="12"/>
      <c r="AI127" s="12"/>
      <c r="AJ127" s="12"/>
      <c r="AK127" s="12"/>
    </row>
    <row r="128">
      <c r="A128" s="34">
        <v>45523.41999820602</v>
      </c>
      <c r="B128" s="14">
        <f t="shared" si="1"/>
        <v>45523</v>
      </c>
      <c r="C128" s="15" t="s">
        <v>31</v>
      </c>
      <c r="D128" s="15" t="s">
        <v>1202</v>
      </c>
      <c r="E128" s="15" t="str">
        <f t="shared" ref="E128:E150" si="7">N128&amp;" "&amp;O128</f>
        <v>Shirely Coleman</v>
      </c>
      <c r="F128" s="16">
        <f t="shared" si="6"/>
        <v>2022906546</v>
      </c>
      <c r="G128" s="15" t="s">
        <v>1203</v>
      </c>
      <c r="H128" s="15" t="s">
        <v>66</v>
      </c>
      <c r="I128" s="17" t="s">
        <v>1194</v>
      </c>
      <c r="J128" s="18" t="s">
        <v>1195</v>
      </c>
      <c r="K128" s="17" t="s">
        <v>1196</v>
      </c>
      <c r="L128" s="19">
        <v>2.404878614E9</v>
      </c>
      <c r="M128" s="20" t="s">
        <v>39</v>
      </c>
      <c r="N128" s="21" t="s">
        <v>1204</v>
      </c>
      <c r="O128" s="21" t="s">
        <v>454</v>
      </c>
      <c r="P128" s="21" t="s">
        <v>1205</v>
      </c>
      <c r="Q128" s="21">
        <v>12.0</v>
      </c>
      <c r="R128" s="21">
        <v>20024.0</v>
      </c>
      <c r="S128" s="21" t="s">
        <v>562</v>
      </c>
      <c r="T128" s="29">
        <v>2.022906546E9</v>
      </c>
      <c r="U128" s="21">
        <v>1.0</v>
      </c>
      <c r="V128" s="21">
        <v>0.0</v>
      </c>
      <c r="W128" s="21">
        <f t="shared" si="4"/>
        <v>1</v>
      </c>
      <c r="X128" s="21" t="s">
        <v>46</v>
      </c>
      <c r="Y128" s="21" t="s">
        <v>85</v>
      </c>
      <c r="Z128" s="22" t="s">
        <v>48</v>
      </c>
      <c r="AA128" s="22" t="s">
        <v>1206</v>
      </c>
      <c r="AB128" s="21" t="s">
        <v>63</v>
      </c>
      <c r="AC128" s="21">
        <v>12.0</v>
      </c>
      <c r="AD128" s="22" t="s">
        <v>1201</v>
      </c>
      <c r="AE128" s="25"/>
      <c r="AF128" s="12"/>
      <c r="AG128" s="12"/>
      <c r="AH128" s="12"/>
      <c r="AI128" s="12"/>
      <c r="AJ128" s="12"/>
      <c r="AK128" s="12"/>
    </row>
    <row r="129">
      <c r="A129" s="34">
        <v>45523.422314131945</v>
      </c>
      <c r="B129" s="14">
        <f t="shared" si="1"/>
        <v>45523</v>
      </c>
      <c r="C129" s="15" t="s">
        <v>327</v>
      </c>
      <c r="D129" s="15" t="s">
        <v>1207</v>
      </c>
      <c r="E129" s="15" t="str">
        <f t="shared" si="7"/>
        <v>Ethel Young</v>
      </c>
      <c r="F129" s="16">
        <f t="shared" si="6"/>
        <v>2026075202</v>
      </c>
      <c r="G129" s="15" t="s">
        <v>1163</v>
      </c>
      <c r="H129" s="15" t="s">
        <v>66</v>
      </c>
      <c r="I129" s="17" t="s">
        <v>1194</v>
      </c>
      <c r="J129" s="18" t="s">
        <v>1195</v>
      </c>
      <c r="K129" s="17" t="s">
        <v>1196</v>
      </c>
      <c r="L129" s="19">
        <v>2.404878614E9</v>
      </c>
      <c r="M129" s="20" t="s">
        <v>39</v>
      </c>
      <c r="N129" s="21" t="s">
        <v>1208</v>
      </c>
      <c r="O129" s="21" t="s">
        <v>435</v>
      </c>
      <c r="P129" s="21" t="s">
        <v>1209</v>
      </c>
      <c r="Q129" s="21">
        <v>21.0</v>
      </c>
      <c r="R129" s="21">
        <v>20001.0</v>
      </c>
      <c r="S129" s="21" t="s">
        <v>59</v>
      </c>
      <c r="T129" s="29">
        <v>2.026075202E9</v>
      </c>
      <c r="U129" s="21">
        <v>1.0</v>
      </c>
      <c r="V129" s="21">
        <v>0.0</v>
      </c>
      <c r="W129" s="21">
        <f t="shared" si="4"/>
        <v>1</v>
      </c>
      <c r="X129" s="21" t="s">
        <v>46</v>
      </c>
      <c r="Y129" s="21" t="s">
        <v>85</v>
      </c>
      <c r="Z129" s="22" t="s">
        <v>61</v>
      </c>
      <c r="AA129" s="22" t="s">
        <v>1210</v>
      </c>
      <c r="AB129" s="21" t="s">
        <v>63</v>
      </c>
      <c r="AC129" s="21">
        <v>12.0</v>
      </c>
      <c r="AD129" s="22" t="s">
        <v>1201</v>
      </c>
      <c r="AE129" s="25"/>
      <c r="AF129" s="12"/>
      <c r="AG129" s="12"/>
      <c r="AH129" s="12"/>
      <c r="AI129" s="12"/>
      <c r="AJ129" s="12"/>
      <c r="AK129" s="12"/>
    </row>
    <row r="130">
      <c r="A130" s="34">
        <v>45523.429852650464</v>
      </c>
      <c r="B130" s="14">
        <f t="shared" si="1"/>
        <v>45523</v>
      </c>
      <c r="C130" s="15" t="s">
        <v>327</v>
      </c>
      <c r="D130" s="15" t="s">
        <v>1211</v>
      </c>
      <c r="E130" s="15" t="str">
        <f t="shared" si="7"/>
        <v>JOHNNY SMITH</v>
      </c>
      <c r="F130" s="16">
        <f t="shared" si="6"/>
        <v>2024225231</v>
      </c>
      <c r="G130" s="15" t="s">
        <v>1212</v>
      </c>
      <c r="H130" s="15" t="s">
        <v>356</v>
      </c>
      <c r="I130" s="17" t="s">
        <v>1135</v>
      </c>
      <c r="J130" s="18" t="s">
        <v>1136</v>
      </c>
      <c r="K130" s="17" t="s">
        <v>116</v>
      </c>
      <c r="L130" s="19">
        <v>2.029841777E9</v>
      </c>
      <c r="M130" s="20" t="s">
        <v>39</v>
      </c>
      <c r="N130" s="21" t="s">
        <v>1213</v>
      </c>
      <c r="O130" s="21" t="s">
        <v>1214</v>
      </c>
      <c r="P130" s="21" t="s">
        <v>1215</v>
      </c>
      <c r="Q130" s="21" t="s">
        <v>1216</v>
      </c>
      <c r="R130" s="21">
        <v>20032.0</v>
      </c>
      <c r="S130" s="21" t="s">
        <v>562</v>
      </c>
      <c r="T130" s="29">
        <v>2.024225231E9</v>
      </c>
      <c r="U130" s="21">
        <v>2.0</v>
      </c>
      <c r="V130" s="21">
        <v>0.0</v>
      </c>
      <c r="W130" s="21">
        <f t="shared" si="4"/>
        <v>2</v>
      </c>
      <c r="X130" s="21" t="s">
        <v>46</v>
      </c>
      <c r="Y130" s="21" t="s">
        <v>85</v>
      </c>
      <c r="Z130" s="22" t="s">
        <v>48</v>
      </c>
      <c r="AA130" s="23"/>
      <c r="AB130" s="21" t="s">
        <v>49</v>
      </c>
      <c r="AC130" s="21">
        <v>12.0</v>
      </c>
      <c r="AD130" s="23"/>
      <c r="AE130" s="39"/>
      <c r="AF130" s="12"/>
      <c r="AG130" s="12"/>
      <c r="AH130" s="12"/>
      <c r="AI130" s="12"/>
      <c r="AJ130" s="12"/>
      <c r="AK130" s="12"/>
    </row>
    <row r="131">
      <c r="A131" s="34">
        <v>45523.50995168982</v>
      </c>
      <c r="B131" s="14">
        <f t="shared" si="1"/>
        <v>45523</v>
      </c>
      <c r="C131" s="15" t="s">
        <v>282</v>
      </c>
      <c r="D131" s="15" t="s">
        <v>1217</v>
      </c>
      <c r="E131" s="15" t="str">
        <f t="shared" si="7"/>
        <v>Barry Hawkins</v>
      </c>
      <c r="F131" s="16">
        <f t="shared" si="6"/>
        <v>2024840177</v>
      </c>
      <c r="G131" s="15" t="s">
        <v>1218</v>
      </c>
      <c r="H131" s="15" t="s">
        <v>34</v>
      </c>
      <c r="I131" s="17" t="s">
        <v>1219</v>
      </c>
      <c r="J131" s="18" t="s">
        <v>1220</v>
      </c>
      <c r="K131" s="18" t="s">
        <v>116</v>
      </c>
      <c r="L131" s="26" t="s">
        <v>1221</v>
      </c>
      <c r="M131" s="27" t="s">
        <v>39</v>
      </c>
      <c r="N131" s="21" t="s">
        <v>1222</v>
      </c>
      <c r="O131" s="21" t="s">
        <v>532</v>
      </c>
      <c r="P131" s="21" t="s">
        <v>1223</v>
      </c>
      <c r="Q131" s="28"/>
      <c r="R131" s="21" t="s">
        <v>1224</v>
      </c>
      <c r="S131" s="21" t="s">
        <v>562</v>
      </c>
      <c r="T131" s="29">
        <v>2.024840177E9</v>
      </c>
      <c r="U131" s="21">
        <v>1.0</v>
      </c>
      <c r="V131" s="21">
        <v>0.0</v>
      </c>
      <c r="W131" s="21">
        <f t="shared" si="4"/>
        <v>1</v>
      </c>
      <c r="X131" s="21" t="s">
        <v>46</v>
      </c>
      <c r="Y131" s="21" t="s">
        <v>47</v>
      </c>
      <c r="Z131" s="22" t="s">
        <v>236</v>
      </c>
      <c r="AA131" s="23"/>
      <c r="AB131" s="21" t="s">
        <v>49</v>
      </c>
      <c r="AC131" s="21">
        <v>3.0</v>
      </c>
      <c r="AD131" s="23"/>
      <c r="AE131" s="39"/>
      <c r="AF131" s="12"/>
      <c r="AG131" s="12"/>
      <c r="AH131" s="12"/>
      <c r="AI131" s="12"/>
      <c r="AJ131" s="12"/>
      <c r="AK131" s="12"/>
    </row>
    <row r="132">
      <c r="A132" s="34">
        <v>45523.522296875</v>
      </c>
      <c r="B132" s="14">
        <f t="shared" si="1"/>
        <v>45523</v>
      </c>
      <c r="C132" s="15" t="s">
        <v>327</v>
      </c>
      <c r="D132" s="15" t="s">
        <v>1225</v>
      </c>
      <c r="E132" s="15" t="str">
        <f t="shared" si="7"/>
        <v>Lynda Hanson</v>
      </c>
      <c r="F132" s="16">
        <f t="shared" si="6"/>
        <v>2028085289</v>
      </c>
      <c r="G132" s="15" t="s">
        <v>1226</v>
      </c>
      <c r="H132" s="15" t="s">
        <v>103</v>
      </c>
      <c r="I132" s="17" t="s">
        <v>1219</v>
      </c>
      <c r="J132" s="18" t="s">
        <v>1220</v>
      </c>
      <c r="K132" s="17" t="s">
        <v>116</v>
      </c>
      <c r="L132" s="19" t="s">
        <v>1221</v>
      </c>
      <c r="M132" s="20" t="s">
        <v>39</v>
      </c>
      <c r="N132" s="21" t="s">
        <v>1227</v>
      </c>
      <c r="O132" s="21" t="s">
        <v>1228</v>
      </c>
      <c r="P132" s="21" t="s">
        <v>1229</v>
      </c>
      <c r="Q132" s="21" t="s">
        <v>1230</v>
      </c>
      <c r="R132" s="21" t="s">
        <v>1231</v>
      </c>
      <c r="S132" s="21" t="s">
        <v>74</v>
      </c>
      <c r="T132" s="29">
        <v>2.028085289E9</v>
      </c>
      <c r="U132" s="21">
        <v>1.0</v>
      </c>
      <c r="V132" s="21">
        <v>0.0</v>
      </c>
      <c r="W132" s="21">
        <f t="shared" si="4"/>
        <v>1</v>
      </c>
      <c r="X132" s="21" t="s">
        <v>46</v>
      </c>
      <c r="Y132" s="21" t="s">
        <v>85</v>
      </c>
      <c r="Z132" s="22" t="s">
        <v>361</v>
      </c>
      <c r="AA132" s="22" t="s">
        <v>1232</v>
      </c>
      <c r="AB132" s="21" t="s">
        <v>49</v>
      </c>
      <c r="AC132" s="21">
        <v>6.0</v>
      </c>
      <c r="AD132" s="22" t="s">
        <v>1233</v>
      </c>
      <c r="AE132" s="25"/>
    </row>
    <row r="133">
      <c r="A133" s="34">
        <v>45523.89802703704</v>
      </c>
      <c r="B133" s="14">
        <f t="shared" si="1"/>
        <v>45523</v>
      </c>
      <c r="C133" s="15" t="s">
        <v>327</v>
      </c>
      <c r="D133" s="15" t="s">
        <v>1234</v>
      </c>
      <c r="E133" s="15" t="str">
        <f t="shared" si="7"/>
        <v>CHANDRALYN TAYLOR-RHANEY</v>
      </c>
      <c r="F133" s="16" t="str">
        <f t="shared" si="6"/>
        <v>(202) 210-1023</v>
      </c>
      <c r="G133" s="15" t="s">
        <v>1235</v>
      </c>
      <c r="H133" s="15" t="s">
        <v>356</v>
      </c>
      <c r="I133" s="17" t="s">
        <v>1236</v>
      </c>
      <c r="J133" s="18" t="s">
        <v>1237</v>
      </c>
      <c r="K133" s="17" t="s">
        <v>1238</v>
      </c>
      <c r="L133" s="19" t="s">
        <v>1239</v>
      </c>
      <c r="M133" s="20" t="s">
        <v>39</v>
      </c>
      <c r="N133" s="21" t="s">
        <v>1240</v>
      </c>
      <c r="O133" s="21" t="s">
        <v>1241</v>
      </c>
      <c r="P133" s="21" t="s">
        <v>1242</v>
      </c>
      <c r="Q133" s="21" t="s">
        <v>1243</v>
      </c>
      <c r="R133" s="21">
        <v>20018.0</v>
      </c>
      <c r="S133" s="21" t="s">
        <v>74</v>
      </c>
      <c r="T133" s="29" t="s">
        <v>1244</v>
      </c>
      <c r="U133" s="21">
        <v>2.0</v>
      </c>
      <c r="V133" s="21">
        <v>0.0</v>
      </c>
      <c r="W133" s="21">
        <f t="shared" si="4"/>
        <v>2</v>
      </c>
      <c r="X133" s="21" t="s">
        <v>46</v>
      </c>
      <c r="Y133" s="21" t="s">
        <v>47</v>
      </c>
      <c r="Z133" s="22" t="s">
        <v>61</v>
      </c>
      <c r="AA133" s="22" t="s">
        <v>1245</v>
      </c>
      <c r="AB133" s="21" t="s">
        <v>49</v>
      </c>
      <c r="AC133" s="21">
        <v>12.0</v>
      </c>
      <c r="AD133" s="22" t="s">
        <v>1246</v>
      </c>
      <c r="AE133" s="25"/>
      <c r="AF133" s="12"/>
      <c r="AG133" s="12"/>
      <c r="AH133" s="12"/>
      <c r="AI133" s="12"/>
      <c r="AJ133" s="12"/>
      <c r="AK133" s="12"/>
    </row>
    <row r="134">
      <c r="A134" s="34">
        <v>45523.90776369213</v>
      </c>
      <c r="B134" s="14">
        <f t="shared" si="1"/>
        <v>45523</v>
      </c>
      <c r="C134" s="15" t="s">
        <v>327</v>
      </c>
      <c r="D134" s="15" t="s">
        <v>1247</v>
      </c>
      <c r="E134" s="15" t="str">
        <f t="shared" si="7"/>
        <v>Claude Jackson</v>
      </c>
      <c r="F134" s="16">
        <v>2.02381742E9</v>
      </c>
      <c r="G134" s="15" t="s">
        <v>1248</v>
      </c>
      <c r="H134" s="15" t="s">
        <v>66</v>
      </c>
      <c r="I134" s="17" t="s">
        <v>1236</v>
      </c>
      <c r="J134" s="18" t="s">
        <v>1237</v>
      </c>
      <c r="K134" s="17" t="s">
        <v>1238</v>
      </c>
      <c r="L134" s="19" t="s">
        <v>1249</v>
      </c>
      <c r="M134" s="20" t="s">
        <v>39</v>
      </c>
      <c r="N134" s="21" t="s">
        <v>1250</v>
      </c>
      <c r="O134" s="21" t="s">
        <v>610</v>
      </c>
      <c r="P134" s="21" t="s">
        <v>1251</v>
      </c>
      <c r="Q134" s="21" t="s">
        <v>207</v>
      </c>
      <c r="R134" s="21">
        <v>20018.0</v>
      </c>
      <c r="S134" s="21" t="s">
        <v>1252</v>
      </c>
      <c r="T134" s="29" t="s">
        <v>1253</v>
      </c>
      <c r="U134" s="21">
        <v>2.0</v>
      </c>
      <c r="V134" s="21">
        <v>0.0</v>
      </c>
      <c r="W134" s="21">
        <f t="shared" si="4"/>
        <v>2</v>
      </c>
      <c r="X134" s="21" t="s">
        <v>46</v>
      </c>
      <c r="Y134" s="21" t="s">
        <v>47</v>
      </c>
      <c r="Z134" s="22" t="s">
        <v>144</v>
      </c>
      <c r="AA134" s="22" t="s">
        <v>1254</v>
      </c>
      <c r="AB134" s="21" t="s">
        <v>49</v>
      </c>
      <c r="AC134" s="21">
        <v>12.0</v>
      </c>
      <c r="AD134" s="22" t="s">
        <v>1255</v>
      </c>
      <c r="AE134" s="25"/>
      <c r="AF134" s="12"/>
      <c r="AG134" s="12"/>
      <c r="AH134" s="12"/>
      <c r="AI134" s="12"/>
      <c r="AJ134" s="12"/>
      <c r="AK134" s="12"/>
    </row>
    <row r="135">
      <c r="A135" s="34">
        <v>45524.88442292824</v>
      </c>
      <c r="B135" s="14">
        <f t="shared" si="1"/>
        <v>45524</v>
      </c>
      <c r="C135" s="15" t="s">
        <v>31</v>
      </c>
      <c r="D135" s="15" t="s">
        <v>1256</v>
      </c>
      <c r="E135" s="15" t="str">
        <f t="shared" si="7"/>
        <v>Anthony Johnson</v>
      </c>
      <c r="F135" s="16">
        <f t="shared" ref="F135:F141" si="8">T135</f>
        <v>2029385463</v>
      </c>
      <c r="G135" s="15" t="s">
        <v>1257</v>
      </c>
      <c r="H135" s="15" t="s">
        <v>66</v>
      </c>
      <c r="I135" s="17" t="s">
        <v>158</v>
      </c>
      <c r="J135" s="18" t="s">
        <v>1258</v>
      </c>
      <c r="K135" s="17" t="s">
        <v>160</v>
      </c>
      <c r="L135" s="19">
        <v>2.407582278E9</v>
      </c>
      <c r="M135" s="20" t="s">
        <v>39</v>
      </c>
      <c r="N135" s="21" t="s">
        <v>938</v>
      </c>
      <c r="O135" s="21" t="s">
        <v>388</v>
      </c>
      <c r="P135" s="21" t="s">
        <v>1259</v>
      </c>
      <c r="Q135" s="21">
        <v>213.0</v>
      </c>
      <c r="R135" s="21">
        <v>20032.0</v>
      </c>
      <c r="S135" s="21" t="s">
        <v>44</v>
      </c>
      <c r="T135" s="29">
        <v>2.029385463E9</v>
      </c>
      <c r="U135" s="21">
        <v>1.0</v>
      </c>
      <c r="V135" s="21">
        <v>0.0</v>
      </c>
      <c r="W135" s="21">
        <f t="shared" si="4"/>
        <v>1</v>
      </c>
      <c r="X135" s="21" t="s">
        <v>84</v>
      </c>
      <c r="Y135" s="21" t="s">
        <v>85</v>
      </c>
      <c r="Z135" s="22" t="s">
        <v>920</v>
      </c>
      <c r="AA135" s="22" t="s">
        <v>1260</v>
      </c>
      <c r="AB135" s="21" t="s">
        <v>145</v>
      </c>
      <c r="AC135" s="21">
        <v>12.0</v>
      </c>
      <c r="AD135" s="22" t="s">
        <v>1261</v>
      </c>
      <c r="AE135" s="25"/>
      <c r="AF135" s="12"/>
      <c r="AG135" s="12"/>
      <c r="AH135" s="12"/>
      <c r="AI135" s="12"/>
      <c r="AJ135" s="12"/>
      <c r="AK135" s="12"/>
    </row>
    <row r="136">
      <c r="A136" s="34">
        <v>45525.57427496528</v>
      </c>
      <c r="B136" s="14">
        <f t="shared" si="1"/>
        <v>45525</v>
      </c>
      <c r="C136" s="15" t="s">
        <v>31</v>
      </c>
      <c r="D136" s="15" t="s">
        <v>1262</v>
      </c>
      <c r="E136" s="15" t="str">
        <f t="shared" si="7"/>
        <v>WANDA COLEMAN</v>
      </c>
      <c r="F136" s="16">
        <f t="shared" si="8"/>
        <v>2029400726</v>
      </c>
      <c r="G136" s="15" t="s">
        <v>1263</v>
      </c>
      <c r="H136" s="15" t="s">
        <v>66</v>
      </c>
      <c r="I136" s="17" t="s">
        <v>1135</v>
      </c>
      <c r="J136" s="18" t="s">
        <v>1136</v>
      </c>
      <c r="K136" s="17" t="s">
        <v>116</v>
      </c>
      <c r="L136" s="19" t="s">
        <v>1137</v>
      </c>
      <c r="M136" s="20" t="s">
        <v>39</v>
      </c>
      <c r="N136" s="21" t="s">
        <v>1264</v>
      </c>
      <c r="O136" s="21" t="s">
        <v>1265</v>
      </c>
      <c r="P136" s="21" t="s">
        <v>1266</v>
      </c>
      <c r="Q136" s="21" t="s">
        <v>1267</v>
      </c>
      <c r="R136" s="21">
        <v>20032.0</v>
      </c>
      <c r="S136" s="21" t="s">
        <v>44</v>
      </c>
      <c r="T136" s="29">
        <v>2.029400726E9</v>
      </c>
      <c r="U136" s="21">
        <v>1.0</v>
      </c>
      <c r="V136" s="21">
        <v>0.0</v>
      </c>
      <c r="W136" s="21">
        <f t="shared" si="4"/>
        <v>1</v>
      </c>
      <c r="X136" s="21" t="s">
        <v>46</v>
      </c>
      <c r="Y136" s="21" t="s">
        <v>85</v>
      </c>
      <c r="Z136" s="22" t="s">
        <v>48</v>
      </c>
      <c r="AA136" s="23"/>
      <c r="AB136" s="21" t="s">
        <v>49</v>
      </c>
      <c r="AC136" s="21">
        <v>12.0</v>
      </c>
      <c r="AD136" s="23"/>
      <c r="AE136" s="39"/>
      <c r="AF136" s="12"/>
      <c r="AG136" s="12"/>
      <c r="AH136" s="12"/>
      <c r="AI136" s="12"/>
      <c r="AJ136" s="12"/>
      <c r="AK136" s="12"/>
    </row>
    <row r="137">
      <c r="A137" s="34">
        <v>45526.42693347222</v>
      </c>
      <c r="B137" s="14">
        <f t="shared" si="1"/>
        <v>45526</v>
      </c>
      <c r="C137" s="15" t="s">
        <v>643</v>
      </c>
      <c r="D137" s="15" t="s">
        <v>1268</v>
      </c>
      <c r="E137" s="15" t="str">
        <f t="shared" si="7"/>
        <v>Juanita wade</v>
      </c>
      <c r="F137" s="16">
        <f t="shared" si="8"/>
        <v>2022469352</v>
      </c>
      <c r="G137" s="15" t="s">
        <v>1269</v>
      </c>
      <c r="H137" s="15" t="s">
        <v>34</v>
      </c>
      <c r="I137" s="17" t="s">
        <v>1270</v>
      </c>
      <c r="J137" s="18" t="s">
        <v>1271</v>
      </c>
      <c r="K137" s="17" t="s">
        <v>1272</v>
      </c>
      <c r="L137" s="19" t="s">
        <v>1273</v>
      </c>
      <c r="M137" s="20" t="s">
        <v>39</v>
      </c>
      <c r="N137" s="21" t="s">
        <v>1274</v>
      </c>
      <c r="O137" s="21" t="s">
        <v>1275</v>
      </c>
      <c r="P137" s="21" t="s">
        <v>1276</v>
      </c>
      <c r="Q137" s="21">
        <v>436.0</v>
      </c>
      <c r="R137" s="21">
        <v>20002.0</v>
      </c>
      <c r="S137" s="21" t="s">
        <v>74</v>
      </c>
      <c r="T137" s="29">
        <v>2.022469352E9</v>
      </c>
      <c r="U137" s="21">
        <v>1.0</v>
      </c>
      <c r="V137" s="21">
        <v>0.0</v>
      </c>
      <c r="W137" s="21">
        <f t="shared" si="4"/>
        <v>1</v>
      </c>
      <c r="X137" s="21" t="s">
        <v>84</v>
      </c>
      <c r="Y137" s="21" t="s">
        <v>85</v>
      </c>
      <c r="Z137" s="22" t="s">
        <v>76</v>
      </c>
      <c r="AA137" s="22" t="s">
        <v>1277</v>
      </c>
      <c r="AB137" s="21" t="s">
        <v>49</v>
      </c>
      <c r="AC137" s="21">
        <v>15.0</v>
      </c>
      <c r="AD137" s="22" t="s">
        <v>1278</v>
      </c>
      <c r="AE137" s="25"/>
      <c r="AF137" s="12"/>
      <c r="AG137" s="12"/>
      <c r="AH137" s="12"/>
      <c r="AI137" s="12"/>
      <c r="AJ137" s="12"/>
      <c r="AK137" s="12"/>
    </row>
    <row r="138">
      <c r="A138" s="34">
        <v>45526.607924710646</v>
      </c>
      <c r="B138" s="14">
        <f t="shared" si="1"/>
        <v>45526</v>
      </c>
      <c r="C138" s="15" t="s">
        <v>327</v>
      </c>
      <c r="D138" s="15" t="s">
        <v>1279</v>
      </c>
      <c r="E138" s="15" t="str">
        <f t="shared" si="7"/>
        <v>Kimberly Anderson</v>
      </c>
      <c r="F138" s="16" t="str">
        <f t="shared" si="8"/>
        <v>(202) 480-5773</v>
      </c>
      <c r="G138" s="15" t="s">
        <v>1280</v>
      </c>
      <c r="H138" s="15" t="s">
        <v>103</v>
      </c>
      <c r="I138" s="17" t="s">
        <v>1281</v>
      </c>
      <c r="J138" s="18" t="s">
        <v>1282</v>
      </c>
      <c r="K138" s="17" t="s">
        <v>150</v>
      </c>
      <c r="L138" s="19">
        <v>2.026775259E9</v>
      </c>
      <c r="M138" s="20" t="s">
        <v>39</v>
      </c>
      <c r="N138" s="21" t="s">
        <v>1283</v>
      </c>
      <c r="O138" s="21" t="s">
        <v>991</v>
      </c>
      <c r="P138" s="21" t="s">
        <v>1284</v>
      </c>
      <c r="Q138" s="21" t="s">
        <v>1285</v>
      </c>
      <c r="R138" s="21">
        <v>20024.0</v>
      </c>
      <c r="S138" s="21" t="s">
        <v>562</v>
      </c>
      <c r="T138" s="29" t="s">
        <v>1286</v>
      </c>
      <c r="U138" s="21">
        <v>1.0</v>
      </c>
      <c r="V138" s="21">
        <v>0.0</v>
      </c>
      <c r="W138" s="21">
        <f t="shared" si="4"/>
        <v>1</v>
      </c>
      <c r="X138" s="21" t="s">
        <v>46</v>
      </c>
      <c r="Y138" s="21" t="s">
        <v>85</v>
      </c>
      <c r="Z138" s="22" t="s">
        <v>458</v>
      </c>
      <c r="AA138" s="22" t="s">
        <v>1287</v>
      </c>
      <c r="AB138" s="21" t="s">
        <v>145</v>
      </c>
      <c r="AC138" s="21">
        <v>6.0</v>
      </c>
      <c r="AD138" s="22" t="s">
        <v>1288</v>
      </c>
      <c r="AE138" s="25"/>
      <c r="AF138" s="12"/>
      <c r="AG138" s="12"/>
      <c r="AH138" s="12"/>
      <c r="AI138" s="12"/>
      <c r="AJ138" s="12"/>
      <c r="AK138" s="12"/>
    </row>
    <row r="139">
      <c r="A139" s="34">
        <v>45527.42387539352</v>
      </c>
      <c r="B139" s="14">
        <f t="shared" si="1"/>
        <v>45527</v>
      </c>
      <c r="C139" s="15" t="s">
        <v>327</v>
      </c>
      <c r="D139" s="15" t="s">
        <v>1289</v>
      </c>
      <c r="E139" s="15" t="str">
        <f t="shared" si="7"/>
        <v>Jennifer Johnson-Hicks</v>
      </c>
      <c r="F139" s="16">
        <f t="shared" si="8"/>
        <v>2029632535</v>
      </c>
      <c r="G139" s="15" t="s">
        <v>1163</v>
      </c>
      <c r="H139" s="15" t="s">
        <v>66</v>
      </c>
      <c r="I139" s="17" t="s">
        <v>1270</v>
      </c>
      <c r="J139" s="18" t="s">
        <v>1271</v>
      </c>
      <c r="K139" s="17" t="s">
        <v>1272</v>
      </c>
      <c r="L139" s="19">
        <v>2.026355993E9</v>
      </c>
      <c r="M139" s="20" t="s">
        <v>39</v>
      </c>
      <c r="N139" s="21" t="s">
        <v>905</v>
      </c>
      <c r="O139" s="21" t="s">
        <v>1290</v>
      </c>
      <c r="P139" s="21" t="s">
        <v>1291</v>
      </c>
      <c r="Q139" s="21">
        <v>222.0</v>
      </c>
      <c r="R139" s="21">
        <v>20017.0</v>
      </c>
      <c r="S139" s="21" t="s">
        <v>74</v>
      </c>
      <c r="T139" s="29">
        <v>2.029632535E9</v>
      </c>
      <c r="U139" s="21">
        <v>2.0</v>
      </c>
      <c r="V139" s="21">
        <v>0.0</v>
      </c>
      <c r="W139" s="21">
        <f t="shared" si="4"/>
        <v>2</v>
      </c>
      <c r="X139" s="21" t="s">
        <v>84</v>
      </c>
      <c r="Y139" s="21" t="s">
        <v>85</v>
      </c>
      <c r="Z139" s="22" t="s">
        <v>144</v>
      </c>
      <c r="AA139" s="22" t="s">
        <v>1292</v>
      </c>
      <c r="AB139" s="21" t="s">
        <v>49</v>
      </c>
      <c r="AC139" s="21">
        <v>24.0</v>
      </c>
      <c r="AD139" s="22" t="s">
        <v>1293</v>
      </c>
      <c r="AE139" s="25"/>
      <c r="AF139" s="12"/>
      <c r="AG139" s="12"/>
      <c r="AH139" s="12"/>
      <c r="AI139" s="12"/>
      <c r="AJ139" s="12"/>
      <c r="AK139" s="12"/>
    </row>
    <row r="140">
      <c r="A140" s="34">
        <v>45530.53114579861</v>
      </c>
      <c r="B140" s="14">
        <f t="shared" si="1"/>
        <v>45530</v>
      </c>
      <c r="C140" s="15" t="s">
        <v>327</v>
      </c>
      <c r="D140" s="15" t="s">
        <v>1294</v>
      </c>
      <c r="E140" s="15" t="str">
        <f t="shared" si="7"/>
        <v>BARBARA CARTER</v>
      </c>
      <c r="F140" s="16">
        <f t="shared" si="8"/>
        <v>2025367553</v>
      </c>
      <c r="G140" s="15" t="s">
        <v>1295</v>
      </c>
      <c r="H140" s="15" t="s">
        <v>356</v>
      </c>
      <c r="I140" s="17" t="s">
        <v>470</v>
      </c>
      <c r="J140" s="18" t="s">
        <v>471</v>
      </c>
      <c r="K140" s="17" t="s">
        <v>116</v>
      </c>
      <c r="L140" s="19" t="s">
        <v>1296</v>
      </c>
      <c r="M140" s="20" t="s">
        <v>39</v>
      </c>
      <c r="N140" s="21" t="s">
        <v>1297</v>
      </c>
      <c r="O140" s="21" t="s">
        <v>1298</v>
      </c>
      <c r="P140" s="21" t="s">
        <v>1299</v>
      </c>
      <c r="Q140" s="21" t="s">
        <v>1141</v>
      </c>
      <c r="R140" s="21">
        <v>20032.0</v>
      </c>
      <c r="S140" s="21" t="s">
        <v>562</v>
      </c>
      <c r="T140" s="29">
        <v>2.025367553E9</v>
      </c>
      <c r="U140" s="21">
        <v>2.0</v>
      </c>
      <c r="V140" s="21">
        <v>0.0</v>
      </c>
      <c r="W140" s="21">
        <f t="shared" si="4"/>
        <v>2</v>
      </c>
      <c r="X140" s="21" t="s">
        <v>46</v>
      </c>
      <c r="Y140" s="21" t="s">
        <v>47</v>
      </c>
      <c r="Z140" s="22" t="s">
        <v>1300</v>
      </c>
      <c r="AA140" s="22" t="s">
        <v>1301</v>
      </c>
      <c r="AB140" s="21" t="s">
        <v>49</v>
      </c>
      <c r="AC140" s="21">
        <v>12.0</v>
      </c>
      <c r="AD140" s="23"/>
      <c r="AE140" s="39"/>
      <c r="AF140" s="12"/>
      <c r="AG140" s="12"/>
      <c r="AH140" s="12"/>
      <c r="AI140" s="12"/>
      <c r="AJ140" s="12"/>
      <c r="AK140" s="12"/>
    </row>
    <row r="141">
      <c r="A141" s="34">
        <v>45530.70067517361</v>
      </c>
      <c r="B141" s="14">
        <f t="shared" si="1"/>
        <v>45530</v>
      </c>
      <c r="C141" s="15" t="s">
        <v>327</v>
      </c>
      <c r="D141" s="15" t="s">
        <v>1302</v>
      </c>
      <c r="E141" s="15" t="str">
        <f t="shared" si="7"/>
        <v>Nicole Rollins</v>
      </c>
      <c r="F141" s="16" t="str">
        <f t="shared" si="8"/>
        <v>(202) 983-0140</v>
      </c>
      <c r="G141" s="15" t="s">
        <v>1303</v>
      </c>
      <c r="H141" s="15" t="s">
        <v>356</v>
      </c>
      <c r="I141" s="17" t="s">
        <v>1304</v>
      </c>
      <c r="J141" s="18" t="s">
        <v>1305</v>
      </c>
      <c r="K141" s="17" t="s">
        <v>1306</v>
      </c>
      <c r="L141" s="19">
        <v>2.025001724E9</v>
      </c>
      <c r="M141" s="20" t="s">
        <v>39</v>
      </c>
      <c r="N141" s="21" t="s">
        <v>1307</v>
      </c>
      <c r="O141" s="21" t="s">
        <v>1308</v>
      </c>
      <c r="P141" s="21" t="s">
        <v>1309</v>
      </c>
      <c r="Q141" s="21" t="s">
        <v>1310</v>
      </c>
      <c r="R141" s="21">
        <v>20008.0</v>
      </c>
      <c r="S141" s="21" t="s">
        <v>59</v>
      </c>
      <c r="T141" s="29" t="s">
        <v>1311</v>
      </c>
      <c r="U141" s="21">
        <v>1.0</v>
      </c>
      <c r="V141" s="21">
        <v>0.0</v>
      </c>
      <c r="W141" s="21">
        <f t="shared" si="4"/>
        <v>1</v>
      </c>
      <c r="X141" s="21" t="s">
        <v>46</v>
      </c>
      <c r="Y141" s="21" t="s">
        <v>85</v>
      </c>
      <c r="Z141" s="22" t="s">
        <v>61</v>
      </c>
      <c r="AA141" s="22" t="s">
        <v>1312</v>
      </c>
      <c r="AB141" s="21" t="s">
        <v>49</v>
      </c>
      <c r="AC141" s="21">
        <v>12.0</v>
      </c>
      <c r="AD141" s="22" t="s">
        <v>1313</v>
      </c>
      <c r="AE141" s="25"/>
      <c r="AF141" s="12"/>
      <c r="AG141" s="12"/>
      <c r="AH141" s="12"/>
      <c r="AI141" s="12"/>
      <c r="AJ141" s="12"/>
      <c r="AK141" s="12"/>
    </row>
    <row r="142">
      <c r="A142" s="34">
        <v>45531.36228016204</v>
      </c>
      <c r="B142" s="14">
        <f t="shared" si="1"/>
        <v>45531</v>
      </c>
      <c r="C142" s="15" t="s">
        <v>31</v>
      </c>
      <c r="D142" s="15" t="s">
        <v>1314</v>
      </c>
      <c r="E142" s="15" t="str">
        <f t="shared" si="7"/>
        <v>JACQUELYN SAMUELS</v>
      </c>
      <c r="F142" s="16">
        <v>2.027496229E9</v>
      </c>
      <c r="G142" s="15" t="s">
        <v>1315</v>
      </c>
      <c r="H142" s="15" t="s">
        <v>66</v>
      </c>
      <c r="I142" s="17" t="s">
        <v>67</v>
      </c>
      <c r="J142" s="18" t="s">
        <v>68</v>
      </c>
      <c r="K142" s="17" t="s">
        <v>1316</v>
      </c>
      <c r="L142" s="19">
        <v>1.5714644372E10</v>
      </c>
      <c r="M142" s="20" t="s">
        <v>39</v>
      </c>
      <c r="N142" s="21" t="s">
        <v>1317</v>
      </c>
      <c r="O142" s="21" t="s">
        <v>1318</v>
      </c>
      <c r="P142" s="21" t="s">
        <v>1319</v>
      </c>
      <c r="Q142" s="21" t="s">
        <v>1320</v>
      </c>
      <c r="R142" s="21">
        <v>20032.0</v>
      </c>
      <c r="S142" s="21" t="s">
        <v>44</v>
      </c>
      <c r="T142" s="29">
        <v>2.059179265E9</v>
      </c>
      <c r="U142" s="21">
        <v>2.0</v>
      </c>
      <c r="V142" s="21">
        <v>1.0</v>
      </c>
      <c r="W142" s="21">
        <f t="shared" si="4"/>
        <v>3</v>
      </c>
      <c r="X142" s="21" t="s">
        <v>84</v>
      </c>
      <c r="Y142" s="21" t="s">
        <v>85</v>
      </c>
      <c r="Z142" s="22" t="s">
        <v>144</v>
      </c>
      <c r="AA142" s="23"/>
      <c r="AB142" s="21" t="s">
        <v>49</v>
      </c>
      <c r="AC142" s="21">
        <v>12.0</v>
      </c>
      <c r="AD142" s="22" t="s">
        <v>1321</v>
      </c>
      <c r="AE142" s="25"/>
      <c r="AF142" s="12"/>
      <c r="AG142" s="12"/>
      <c r="AH142" s="12"/>
      <c r="AI142" s="12"/>
      <c r="AJ142" s="12"/>
      <c r="AK142" s="12"/>
    </row>
    <row r="143">
      <c r="A143" s="34">
        <v>45531.49300769676</v>
      </c>
      <c r="B143" s="14">
        <f t="shared" si="1"/>
        <v>45531</v>
      </c>
      <c r="C143" s="15" t="s">
        <v>327</v>
      </c>
      <c r="D143" s="15" t="s">
        <v>1322</v>
      </c>
      <c r="E143" s="15" t="str">
        <f t="shared" si="7"/>
        <v>ANDRESSE WILSON</v>
      </c>
      <c r="F143" s="16" t="str">
        <f t="shared" ref="F143:F154" si="9">T143</f>
        <v>(202) 422-5460</v>
      </c>
      <c r="G143" s="15" t="s">
        <v>1163</v>
      </c>
      <c r="H143" s="15" t="s">
        <v>103</v>
      </c>
      <c r="I143" s="17" t="s">
        <v>470</v>
      </c>
      <c r="J143" s="18" t="s">
        <v>471</v>
      </c>
      <c r="K143" s="17" t="s">
        <v>116</v>
      </c>
      <c r="L143" s="19" t="s">
        <v>1296</v>
      </c>
      <c r="M143" s="20" t="s">
        <v>39</v>
      </c>
      <c r="N143" s="21" t="s">
        <v>1323</v>
      </c>
      <c r="O143" s="21" t="s">
        <v>1324</v>
      </c>
      <c r="P143" s="21" t="s">
        <v>1325</v>
      </c>
      <c r="Q143" s="28"/>
      <c r="R143" s="21">
        <v>20009.0</v>
      </c>
      <c r="S143" s="21" t="s">
        <v>59</v>
      </c>
      <c r="T143" s="29" t="s">
        <v>1326</v>
      </c>
      <c r="U143" s="21">
        <v>2.0</v>
      </c>
      <c r="V143" s="21">
        <v>2.0</v>
      </c>
      <c r="W143" s="21">
        <f t="shared" si="4"/>
        <v>4</v>
      </c>
      <c r="X143" s="21" t="s">
        <v>46</v>
      </c>
      <c r="Y143" s="21" t="s">
        <v>85</v>
      </c>
      <c r="Z143" s="22" t="s">
        <v>1327</v>
      </c>
      <c r="AA143" s="22" t="s">
        <v>1328</v>
      </c>
      <c r="AB143" s="21" t="s">
        <v>49</v>
      </c>
      <c r="AC143" s="21">
        <v>12.0</v>
      </c>
      <c r="AD143" s="22" t="s">
        <v>1329</v>
      </c>
      <c r="AE143" s="25"/>
    </row>
    <row r="144">
      <c r="A144" s="34">
        <v>45531.59585993056</v>
      </c>
      <c r="B144" s="14">
        <f t="shared" si="1"/>
        <v>45531</v>
      </c>
      <c r="C144" s="15" t="s">
        <v>1330</v>
      </c>
      <c r="D144" s="15" t="s">
        <v>1331</v>
      </c>
      <c r="E144" s="15" t="str">
        <f t="shared" si="7"/>
        <v>CATHY AUSTIN GUNTER</v>
      </c>
      <c r="F144" s="16">
        <f t="shared" si="9"/>
        <v>2028204260</v>
      </c>
      <c r="G144" s="15" t="s">
        <v>1332</v>
      </c>
      <c r="H144" s="15" t="s">
        <v>34</v>
      </c>
      <c r="I144" s="17" t="s">
        <v>1135</v>
      </c>
      <c r="J144" s="18" t="s">
        <v>1136</v>
      </c>
      <c r="K144" s="18" t="s">
        <v>116</v>
      </c>
      <c r="L144" s="26" t="s">
        <v>1137</v>
      </c>
      <c r="M144" s="27" t="s">
        <v>39</v>
      </c>
      <c r="N144" s="21" t="s">
        <v>1333</v>
      </c>
      <c r="O144" s="21" t="s">
        <v>1334</v>
      </c>
      <c r="P144" s="21" t="s">
        <v>1335</v>
      </c>
      <c r="Q144" s="21" t="s">
        <v>1336</v>
      </c>
      <c r="R144" s="21">
        <v>20024.0</v>
      </c>
      <c r="S144" s="21" t="s">
        <v>562</v>
      </c>
      <c r="T144" s="29">
        <v>2.02820426E9</v>
      </c>
      <c r="U144" s="21">
        <v>2.0</v>
      </c>
      <c r="V144" s="21">
        <v>0.0</v>
      </c>
      <c r="W144" s="21">
        <f t="shared" si="4"/>
        <v>2</v>
      </c>
      <c r="X144" s="21" t="s">
        <v>84</v>
      </c>
      <c r="Y144" s="21" t="s">
        <v>85</v>
      </c>
      <c r="Z144" s="22" t="s">
        <v>187</v>
      </c>
      <c r="AA144" s="23"/>
      <c r="AB144" s="21" t="s">
        <v>49</v>
      </c>
      <c r="AC144" s="21">
        <v>12.0</v>
      </c>
      <c r="AD144" s="23"/>
      <c r="AE144" s="39"/>
    </row>
    <row r="145">
      <c r="A145" s="34">
        <v>45533.324857789354</v>
      </c>
      <c r="B145" s="14">
        <f t="shared" si="1"/>
        <v>45533</v>
      </c>
      <c r="C145" s="15" t="s">
        <v>1337</v>
      </c>
      <c r="D145" s="15" t="s">
        <v>1338</v>
      </c>
      <c r="E145" s="15" t="str">
        <f t="shared" si="7"/>
        <v>Chantelle Harris</v>
      </c>
      <c r="F145" s="16" t="str">
        <f t="shared" si="9"/>
        <v>(202) 869-6396</v>
      </c>
      <c r="G145" s="15" t="s">
        <v>1339</v>
      </c>
      <c r="H145" s="15" t="s">
        <v>356</v>
      </c>
      <c r="I145" s="17" t="s">
        <v>1340</v>
      </c>
      <c r="J145" s="18" t="s">
        <v>1341</v>
      </c>
      <c r="K145" s="17" t="s">
        <v>1342</v>
      </c>
      <c r="L145" s="19">
        <v>3.014763261E9</v>
      </c>
      <c r="M145" s="20" t="s">
        <v>39</v>
      </c>
      <c r="N145" s="21" t="s">
        <v>1343</v>
      </c>
      <c r="O145" s="21" t="s">
        <v>906</v>
      </c>
      <c r="P145" s="21" t="s">
        <v>1344</v>
      </c>
      <c r="Q145" s="28"/>
      <c r="R145" s="21">
        <v>20019.0</v>
      </c>
      <c r="S145" s="21" t="s">
        <v>74</v>
      </c>
      <c r="T145" s="29" t="s">
        <v>1345</v>
      </c>
      <c r="U145" s="21">
        <v>2.0</v>
      </c>
      <c r="V145" s="21">
        <v>2.0</v>
      </c>
      <c r="W145" s="21">
        <f t="shared" si="4"/>
        <v>4</v>
      </c>
      <c r="X145" s="21" t="s">
        <v>46</v>
      </c>
      <c r="Y145" s="21" t="s">
        <v>85</v>
      </c>
      <c r="Z145" s="22" t="s">
        <v>61</v>
      </c>
      <c r="AA145" s="22" t="s">
        <v>1346</v>
      </c>
      <c r="AB145" s="21" t="s">
        <v>145</v>
      </c>
      <c r="AC145" s="21">
        <v>12.0</v>
      </c>
      <c r="AD145" s="22" t="s">
        <v>1347</v>
      </c>
      <c r="AE145" s="25"/>
      <c r="AF145" s="12"/>
      <c r="AG145" s="12"/>
      <c r="AH145" s="12"/>
      <c r="AI145" s="12"/>
      <c r="AJ145" s="12"/>
      <c r="AK145" s="12"/>
    </row>
    <row r="146">
      <c r="A146" s="34">
        <v>45533.38793783565</v>
      </c>
      <c r="B146" s="14">
        <f t="shared" si="1"/>
        <v>45533</v>
      </c>
      <c r="C146" s="15" t="s">
        <v>327</v>
      </c>
      <c r="D146" s="15" t="s">
        <v>1348</v>
      </c>
      <c r="E146" s="15" t="str">
        <f t="shared" si="7"/>
        <v>Arvine Anthony</v>
      </c>
      <c r="F146" s="16">
        <f t="shared" si="9"/>
        <v>2028679235</v>
      </c>
      <c r="G146" s="15" t="s">
        <v>1349</v>
      </c>
      <c r="H146" s="15" t="s">
        <v>103</v>
      </c>
      <c r="I146" s="17" t="s">
        <v>1350</v>
      </c>
      <c r="J146" s="18" t="s">
        <v>621</v>
      </c>
      <c r="K146" s="17" t="s">
        <v>1351</v>
      </c>
      <c r="L146" s="19">
        <v>2.406919927E9</v>
      </c>
      <c r="M146" s="20" t="s">
        <v>39</v>
      </c>
      <c r="N146" s="21" t="s">
        <v>1352</v>
      </c>
      <c r="O146" s="21" t="s">
        <v>938</v>
      </c>
      <c r="P146" s="21" t="s">
        <v>1353</v>
      </c>
      <c r="Q146" s="28"/>
      <c r="R146" s="21">
        <v>20020.0</v>
      </c>
      <c r="S146" s="21" t="s">
        <v>44</v>
      </c>
      <c r="T146" s="29">
        <v>2.028679235E9</v>
      </c>
      <c r="U146" s="21">
        <v>1.0</v>
      </c>
      <c r="V146" s="21">
        <v>0.0</v>
      </c>
      <c r="W146" s="21">
        <f t="shared" si="4"/>
        <v>1</v>
      </c>
      <c r="X146" s="21" t="s">
        <v>46</v>
      </c>
      <c r="Y146" s="21" t="s">
        <v>47</v>
      </c>
      <c r="Z146" s="22" t="s">
        <v>1354</v>
      </c>
      <c r="AA146" s="22" t="s">
        <v>1355</v>
      </c>
      <c r="AB146" s="21" t="s">
        <v>145</v>
      </c>
      <c r="AC146" s="21">
        <v>12.0</v>
      </c>
      <c r="AD146" s="22" t="s">
        <v>1356</v>
      </c>
      <c r="AE146" s="25"/>
    </row>
    <row r="147">
      <c r="A147" s="34">
        <v>45539.41536853009</v>
      </c>
      <c r="B147" s="14">
        <f t="shared" si="1"/>
        <v>45539</v>
      </c>
      <c r="C147" s="15" t="s">
        <v>327</v>
      </c>
      <c r="D147" s="15" t="s">
        <v>1357</v>
      </c>
      <c r="E147" s="15" t="str">
        <f t="shared" si="7"/>
        <v>FRANCES RICHARDSON</v>
      </c>
      <c r="F147" s="16" t="str">
        <f t="shared" si="9"/>
        <v>(202) 528-5203</v>
      </c>
      <c r="G147" s="15" t="s">
        <v>1358</v>
      </c>
      <c r="H147" s="15" t="s">
        <v>66</v>
      </c>
      <c r="I147" s="17" t="s">
        <v>470</v>
      </c>
      <c r="J147" s="18" t="s">
        <v>471</v>
      </c>
      <c r="K147" s="17" t="s">
        <v>116</v>
      </c>
      <c r="L147" s="19" t="s">
        <v>1296</v>
      </c>
      <c r="M147" s="20" t="s">
        <v>39</v>
      </c>
      <c r="N147" s="21" t="s">
        <v>1359</v>
      </c>
      <c r="O147" s="21" t="s">
        <v>1360</v>
      </c>
      <c r="P147" s="21" t="s">
        <v>1361</v>
      </c>
      <c r="Q147" s="21" t="s">
        <v>1362</v>
      </c>
      <c r="R147" s="21">
        <v>20017.0</v>
      </c>
      <c r="S147" s="21" t="s">
        <v>74</v>
      </c>
      <c r="T147" s="29" t="s">
        <v>1363</v>
      </c>
      <c r="U147" s="21">
        <v>1.0</v>
      </c>
      <c r="V147" s="21">
        <v>1.0</v>
      </c>
      <c r="W147" s="21">
        <f t="shared" si="4"/>
        <v>2</v>
      </c>
      <c r="X147" s="21" t="s">
        <v>84</v>
      </c>
      <c r="Y147" s="21" t="s">
        <v>85</v>
      </c>
      <c r="Z147" s="22" t="s">
        <v>1364</v>
      </c>
      <c r="AA147" s="22" t="s">
        <v>1365</v>
      </c>
      <c r="AB147" s="21" t="s">
        <v>49</v>
      </c>
      <c r="AC147" s="21">
        <v>12.0</v>
      </c>
      <c r="AD147" s="23"/>
      <c r="AE147" s="39"/>
      <c r="AF147" s="12"/>
      <c r="AG147" s="12"/>
      <c r="AH147" s="12"/>
      <c r="AI147" s="12"/>
      <c r="AJ147" s="12"/>
      <c r="AK147" s="12"/>
    </row>
    <row r="148">
      <c r="A148" s="34">
        <v>45540.91609274306</v>
      </c>
      <c r="B148" s="14">
        <f t="shared" si="1"/>
        <v>45540</v>
      </c>
      <c r="C148" s="15" t="s">
        <v>327</v>
      </c>
      <c r="D148" s="15" t="s">
        <v>1366</v>
      </c>
      <c r="E148" s="15" t="str">
        <f t="shared" si="7"/>
        <v>Cornelia Stark</v>
      </c>
      <c r="F148" s="16">
        <f t="shared" si="9"/>
        <v>2028671827</v>
      </c>
      <c r="G148" s="15" t="s">
        <v>1367</v>
      </c>
      <c r="H148" s="15" t="s">
        <v>356</v>
      </c>
      <c r="I148" s="17" t="s">
        <v>1368</v>
      </c>
      <c r="J148" s="18" t="s">
        <v>1282</v>
      </c>
      <c r="K148" s="17" t="s">
        <v>150</v>
      </c>
      <c r="L148" s="19">
        <v>9.72697931E9</v>
      </c>
      <c r="M148" s="20" t="s">
        <v>39</v>
      </c>
      <c r="N148" s="21" t="s">
        <v>1369</v>
      </c>
      <c r="O148" s="21" t="s">
        <v>1370</v>
      </c>
      <c r="P148" s="21" t="s">
        <v>1371</v>
      </c>
      <c r="Q148" s="28"/>
      <c r="R148" s="21">
        <v>20002.0</v>
      </c>
      <c r="S148" s="21" t="s">
        <v>59</v>
      </c>
      <c r="T148" s="29">
        <v>2.028671827E9</v>
      </c>
      <c r="U148" s="21">
        <v>2.0</v>
      </c>
      <c r="V148" s="21">
        <v>1.0</v>
      </c>
      <c r="W148" s="21">
        <f t="shared" si="4"/>
        <v>3</v>
      </c>
      <c r="X148" s="21" t="s">
        <v>46</v>
      </c>
      <c r="Y148" s="21" t="s">
        <v>47</v>
      </c>
      <c r="Z148" s="22" t="s">
        <v>236</v>
      </c>
      <c r="AA148" s="22" t="s">
        <v>1372</v>
      </c>
      <c r="AB148" s="21" t="s">
        <v>49</v>
      </c>
      <c r="AC148" s="21">
        <v>6.0</v>
      </c>
      <c r="AD148" s="22" t="s">
        <v>1373</v>
      </c>
      <c r="AE148" s="25"/>
    </row>
    <row r="149">
      <c r="A149" s="34">
        <v>45547.53687947917</v>
      </c>
      <c r="B149" s="14">
        <f t="shared" si="1"/>
        <v>45547</v>
      </c>
      <c r="C149" s="40" t="s">
        <v>327</v>
      </c>
      <c r="D149" s="15" t="s">
        <v>1374</v>
      </c>
      <c r="E149" s="15" t="str">
        <f t="shared" si="7"/>
        <v>DAVID NORRIS</v>
      </c>
      <c r="F149" s="16">
        <f t="shared" si="9"/>
        <v>2022946273</v>
      </c>
      <c r="G149" s="15" t="s">
        <v>1163</v>
      </c>
      <c r="H149" s="15" t="s">
        <v>66</v>
      </c>
      <c r="I149" s="17" t="s">
        <v>1135</v>
      </c>
      <c r="J149" s="18" t="s">
        <v>1375</v>
      </c>
      <c r="K149" s="17" t="s">
        <v>116</v>
      </c>
      <c r="L149" s="19" t="s">
        <v>1137</v>
      </c>
      <c r="M149" s="20" t="s">
        <v>39</v>
      </c>
      <c r="N149" s="21" t="s">
        <v>1376</v>
      </c>
      <c r="O149" s="21" t="s">
        <v>1377</v>
      </c>
      <c r="P149" s="21" t="s">
        <v>1378</v>
      </c>
      <c r="Q149" s="21" t="s">
        <v>1243</v>
      </c>
      <c r="R149" s="21">
        <v>20001.0</v>
      </c>
      <c r="S149" s="21" t="s">
        <v>59</v>
      </c>
      <c r="T149" s="29">
        <v>2.022946273E9</v>
      </c>
      <c r="U149" s="21">
        <v>1.0</v>
      </c>
      <c r="V149" s="21">
        <v>1.0</v>
      </c>
      <c r="W149" s="21">
        <f t="shared" si="4"/>
        <v>2</v>
      </c>
      <c r="X149" s="21" t="s">
        <v>46</v>
      </c>
      <c r="Y149" s="21" t="s">
        <v>85</v>
      </c>
      <c r="Z149" s="22" t="s">
        <v>61</v>
      </c>
      <c r="AA149" s="22" t="s">
        <v>1379</v>
      </c>
      <c r="AB149" s="21" t="s">
        <v>49</v>
      </c>
      <c r="AC149" s="21">
        <v>12.0</v>
      </c>
      <c r="AD149" s="23"/>
      <c r="AE149" s="39"/>
      <c r="AF149" s="12"/>
      <c r="AG149" s="12"/>
      <c r="AH149" s="12"/>
      <c r="AI149" s="12"/>
      <c r="AJ149" s="12"/>
      <c r="AK149" s="12"/>
    </row>
    <row r="150">
      <c r="A150" s="34">
        <v>45551.490689502316</v>
      </c>
      <c r="B150" s="14">
        <f t="shared" si="1"/>
        <v>45551</v>
      </c>
      <c r="C150" s="15" t="s">
        <v>643</v>
      </c>
      <c r="D150" s="15" t="s">
        <v>1380</v>
      </c>
      <c r="E150" s="15" t="str">
        <f t="shared" si="7"/>
        <v>BONFILIO CASARRUBIAS-CORDERO</v>
      </c>
      <c r="F150" s="16">
        <f t="shared" si="9"/>
        <v>2023083934</v>
      </c>
      <c r="G150" s="15" t="s">
        <v>1381</v>
      </c>
      <c r="H150" s="15" t="s">
        <v>646</v>
      </c>
      <c r="I150" s="17" t="s">
        <v>470</v>
      </c>
      <c r="J150" s="18" t="s">
        <v>471</v>
      </c>
      <c r="K150" s="17" t="s">
        <v>116</v>
      </c>
      <c r="L150" s="19" t="s">
        <v>1296</v>
      </c>
      <c r="M150" s="20" t="s">
        <v>39</v>
      </c>
      <c r="N150" s="21" t="s">
        <v>1382</v>
      </c>
      <c r="O150" s="21" t="s">
        <v>1383</v>
      </c>
      <c r="P150" s="21" t="s">
        <v>1384</v>
      </c>
      <c r="Q150" s="21" t="s">
        <v>1385</v>
      </c>
      <c r="R150" s="21">
        <v>20009.0</v>
      </c>
      <c r="S150" s="21" t="s">
        <v>59</v>
      </c>
      <c r="T150" s="29">
        <v>2.023083934E9</v>
      </c>
      <c r="U150" s="21">
        <v>2.0</v>
      </c>
      <c r="V150" s="21">
        <v>2.0</v>
      </c>
      <c r="W150" s="21">
        <f t="shared" si="4"/>
        <v>4</v>
      </c>
      <c r="X150" s="21" t="s">
        <v>84</v>
      </c>
      <c r="Y150" s="21" t="s">
        <v>47</v>
      </c>
      <c r="Z150" s="22" t="s">
        <v>1386</v>
      </c>
      <c r="AA150" s="22" t="s">
        <v>1387</v>
      </c>
      <c r="AB150" s="21" t="s">
        <v>49</v>
      </c>
      <c r="AC150" s="21">
        <v>12.0</v>
      </c>
      <c r="AD150" s="23"/>
      <c r="AE150" s="39"/>
      <c r="AF150" s="12"/>
      <c r="AG150" s="12"/>
      <c r="AH150" s="12"/>
      <c r="AI150" s="12"/>
      <c r="AJ150" s="12"/>
      <c r="AK150" s="12"/>
    </row>
    <row r="151">
      <c r="A151" s="34">
        <v>45551.51636770833</v>
      </c>
      <c r="B151" s="14">
        <f t="shared" si="1"/>
        <v>45551</v>
      </c>
      <c r="C151" s="40" t="s">
        <v>31</v>
      </c>
      <c r="D151" s="15" t="s">
        <v>1388</v>
      </c>
      <c r="E151" s="15" t="s">
        <v>1389</v>
      </c>
      <c r="F151" s="16" t="str">
        <f t="shared" si="9"/>
        <v>(202)-419-9180</v>
      </c>
      <c r="G151" s="15" t="s">
        <v>1390</v>
      </c>
      <c r="H151" s="15" t="s">
        <v>103</v>
      </c>
      <c r="I151" s="17" t="s">
        <v>1391</v>
      </c>
      <c r="J151" s="18" t="s">
        <v>442</v>
      </c>
      <c r="K151" s="17" t="s">
        <v>777</v>
      </c>
      <c r="L151" s="19" t="s">
        <v>1392</v>
      </c>
      <c r="M151" s="20" t="s">
        <v>39</v>
      </c>
      <c r="N151" s="21" t="s">
        <v>1393</v>
      </c>
      <c r="O151" s="21" t="s">
        <v>1394</v>
      </c>
      <c r="P151" s="21" t="s">
        <v>1395</v>
      </c>
      <c r="Q151" s="21" t="s">
        <v>1396</v>
      </c>
      <c r="R151" s="21">
        <v>20032.0</v>
      </c>
      <c r="S151" s="21" t="s">
        <v>1397</v>
      </c>
      <c r="T151" s="29" t="s">
        <v>1398</v>
      </c>
      <c r="U151" s="21">
        <v>1.0</v>
      </c>
      <c r="V151" s="21">
        <v>2.0</v>
      </c>
      <c r="W151" s="21">
        <f t="shared" si="4"/>
        <v>3</v>
      </c>
      <c r="X151" s="21" t="s">
        <v>46</v>
      </c>
      <c r="Y151" s="21" t="s">
        <v>85</v>
      </c>
      <c r="Z151" s="22" t="s">
        <v>1399</v>
      </c>
      <c r="AA151" s="22" t="s">
        <v>1400</v>
      </c>
      <c r="AB151" s="21" t="s">
        <v>145</v>
      </c>
      <c r="AC151" s="21">
        <v>6.0</v>
      </c>
      <c r="AD151" s="22" t="s">
        <v>1401</v>
      </c>
      <c r="AE151" s="25"/>
      <c r="AF151" s="12"/>
      <c r="AG151" s="12"/>
      <c r="AH151" s="12"/>
      <c r="AI151" s="12"/>
      <c r="AJ151" s="12"/>
      <c r="AK151" s="12"/>
    </row>
    <row r="152">
      <c r="A152" s="34">
        <v>45552.391292569446</v>
      </c>
      <c r="B152" s="14">
        <f t="shared" si="1"/>
        <v>45552</v>
      </c>
      <c r="C152" s="40" t="s">
        <v>327</v>
      </c>
      <c r="D152" s="15" t="s">
        <v>1402</v>
      </c>
      <c r="E152" s="15" t="str">
        <f t="shared" ref="E152:E169" si="10">N152&amp;" "&amp;O152</f>
        <v>Raymond Wilkins</v>
      </c>
      <c r="F152" s="16">
        <f t="shared" si="9"/>
        <v>2023157659</v>
      </c>
      <c r="G152" s="15" t="s">
        <v>1403</v>
      </c>
      <c r="H152" s="15" t="s">
        <v>103</v>
      </c>
      <c r="I152" s="17" t="s">
        <v>1404</v>
      </c>
      <c r="J152" s="18" t="s">
        <v>1405</v>
      </c>
      <c r="K152" s="17" t="s">
        <v>1406</v>
      </c>
      <c r="L152" s="19" t="s">
        <v>1407</v>
      </c>
      <c r="M152" s="20" t="s">
        <v>39</v>
      </c>
      <c r="N152" s="21" t="s">
        <v>1408</v>
      </c>
      <c r="O152" s="21" t="s">
        <v>1409</v>
      </c>
      <c r="P152" s="21" t="s">
        <v>1410</v>
      </c>
      <c r="Q152" s="21" t="s">
        <v>1411</v>
      </c>
      <c r="R152" s="21">
        <v>20024.0</v>
      </c>
      <c r="S152" s="21" t="s">
        <v>562</v>
      </c>
      <c r="T152" s="29">
        <v>2.023157659E9</v>
      </c>
      <c r="U152" s="21">
        <v>1.0</v>
      </c>
      <c r="V152" s="21">
        <v>1.0</v>
      </c>
      <c r="W152" s="21">
        <f t="shared" si="4"/>
        <v>2</v>
      </c>
      <c r="X152" s="21" t="s">
        <v>46</v>
      </c>
      <c r="Y152" s="21" t="s">
        <v>85</v>
      </c>
      <c r="Z152" s="22" t="s">
        <v>122</v>
      </c>
      <c r="AA152" s="22" t="s">
        <v>1412</v>
      </c>
      <c r="AB152" s="21" t="s">
        <v>49</v>
      </c>
      <c r="AC152" s="21">
        <v>12.0</v>
      </c>
      <c r="AD152" s="22" t="s">
        <v>1413</v>
      </c>
      <c r="AE152" s="25"/>
      <c r="AF152" s="12"/>
      <c r="AG152" s="12"/>
      <c r="AH152" s="12"/>
      <c r="AI152" s="12"/>
      <c r="AJ152" s="12"/>
      <c r="AK152" s="12"/>
    </row>
    <row r="153">
      <c r="A153" s="34">
        <v>45552.49107422454</v>
      </c>
      <c r="B153" s="14">
        <f t="shared" si="1"/>
        <v>45552</v>
      </c>
      <c r="C153" s="15" t="s">
        <v>327</v>
      </c>
      <c r="D153" s="15" t="s">
        <v>1414</v>
      </c>
      <c r="E153" s="15" t="str">
        <f t="shared" si="10"/>
        <v>Karen Carter</v>
      </c>
      <c r="F153" s="16" t="str">
        <f t="shared" si="9"/>
        <v>(202) 710-6504</v>
      </c>
      <c r="G153" s="15" t="s">
        <v>1163</v>
      </c>
      <c r="H153" s="15" t="s">
        <v>66</v>
      </c>
      <c r="I153" s="17" t="s">
        <v>1415</v>
      </c>
      <c r="J153" s="18" t="s">
        <v>1416</v>
      </c>
      <c r="K153" s="17" t="s">
        <v>116</v>
      </c>
      <c r="L153" s="19" t="s">
        <v>1417</v>
      </c>
      <c r="M153" s="20" t="s">
        <v>39</v>
      </c>
      <c r="N153" s="21" t="s">
        <v>1418</v>
      </c>
      <c r="O153" s="21" t="s">
        <v>412</v>
      </c>
      <c r="P153" s="21" t="s">
        <v>1419</v>
      </c>
      <c r="Q153" s="21">
        <v>201.0</v>
      </c>
      <c r="R153" s="21">
        <v>20032.0</v>
      </c>
      <c r="S153" s="21" t="s">
        <v>44</v>
      </c>
      <c r="T153" s="29" t="s">
        <v>1420</v>
      </c>
      <c r="U153" s="21">
        <v>1.0</v>
      </c>
      <c r="V153" s="21">
        <v>1.0</v>
      </c>
      <c r="W153" s="21">
        <f t="shared" si="4"/>
        <v>2</v>
      </c>
      <c r="X153" s="21" t="s">
        <v>46</v>
      </c>
      <c r="Y153" s="21" t="s">
        <v>85</v>
      </c>
      <c r="Z153" s="22" t="s">
        <v>920</v>
      </c>
      <c r="AA153" s="22" t="s">
        <v>1421</v>
      </c>
      <c r="AB153" s="21" t="s">
        <v>49</v>
      </c>
      <c r="AC153" s="21">
        <v>6.0</v>
      </c>
      <c r="AD153" s="22" t="s">
        <v>1422</v>
      </c>
      <c r="AE153" s="25"/>
      <c r="AF153" s="12"/>
      <c r="AG153" s="12"/>
      <c r="AH153" s="12"/>
      <c r="AI153" s="12"/>
      <c r="AJ153" s="12"/>
      <c r="AK153" s="12"/>
    </row>
    <row r="154">
      <c r="A154" s="34">
        <v>45552.59143685186</v>
      </c>
      <c r="B154" s="14">
        <f t="shared" si="1"/>
        <v>45552</v>
      </c>
      <c r="C154" s="15" t="s">
        <v>327</v>
      </c>
      <c r="D154" s="15" t="s">
        <v>1423</v>
      </c>
      <c r="E154" s="15" t="str">
        <f t="shared" si="10"/>
        <v>Allis Godoy-Gutierrez</v>
      </c>
      <c r="F154" s="16">
        <f t="shared" si="9"/>
        <v>2027062282</v>
      </c>
      <c r="G154" s="15" t="s">
        <v>1424</v>
      </c>
      <c r="H154" s="15" t="s">
        <v>66</v>
      </c>
      <c r="I154" s="17" t="s">
        <v>1153</v>
      </c>
      <c r="J154" s="18" t="s">
        <v>1425</v>
      </c>
      <c r="K154" s="17" t="s">
        <v>1155</v>
      </c>
      <c r="L154" s="19" t="s">
        <v>1156</v>
      </c>
      <c r="M154" s="20" t="s">
        <v>39</v>
      </c>
      <c r="N154" s="21" t="s">
        <v>1426</v>
      </c>
      <c r="O154" s="21" t="s">
        <v>1427</v>
      </c>
      <c r="P154" s="21" t="s">
        <v>1428</v>
      </c>
      <c r="Q154" s="28"/>
      <c r="R154" s="21">
        <v>20019.0</v>
      </c>
      <c r="S154" s="21" t="s">
        <v>44</v>
      </c>
      <c r="T154" s="29">
        <v>2.027062282E9</v>
      </c>
      <c r="U154" s="21">
        <v>1.0</v>
      </c>
      <c r="V154" s="21">
        <v>0.0</v>
      </c>
      <c r="W154" s="21">
        <f t="shared" si="4"/>
        <v>1</v>
      </c>
      <c r="X154" s="21" t="s">
        <v>46</v>
      </c>
      <c r="Y154" s="21" t="s">
        <v>47</v>
      </c>
      <c r="Z154" s="22" t="s">
        <v>361</v>
      </c>
      <c r="AA154" s="22" t="s">
        <v>1429</v>
      </c>
      <c r="AB154" s="21" t="s">
        <v>49</v>
      </c>
      <c r="AC154" s="21">
        <v>6.0</v>
      </c>
      <c r="AD154" s="22" t="s">
        <v>1430</v>
      </c>
      <c r="AE154" s="25"/>
      <c r="AF154" s="12"/>
      <c r="AG154" s="12"/>
      <c r="AH154" s="12"/>
      <c r="AI154" s="12"/>
      <c r="AJ154" s="12"/>
      <c r="AK154" s="12"/>
    </row>
    <row r="155">
      <c r="A155" s="34">
        <v>45555.53572568287</v>
      </c>
      <c r="B155" s="14">
        <f t="shared" si="1"/>
        <v>45555</v>
      </c>
      <c r="C155" s="15" t="s">
        <v>31</v>
      </c>
      <c r="D155" s="15" t="s">
        <v>1431</v>
      </c>
      <c r="E155" s="15" t="str">
        <f t="shared" si="10"/>
        <v>Janay Johnson</v>
      </c>
      <c r="F155" s="16" t="s">
        <v>1432</v>
      </c>
      <c r="G155" s="15" t="s">
        <v>1433</v>
      </c>
      <c r="H155" s="15" t="s">
        <v>103</v>
      </c>
      <c r="I155" s="17" t="s">
        <v>998</v>
      </c>
      <c r="J155" s="18" t="s">
        <v>999</v>
      </c>
      <c r="K155" s="17" t="s">
        <v>1000</v>
      </c>
      <c r="L155" s="19" t="s">
        <v>1034</v>
      </c>
      <c r="M155" s="20" t="s">
        <v>39</v>
      </c>
      <c r="N155" s="21" t="s">
        <v>1434</v>
      </c>
      <c r="O155" s="21" t="s">
        <v>388</v>
      </c>
      <c r="P155" s="21" t="s">
        <v>1435</v>
      </c>
      <c r="Q155" s="21" t="s">
        <v>1436</v>
      </c>
      <c r="R155" s="21">
        <v>20011.0</v>
      </c>
      <c r="S155" s="21" t="s">
        <v>59</v>
      </c>
      <c r="T155" s="29">
        <v>2.028678203E9</v>
      </c>
      <c r="U155" s="21">
        <v>2.0</v>
      </c>
      <c r="V155" s="21">
        <v>2.0</v>
      </c>
      <c r="W155" s="21">
        <f t="shared" si="4"/>
        <v>4</v>
      </c>
      <c r="X155" s="21" t="s">
        <v>46</v>
      </c>
      <c r="Y155" s="21" t="s">
        <v>47</v>
      </c>
      <c r="Z155" s="22" t="s">
        <v>61</v>
      </c>
      <c r="AA155" s="22" t="s">
        <v>1437</v>
      </c>
      <c r="AB155" s="21" t="s">
        <v>49</v>
      </c>
      <c r="AC155" s="21">
        <v>3.0</v>
      </c>
      <c r="AD155" s="22" t="s">
        <v>1438</v>
      </c>
      <c r="AE155" s="25"/>
      <c r="AF155" s="12"/>
      <c r="AG155" s="12"/>
      <c r="AH155" s="12"/>
      <c r="AI155" s="12"/>
      <c r="AJ155" s="12"/>
      <c r="AK155" s="12"/>
    </row>
    <row r="156">
      <c r="A156" s="34">
        <v>45555.65402539352</v>
      </c>
      <c r="B156" s="14">
        <f t="shared" si="1"/>
        <v>45555</v>
      </c>
      <c r="C156" s="15" t="s">
        <v>327</v>
      </c>
      <c r="D156" s="15" t="s">
        <v>1439</v>
      </c>
      <c r="E156" s="15" t="str">
        <f t="shared" si="10"/>
        <v>Nadia Joseph-Polanco</v>
      </c>
      <c r="F156" s="16" t="str">
        <f t="shared" ref="F156:F170" si="11">T156</f>
        <v>(202) 983-8039</v>
      </c>
      <c r="G156" s="15" t="s">
        <v>1424</v>
      </c>
      <c r="H156" s="15" t="s">
        <v>103</v>
      </c>
      <c r="I156" s="17" t="s">
        <v>1304</v>
      </c>
      <c r="J156" s="18" t="s">
        <v>1305</v>
      </c>
      <c r="K156" s="17" t="s">
        <v>1306</v>
      </c>
      <c r="L156" s="19" t="s">
        <v>1440</v>
      </c>
      <c r="M156" s="20" t="s">
        <v>39</v>
      </c>
      <c r="N156" s="21" t="s">
        <v>1441</v>
      </c>
      <c r="O156" s="21" t="s">
        <v>1442</v>
      </c>
      <c r="P156" s="21" t="s">
        <v>1443</v>
      </c>
      <c r="Q156" s="21">
        <v>901.0</v>
      </c>
      <c r="R156" s="21">
        <v>20016.0</v>
      </c>
      <c r="S156" s="21" t="s">
        <v>59</v>
      </c>
      <c r="T156" s="29" t="s">
        <v>1444</v>
      </c>
      <c r="U156" s="21">
        <v>1.0</v>
      </c>
      <c r="V156" s="21">
        <v>0.0</v>
      </c>
      <c r="W156" s="21">
        <f t="shared" si="4"/>
        <v>1</v>
      </c>
      <c r="X156" s="21" t="s">
        <v>46</v>
      </c>
      <c r="Y156" s="21" t="s">
        <v>85</v>
      </c>
      <c r="Z156" s="22" t="s">
        <v>61</v>
      </c>
      <c r="AA156" s="22" t="s">
        <v>1445</v>
      </c>
      <c r="AB156" s="21" t="s">
        <v>49</v>
      </c>
      <c r="AC156" s="21">
        <v>12.0</v>
      </c>
      <c r="AD156" s="22" t="s">
        <v>1446</v>
      </c>
      <c r="AE156" s="25"/>
    </row>
    <row r="157">
      <c r="A157" s="34">
        <v>45558.440889641206</v>
      </c>
      <c r="B157" s="14">
        <f t="shared" si="1"/>
        <v>45558</v>
      </c>
      <c r="C157" s="15" t="s">
        <v>327</v>
      </c>
      <c r="D157" s="15" t="s">
        <v>1447</v>
      </c>
      <c r="E157" s="15" t="str">
        <f t="shared" si="10"/>
        <v>Larry Braxton</v>
      </c>
      <c r="F157" s="16" t="str">
        <f t="shared" si="11"/>
        <v>(202) 815-4296</v>
      </c>
      <c r="G157" s="16" t="s">
        <v>1448</v>
      </c>
      <c r="H157" s="15" t="s">
        <v>103</v>
      </c>
      <c r="I157" s="17" t="s">
        <v>1449</v>
      </c>
      <c r="J157" s="18" t="s">
        <v>585</v>
      </c>
      <c r="K157" s="17" t="s">
        <v>586</v>
      </c>
      <c r="L157" s="19" t="s">
        <v>587</v>
      </c>
      <c r="M157" s="20" t="s">
        <v>39</v>
      </c>
      <c r="N157" s="21" t="s">
        <v>1450</v>
      </c>
      <c r="O157" s="21" t="s">
        <v>1451</v>
      </c>
      <c r="P157" s="21" t="s">
        <v>1452</v>
      </c>
      <c r="Q157" s="21" t="s">
        <v>1453</v>
      </c>
      <c r="R157" s="21">
        <v>20020.0</v>
      </c>
      <c r="S157" s="21" t="s">
        <v>44</v>
      </c>
      <c r="T157" s="29" t="s">
        <v>1454</v>
      </c>
      <c r="U157" s="21">
        <v>2.0</v>
      </c>
      <c r="V157" s="21">
        <v>0.0</v>
      </c>
      <c r="W157" s="21">
        <f t="shared" si="4"/>
        <v>2</v>
      </c>
      <c r="X157" s="21" t="s">
        <v>84</v>
      </c>
      <c r="Y157" s="21" t="s">
        <v>47</v>
      </c>
      <c r="Z157" s="22" t="s">
        <v>187</v>
      </c>
      <c r="AA157" s="22" t="s">
        <v>1455</v>
      </c>
      <c r="AB157" s="21" t="s">
        <v>49</v>
      </c>
      <c r="AC157" s="21">
        <v>6.0</v>
      </c>
      <c r="AD157" s="22" t="s">
        <v>1456</v>
      </c>
      <c r="AE157" s="25"/>
      <c r="AF157" s="12"/>
      <c r="AG157" s="12"/>
      <c r="AH157" s="12"/>
      <c r="AI157" s="12"/>
      <c r="AJ157" s="12"/>
      <c r="AK157" s="12"/>
    </row>
    <row r="158">
      <c r="A158" s="34">
        <v>45565.54534167824</v>
      </c>
      <c r="B158" s="14">
        <f t="shared" si="1"/>
        <v>45565</v>
      </c>
      <c r="C158" s="40" t="s">
        <v>327</v>
      </c>
      <c r="D158" s="15" t="s">
        <v>1457</v>
      </c>
      <c r="E158" s="15" t="str">
        <f t="shared" si="10"/>
        <v>Rosa Mejia</v>
      </c>
      <c r="F158" s="16" t="str">
        <f t="shared" si="11"/>
        <v>(202) 330-6067</v>
      </c>
      <c r="G158" s="15" t="s">
        <v>1458</v>
      </c>
      <c r="H158" s="15" t="s">
        <v>66</v>
      </c>
      <c r="I158" s="17" t="s">
        <v>90</v>
      </c>
      <c r="J158" s="18" t="s">
        <v>347</v>
      </c>
      <c r="K158" s="17" t="s">
        <v>92</v>
      </c>
      <c r="L158" s="19" t="s">
        <v>1459</v>
      </c>
      <c r="M158" s="20" t="s">
        <v>39</v>
      </c>
      <c r="N158" s="21" t="s">
        <v>1460</v>
      </c>
      <c r="O158" s="21" t="s">
        <v>1461</v>
      </c>
      <c r="P158" s="21" t="s">
        <v>1462</v>
      </c>
      <c r="Q158" s="21">
        <v>104.0</v>
      </c>
      <c r="R158" s="21">
        <v>20039.0</v>
      </c>
      <c r="S158" s="21" t="s">
        <v>59</v>
      </c>
      <c r="T158" s="29" t="s">
        <v>1463</v>
      </c>
      <c r="U158" s="21">
        <v>1.0</v>
      </c>
      <c r="V158" s="21">
        <v>1.0</v>
      </c>
      <c r="W158" s="21">
        <f t="shared" si="4"/>
        <v>2</v>
      </c>
      <c r="X158" s="21" t="s">
        <v>46</v>
      </c>
      <c r="Y158" s="21" t="s">
        <v>85</v>
      </c>
      <c r="Z158" s="22" t="s">
        <v>1464</v>
      </c>
      <c r="AA158" s="22" t="s">
        <v>1465</v>
      </c>
      <c r="AB158" s="21" t="s">
        <v>49</v>
      </c>
      <c r="AC158" s="21">
        <v>3.0</v>
      </c>
      <c r="AD158" s="22" t="s">
        <v>1466</v>
      </c>
      <c r="AE158" s="25"/>
      <c r="AF158" s="12"/>
      <c r="AG158" s="12"/>
      <c r="AH158" s="12"/>
      <c r="AI158" s="12"/>
      <c r="AJ158" s="12"/>
      <c r="AK158" s="12"/>
    </row>
    <row r="159">
      <c r="A159" s="34">
        <v>45565.79703425926</v>
      </c>
      <c r="B159" s="14">
        <f t="shared" si="1"/>
        <v>45565</v>
      </c>
      <c r="C159" s="15" t="s">
        <v>1467</v>
      </c>
      <c r="D159" s="15" t="s">
        <v>1468</v>
      </c>
      <c r="E159" s="15" t="str">
        <f t="shared" si="10"/>
        <v>Christine Ellis</v>
      </c>
      <c r="F159" s="16" t="str">
        <f t="shared" si="11"/>
        <v>(202) 375-0019</v>
      </c>
      <c r="G159" s="16" t="s">
        <v>1469</v>
      </c>
      <c r="H159" s="15" t="s">
        <v>66</v>
      </c>
      <c r="I159" s="17" t="s">
        <v>1182</v>
      </c>
      <c r="J159" s="18" t="s">
        <v>1183</v>
      </c>
      <c r="K159" s="17" t="s">
        <v>1470</v>
      </c>
      <c r="L159" s="19">
        <v>2.023362864E9</v>
      </c>
      <c r="M159" s="20" t="s">
        <v>39</v>
      </c>
      <c r="N159" s="21" t="s">
        <v>1471</v>
      </c>
      <c r="O159" s="21" t="s">
        <v>1472</v>
      </c>
      <c r="P159" s="21" t="s">
        <v>1473</v>
      </c>
      <c r="Q159" s="28"/>
      <c r="R159" s="21">
        <v>20020.0</v>
      </c>
      <c r="S159" s="21" t="s">
        <v>700</v>
      </c>
      <c r="T159" s="29" t="s">
        <v>1474</v>
      </c>
      <c r="U159" s="21">
        <v>1.0</v>
      </c>
      <c r="V159" s="21">
        <v>0.0</v>
      </c>
      <c r="W159" s="21">
        <f t="shared" si="4"/>
        <v>1</v>
      </c>
      <c r="X159" s="21" t="s">
        <v>84</v>
      </c>
      <c r="Y159" s="21" t="s">
        <v>47</v>
      </c>
      <c r="Z159" s="22" t="s">
        <v>756</v>
      </c>
      <c r="AA159" s="22" t="s">
        <v>1475</v>
      </c>
      <c r="AB159" s="21" t="s">
        <v>145</v>
      </c>
      <c r="AC159" s="21" t="s">
        <v>1476</v>
      </c>
      <c r="AD159" s="22" t="s">
        <v>1477</v>
      </c>
      <c r="AE159" s="25"/>
      <c r="AF159" s="12"/>
      <c r="AG159" s="12"/>
      <c r="AH159" s="12"/>
      <c r="AI159" s="12"/>
      <c r="AJ159" s="12"/>
      <c r="AK159" s="12"/>
    </row>
    <row r="160">
      <c r="A160" s="34">
        <v>45566.242396574075</v>
      </c>
      <c r="B160" s="14">
        <f t="shared" si="1"/>
        <v>45566</v>
      </c>
      <c r="C160" s="15" t="s">
        <v>327</v>
      </c>
      <c r="D160" s="15" t="s">
        <v>1478</v>
      </c>
      <c r="E160" s="15" t="str">
        <f t="shared" si="10"/>
        <v>Dajon Howard Masterson</v>
      </c>
      <c r="F160" s="16">
        <f t="shared" si="11"/>
        <v>2027545137</v>
      </c>
      <c r="G160" s="15" t="s">
        <v>1479</v>
      </c>
      <c r="H160" s="15" t="s">
        <v>356</v>
      </c>
      <c r="I160" s="17" t="s">
        <v>714</v>
      </c>
      <c r="J160" s="18" t="s">
        <v>715</v>
      </c>
      <c r="K160" s="17" t="s">
        <v>1480</v>
      </c>
      <c r="L160" s="19" t="s">
        <v>1481</v>
      </c>
      <c r="M160" s="20" t="s">
        <v>39</v>
      </c>
      <c r="N160" s="21" t="s">
        <v>1482</v>
      </c>
      <c r="O160" s="21" t="s">
        <v>1483</v>
      </c>
      <c r="P160" s="21" t="s">
        <v>1484</v>
      </c>
      <c r="Q160" s="21" t="s">
        <v>1485</v>
      </c>
      <c r="R160" s="21">
        <v>20002.0</v>
      </c>
      <c r="S160" s="21" t="s">
        <v>74</v>
      </c>
      <c r="T160" s="29">
        <v>2.027545137E9</v>
      </c>
      <c r="U160" s="21">
        <v>2.0</v>
      </c>
      <c r="V160" s="21">
        <v>3.0</v>
      </c>
      <c r="W160" s="21">
        <f t="shared" si="4"/>
        <v>5</v>
      </c>
      <c r="X160" s="21" t="s">
        <v>46</v>
      </c>
      <c r="Y160" s="21" t="s">
        <v>47</v>
      </c>
      <c r="Z160" s="22" t="s">
        <v>236</v>
      </c>
      <c r="AA160" s="23"/>
      <c r="AB160" s="21" t="s">
        <v>145</v>
      </c>
      <c r="AC160" s="21">
        <v>24.0</v>
      </c>
      <c r="AD160" s="23"/>
      <c r="AE160" s="39"/>
      <c r="AF160" s="12"/>
      <c r="AG160" s="12"/>
      <c r="AH160" s="12"/>
      <c r="AI160" s="12"/>
      <c r="AJ160" s="12"/>
      <c r="AK160" s="12"/>
    </row>
    <row r="161">
      <c r="A161" s="34">
        <v>45568.95352596065</v>
      </c>
      <c r="B161" s="14">
        <f t="shared" si="1"/>
        <v>45568</v>
      </c>
      <c r="C161" s="15" t="s">
        <v>327</v>
      </c>
      <c r="D161" s="15" t="s">
        <v>1486</v>
      </c>
      <c r="E161" s="15" t="str">
        <f t="shared" si="10"/>
        <v>Dashai Logan</v>
      </c>
      <c r="F161" s="16" t="str">
        <f t="shared" si="11"/>
        <v>(771) 233-9200</v>
      </c>
      <c r="G161" s="15" t="s">
        <v>1424</v>
      </c>
      <c r="H161" s="15" t="s">
        <v>66</v>
      </c>
      <c r="I161" s="17" t="s">
        <v>1487</v>
      </c>
      <c r="J161" s="18" t="s">
        <v>1488</v>
      </c>
      <c r="K161" s="17" t="s">
        <v>1489</v>
      </c>
      <c r="L161" s="19">
        <v>2.028809579E9</v>
      </c>
      <c r="M161" s="20" t="s">
        <v>39</v>
      </c>
      <c r="N161" s="21" t="s">
        <v>1490</v>
      </c>
      <c r="O161" s="21" t="s">
        <v>1491</v>
      </c>
      <c r="P161" s="21" t="s">
        <v>1492</v>
      </c>
      <c r="Q161" s="21">
        <v>102.0</v>
      </c>
      <c r="R161" s="21">
        <v>20019.0</v>
      </c>
      <c r="S161" s="21" t="s">
        <v>44</v>
      </c>
      <c r="T161" s="29" t="s">
        <v>1493</v>
      </c>
      <c r="U161" s="21">
        <v>1.0</v>
      </c>
      <c r="V161" s="21">
        <v>3.0</v>
      </c>
      <c r="W161" s="21">
        <f t="shared" si="4"/>
        <v>4</v>
      </c>
      <c r="X161" s="21" t="s">
        <v>46</v>
      </c>
      <c r="Y161" s="21" t="s">
        <v>85</v>
      </c>
      <c r="Z161" s="22" t="s">
        <v>437</v>
      </c>
      <c r="AA161" s="22" t="s">
        <v>1494</v>
      </c>
      <c r="AB161" s="21" t="s">
        <v>63</v>
      </c>
      <c r="AC161" s="21">
        <v>12.0</v>
      </c>
      <c r="AD161" s="22" t="s">
        <v>1495</v>
      </c>
      <c r="AE161" s="25"/>
      <c r="AF161" s="12"/>
      <c r="AG161" s="12"/>
      <c r="AH161" s="12"/>
      <c r="AI161" s="12"/>
      <c r="AJ161" s="12"/>
      <c r="AK161" s="12"/>
    </row>
    <row r="162">
      <c r="A162" s="34">
        <v>45574.525345092596</v>
      </c>
      <c r="B162" s="14">
        <f t="shared" si="1"/>
        <v>45574</v>
      </c>
      <c r="C162" s="15" t="s">
        <v>327</v>
      </c>
      <c r="D162" s="15" t="s">
        <v>1402</v>
      </c>
      <c r="E162" s="15" t="str">
        <f t="shared" si="10"/>
        <v>Raymond Wilkins Wilkins</v>
      </c>
      <c r="F162" s="16">
        <f t="shared" si="11"/>
        <v>2023157659</v>
      </c>
      <c r="G162" s="15" t="s">
        <v>1496</v>
      </c>
      <c r="H162" s="15" t="s">
        <v>66</v>
      </c>
      <c r="I162" s="17" t="s">
        <v>1404</v>
      </c>
      <c r="J162" s="18" t="s">
        <v>1405</v>
      </c>
      <c r="K162" s="17" t="s">
        <v>399</v>
      </c>
      <c r="L162" s="19" t="s">
        <v>1407</v>
      </c>
      <c r="M162" s="20" t="s">
        <v>39</v>
      </c>
      <c r="N162" s="21" t="s">
        <v>1497</v>
      </c>
      <c r="O162" s="21" t="s">
        <v>1409</v>
      </c>
      <c r="P162" s="21" t="s">
        <v>1410</v>
      </c>
      <c r="Q162" s="21" t="s">
        <v>1411</v>
      </c>
      <c r="R162" s="21">
        <v>20024.0</v>
      </c>
      <c r="S162" s="21" t="s">
        <v>562</v>
      </c>
      <c r="T162" s="29">
        <v>2.023157659E9</v>
      </c>
      <c r="U162" s="21">
        <v>1.0</v>
      </c>
      <c r="V162" s="21">
        <v>1.0</v>
      </c>
      <c r="W162" s="21">
        <f t="shared" si="4"/>
        <v>2</v>
      </c>
      <c r="X162" s="21" t="s">
        <v>46</v>
      </c>
      <c r="Y162" s="21" t="s">
        <v>85</v>
      </c>
      <c r="Z162" s="22" t="s">
        <v>122</v>
      </c>
      <c r="AA162" s="22" t="s">
        <v>1498</v>
      </c>
      <c r="AB162" s="21" t="s">
        <v>49</v>
      </c>
      <c r="AC162" s="21">
        <v>12.0</v>
      </c>
      <c r="AD162" s="22" t="s">
        <v>1499</v>
      </c>
      <c r="AE162" s="25"/>
      <c r="AF162" s="12"/>
      <c r="AG162" s="12"/>
      <c r="AH162" s="12"/>
      <c r="AI162" s="12"/>
      <c r="AJ162" s="12"/>
      <c r="AK162" s="12"/>
    </row>
    <row r="163">
      <c r="A163" s="34">
        <v>45575.36811664352</v>
      </c>
      <c r="B163" s="14">
        <f t="shared" si="1"/>
        <v>45575</v>
      </c>
      <c r="C163" s="15" t="s">
        <v>327</v>
      </c>
      <c r="D163" s="15" t="s">
        <v>1500</v>
      </c>
      <c r="E163" s="15" t="str">
        <f t="shared" si="10"/>
        <v>VIRGINIA WILLIFORD</v>
      </c>
      <c r="F163" s="16" t="str">
        <f t="shared" si="11"/>
        <v>(202) 867-4084</v>
      </c>
      <c r="G163" s="15" t="s">
        <v>1501</v>
      </c>
      <c r="H163" s="15" t="s">
        <v>356</v>
      </c>
      <c r="I163" s="17" t="s">
        <v>470</v>
      </c>
      <c r="J163" s="18" t="s">
        <v>471</v>
      </c>
      <c r="K163" s="17" t="s">
        <v>116</v>
      </c>
      <c r="L163" s="19" t="s">
        <v>1296</v>
      </c>
      <c r="M163" s="20" t="s">
        <v>39</v>
      </c>
      <c r="N163" s="21" t="s">
        <v>1502</v>
      </c>
      <c r="O163" s="21" t="s">
        <v>1503</v>
      </c>
      <c r="P163" s="21" t="s">
        <v>474</v>
      </c>
      <c r="Q163" s="21" t="s">
        <v>1504</v>
      </c>
      <c r="R163" s="21">
        <v>20009.0</v>
      </c>
      <c r="S163" s="21" t="s">
        <v>59</v>
      </c>
      <c r="T163" s="29" t="s">
        <v>1505</v>
      </c>
      <c r="U163" s="21">
        <v>1.0</v>
      </c>
      <c r="V163" s="21">
        <v>3.0</v>
      </c>
      <c r="W163" s="21">
        <f t="shared" si="4"/>
        <v>4</v>
      </c>
      <c r="X163" s="21" t="s">
        <v>46</v>
      </c>
      <c r="Y163" s="21" t="s">
        <v>85</v>
      </c>
      <c r="Z163" s="22" t="s">
        <v>1506</v>
      </c>
      <c r="AA163" s="22" t="s">
        <v>1507</v>
      </c>
      <c r="AB163" s="21" t="s">
        <v>49</v>
      </c>
      <c r="AC163" s="21">
        <v>12.0</v>
      </c>
      <c r="AD163" s="23"/>
      <c r="AE163" s="39"/>
      <c r="AF163" s="12"/>
      <c r="AG163" s="12"/>
      <c r="AH163" s="12"/>
      <c r="AI163" s="12"/>
      <c r="AJ163" s="12"/>
      <c r="AK163" s="12"/>
    </row>
    <row r="164">
      <c r="A164" s="34">
        <v>45575.64535450231</v>
      </c>
      <c r="B164" s="14">
        <f t="shared" si="1"/>
        <v>45575</v>
      </c>
      <c r="C164" s="15" t="s">
        <v>327</v>
      </c>
      <c r="D164" s="15" t="s">
        <v>1508</v>
      </c>
      <c r="E164" s="15" t="str">
        <f t="shared" si="10"/>
        <v>Margaret Chalaire</v>
      </c>
      <c r="F164" s="16">
        <f t="shared" si="11"/>
        <v>5309198481</v>
      </c>
      <c r="G164" s="15" t="s">
        <v>1424</v>
      </c>
      <c r="H164" s="15" t="s">
        <v>66</v>
      </c>
      <c r="I164" s="17" t="s">
        <v>1509</v>
      </c>
      <c r="J164" s="18" t="s">
        <v>1510</v>
      </c>
      <c r="K164" s="17" t="s">
        <v>1000</v>
      </c>
      <c r="L164" s="19" t="s">
        <v>1511</v>
      </c>
      <c r="M164" s="20" t="s">
        <v>39</v>
      </c>
      <c r="N164" s="21" t="s">
        <v>1512</v>
      </c>
      <c r="O164" s="21" t="s">
        <v>1513</v>
      </c>
      <c r="P164" s="21" t="s">
        <v>1514</v>
      </c>
      <c r="Q164" s="21">
        <v>606.0</v>
      </c>
      <c r="R164" s="21">
        <v>20016.0</v>
      </c>
      <c r="S164" s="21" t="s">
        <v>59</v>
      </c>
      <c r="T164" s="29">
        <v>5.309198481E9</v>
      </c>
      <c r="U164" s="21">
        <v>1.0</v>
      </c>
      <c r="V164" s="21">
        <v>0.0</v>
      </c>
      <c r="W164" s="21">
        <f t="shared" si="4"/>
        <v>1</v>
      </c>
      <c r="X164" s="21" t="s">
        <v>84</v>
      </c>
      <c r="Y164" s="21" t="s">
        <v>47</v>
      </c>
      <c r="Z164" s="22" t="s">
        <v>76</v>
      </c>
      <c r="AA164" s="22" t="s">
        <v>1515</v>
      </c>
      <c r="AB164" s="21" t="s">
        <v>49</v>
      </c>
      <c r="AC164" s="21">
        <v>12.0</v>
      </c>
      <c r="AD164" s="22" t="s">
        <v>1516</v>
      </c>
      <c r="AE164" s="25"/>
    </row>
    <row r="165">
      <c r="A165" s="34">
        <v>45575.64743171296</v>
      </c>
      <c r="B165" s="14">
        <f t="shared" si="1"/>
        <v>45575</v>
      </c>
      <c r="C165" s="15" t="s">
        <v>327</v>
      </c>
      <c r="D165" s="15" t="s">
        <v>1517</v>
      </c>
      <c r="E165" s="15" t="str">
        <f t="shared" si="10"/>
        <v>Steven Plummer</v>
      </c>
      <c r="F165" s="16">
        <f t="shared" si="11"/>
        <v>2026551808</v>
      </c>
      <c r="G165" s="15" t="s">
        <v>1424</v>
      </c>
      <c r="H165" s="15" t="s">
        <v>66</v>
      </c>
      <c r="I165" s="17" t="s">
        <v>1509</v>
      </c>
      <c r="J165" s="18" t="s">
        <v>1510</v>
      </c>
      <c r="K165" s="17" t="s">
        <v>1000</v>
      </c>
      <c r="L165" s="19" t="s">
        <v>1511</v>
      </c>
      <c r="M165" s="20" t="s">
        <v>39</v>
      </c>
      <c r="N165" s="21" t="s">
        <v>1518</v>
      </c>
      <c r="O165" s="21" t="s">
        <v>1519</v>
      </c>
      <c r="P165" s="21" t="s">
        <v>971</v>
      </c>
      <c r="Q165" s="21">
        <v>502.0</v>
      </c>
      <c r="R165" s="21">
        <v>20016.0</v>
      </c>
      <c r="S165" s="21" t="s">
        <v>59</v>
      </c>
      <c r="T165" s="29">
        <v>2.026551808E9</v>
      </c>
      <c r="U165" s="21">
        <v>1.0</v>
      </c>
      <c r="V165" s="21">
        <v>0.0</v>
      </c>
      <c r="W165" s="21">
        <f t="shared" si="4"/>
        <v>1</v>
      </c>
      <c r="X165" s="21" t="s">
        <v>84</v>
      </c>
      <c r="Y165" s="21" t="s">
        <v>47</v>
      </c>
      <c r="Z165" s="22" t="s">
        <v>76</v>
      </c>
      <c r="AA165" s="22" t="s">
        <v>1520</v>
      </c>
      <c r="AB165" s="21" t="s">
        <v>145</v>
      </c>
      <c r="AC165" s="21">
        <v>12.0</v>
      </c>
      <c r="AD165" s="22" t="s">
        <v>1521</v>
      </c>
      <c r="AE165" s="25"/>
    </row>
    <row r="166">
      <c r="A166" s="34">
        <v>45575.65354519676</v>
      </c>
      <c r="B166" s="14">
        <f t="shared" si="1"/>
        <v>45575</v>
      </c>
      <c r="C166" s="15" t="s">
        <v>327</v>
      </c>
      <c r="D166" s="15" t="s">
        <v>1522</v>
      </c>
      <c r="E166" s="15" t="str">
        <f t="shared" si="10"/>
        <v>St. Clair Parks</v>
      </c>
      <c r="F166" s="16">
        <f t="shared" si="11"/>
        <v>2022005129</v>
      </c>
      <c r="G166" s="15" t="s">
        <v>1523</v>
      </c>
      <c r="H166" s="15" t="s">
        <v>356</v>
      </c>
      <c r="I166" s="17" t="s">
        <v>1509</v>
      </c>
      <c r="J166" s="18" t="s">
        <v>1510</v>
      </c>
      <c r="K166" s="17" t="s">
        <v>1000</v>
      </c>
      <c r="L166" s="19" t="s">
        <v>1511</v>
      </c>
      <c r="M166" s="20" t="s">
        <v>39</v>
      </c>
      <c r="N166" s="21" t="s">
        <v>1524</v>
      </c>
      <c r="O166" s="21" t="s">
        <v>1525</v>
      </c>
      <c r="P166" s="21" t="s">
        <v>1526</v>
      </c>
      <c r="Q166" s="21">
        <v>43.0</v>
      </c>
      <c r="R166" s="21">
        <v>20002.0</v>
      </c>
      <c r="S166" s="21" t="s">
        <v>74</v>
      </c>
      <c r="T166" s="29">
        <v>2.022005129E9</v>
      </c>
      <c r="U166" s="21">
        <v>1.0</v>
      </c>
      <c r="V166" s="21">
        <v>0.0</v>
      </c>
      <c r="W166" s="21">
        <f t="shared" si="4"/>
        <v>1</v>
      </c>
      <c r="X166" s="21" t="s">
        <v>46</v>
      </c>
      <c r="Y166" s="21" t="s">
        <v>47</v>
      </c>
      <c r="Z166" s="22" t="s">
        <v>187</v>
      </c>
      <c r="AA166" s="22" t="s">
        <v>1527</v>
      </c>
      <c r="AB166" s="21" t="s">
        <v>145</v>
      </c>
      <c r="AC166" s="21">
        <v>12.0</v>
      </c>
      <c r="AD166" s="22" t="s">
        <v>1528</v>
      </c>
      <c r="AE166" s="25"/>
    </row>
    <row r="167">
      <c r="A167" s="34">
        <v>45582.44802040509</v>
      </c>
      <c r="B167" s="14">
        <f t="shared" si="1"/>
        <v>45582</v>
      </c>
      <c r="C167" s="15" t="s">
        <v>327</v>
      </c>
      <c r="D167" s="15" t="s">
        <v>1529</v>
      </c>
      <c r="E167" s="15" t="str">
        <f t="shared" si="10"/>
        <v>LIZETTE MCKINNEY</v>
      </c>
      <c r="F167" s="16" t="str">
        <f t="shared" si="11"/>
        <v>(240) 457-8377</v>
      </c>
      <c r="G167" s="15" t="s">
        <v>1530</v>
      </c>
      <c r="H167" s="15" t="s">
        <v>103</v>
      </c>
      <c r="I167" s="17" t="s">
        <v>470</v>
      </c>
      <c r="J167" s="18" t="s">
        <v>471</v>
      </c>
      <c r="K167" s="17" t="s">
        <v>116</v>
      </c>
      <c r="L167" s="19" t="s">
        <v>507</v>
      </c>
      <c r="M167" s="20" t="s">
        <v>39</v>
      </c>
      <c r="N167" s="21" t="s">
        <v>1531</v>
      </c>
      <c r="O167" s="21" t="s">
        <v>1532</v>
      </c>
      <c r="P167" s="21" t="s">
        <v>1533</v>
      </c>
      <c r="Q167" s="21" t="s">
        <v>1534</v>
      </c>
      <c r="R167" s="21">
        <v>20018.0</v>
      </c>
      <c r="S167" s="21" t="s">
        <v>74</v>
      </c>
      <c r="T167" s="29" t="s">
        <v>1535</v>
      </c>
      <c r="U167" s="21">
        <v>1.0</v>
      </c>
      <c r="V167" s="21">
        <v>1.0</v>
      </c>
      <c r="W167" s="21">
        <f t="shared" si="4"/>
        <v>2</v>
      </c>
      <c r="X167" s="21" t="s">
        <v>46</v>
      </c>
      <c r="Y167" s="21" t="s">
        <v>85</v>
      </c>
      <c r="Z167" s="22" t="s">
        <v>48</v>
      </c>
      <c r="AA167" s="22" t="s">
        <v>1536</v>
      </c>
      <c r="AB167" s="21" t="s">
        <v>49</v>
      </c>
      <c r="AC167" s="21">
        <v>12.0</v>
      </c>
      <c r="AD167" s="22" t="s">
        <v>1537</v>
      </c>
      <c r="AE167" s="25"/>
      <c r="AF167" s="12"/>
      <c r="AG167" s="12"/>
      <c r="AH167" s="12"/>
      <c r="AI167" s="12"/>
      <c r="AJ167" s="12"/>
      <c r="AK167" s="12"/>
    </row>
    <row r="168">
      <c r="A168" s="34">
        <v>45582.50677458334</v>
      </c>
      <c r="B168" s="14">
        <f t="shared" si="1"/>
        <v>45582</v>
      </c>
      <c r="C168" s="15" t="s">
        <v>643</v>
      </c>
      <c r="D168" s="15" t="s">
        <v>1538</v>
      </c>
      <c r="E168" s="15" t="str">
        <f t="shared" si="10"/>
        <v>Nely Martinez</v>
      </c>
      <c r="F168" s="16">
        <f t="shared" si="11"/>
        <v>3479313064</v>
      </c>
      <c r="G168" s="15" t="s">
        <v>1539</v>
      </c>
      <c r="H168" s="15" t="s">
        <v>646</v>
      </c>
      <c r="I168" s="17" t="s">
        <v>148</v>
      </c>
      <c r="J168" s="18" t="s">
        <v>149</v>
      </c>
      <c r="K168" s="17" t="s">
        <v>150</v>
      </c>
      <c r="L168" s="19" t="s">
        <v>1540</v>
      </c>
      <c r="M168" s="20" t="s">
        <v>39</v>
      </c>
      <c r="N168" s="21" t="s">
        <v>1541</v>
      </c>
      <c r="O168" s="21" t="s">
        <v>195</v>
      </c>
      <c r="P168" s="21" t="s">
        <v>1542</v>
      </c>
      <c r="Q168" s="21" t="s">
        <v>1543</v>
      </c>
      <c r="R168" s="21">
        <v>20011.0</v>
      </c>
      <c r="S168" s="21" t="s">
        <v>59</v>
      </c>
      <c r="T168" s="29">
        <v>3.479313064E9</v>
      </c>
      <c r="U168" s="21">
        <v>2.0</v>
      </c>
      <c r="V168" s="21">
        <v>2.0</v>
      </c>
      <c r="W168" s="21">
        <f t="shared" si="4"/>
        <v>4</v>
      </c>
      <c r="X168" s="21" t="s">
        <v>46</v>
      </c>
      <c r="Y168" s="21" t="s">
        <v>85</v>
      </c>
      <c r="Z168" s="22" t="s">
        <v>1544</v>
      </c>
      <c r="AA168" s="22" t="s">
        <v>1545</v>
      </c>
      <c r="AB168" s="21" t="s">
        <v>63</v>
      </c>
      <c r="AC168" s="21">
        <v>12.0</v>
      </c>
      <c r="AD168" s="22" t="s">
        <v>1546</v>
      </c>
      <c r="AE168" s="25"/>
      <c r="AF168" s="12"/>
      <c r="AG168" s="12"/>
      <c r="AH168" s="12"/>
      <c r="AI168" s="12"/>
      <c r="AJ168" s="12"/>
      <c r="AK168" s="12"/>
    </row>
    <row r="169">
      <c r="A169" s="34">
        <v>45582.60229519676</v>
      </c>
      <c r="B169" s="14">
        <f t="shared" si="1"/>
        <v>45582</v>
      </c>
      <c r="C169" s="15" t="s">
        <v>643</v>
      </c>
      <c r="D169" s="15" t="s">
        <v>1547</v>
      </c>
      <c r="E169" s="15" t="str">
        <f t="shared" si="10"/>
        <v>Sebastian Castillo</v>
      </c>
      <c r="F169" s="16">
        <f t="shared" si="11"/>
        <v>2028124656</v>
      </c>
      <c r="G169" s="15" t="s">
        <v>1539</v>
      </c>
      <c r="H169" s="15" t="s">
        <v>34</v>
      </c>
      <c r="I169" s="17" t="s">
        <v>148</v>
      </c>
      <c r="J169" s="18" t="s">
        <v>149</v>
      </c>
      <c r="K169" s="17" t="s">
        <v>150</v>
      </c>
      <c r="L169" s="19" t="s">
        <v>1540</v>
      </c>
      <c r="M169" s="20" t="s">
        <v>39</v>
      </c>
      <c r="N169" s="21" t="s">
        <v>1548</v>
      </c>
      <c r="O169" s="21" t="s">
        <v>1549</v>
      </c>
      <c r="P169" s="21" t="s">
        <v>1550</v>
      </c>
      <c r="Q169" s="28"/>
      <c r="R169" s="21">
        <v>20011.0</v>
      </c>
      <c r="S169" s="21" t="s">
        <v>59</v>
      </c>
      <c r="T169" s="29">
        <v>2.028124656E9</v>
      </c>
      <c r="U169" s="21">
        <v>2.0</v>
      </c>
      <c r="V169" s="21">
        <v>0.0</v>
      </c>
      <c r="W169" s="21">
        <f t="shared" si="4"/>
        <v>2</v>
      </c>
      <c r="X169" s="21" t="s">
        <v>84</v>
      </c>
      <c r="Y169" s="21" t="s">
        <v>47</v>
      </c>
      <c r="Z169" s="22" t="s">
        <v>187</v>
      </c>
      <c r="AA169" s="22" t="s">
        <v>1551</v>
      </c>
      <c r="AB169" s="21" t="s">
        <v>63</v>
      </c>
      <c r="AC169" s="21">
        <v>12.0</v>
      </c>
      <c r="AD169" s="22" t="s">
        <v>1552</v>
      </c>
      <c r="AE169" s="25"/>
      <c r="AF169" s="12"/>
      <c r="AG169" s="12"/>
      <c r="AH169" s="12"/>
      <c r="AI169" s="12"/>
      <c r="AJ169" s="12"/>
      <c r="AK169" s="12"/>
    </row>
    <row r="170">
      <c r="A170" s="34">
        <v>45586.67567696759</v>
      </c>
      <c r="B170" s="14">
        <f t="shared" si="1"/>
        <v>45586</v>
      </c>
      <c r="C170" s="15" t="s">
        <v>31</v>
      </c>
      <c r="D170" s="15" t="s">
        <v>1553</v>
      </c>
      <c r="E170" s="15" t="s">
        <v>1554</v>
      </c>
      <c r="F170" s="16">
        <f t="shared" si="11"/>
        <v>2028780072</v>
      </c>
      <c r="G170" s="15" t="s">
        <v>1555</v>
      </c>
      <c r="H170" s="15" t="s">
        <v>103</v>
      </c>
      <c r="I170" s="17" t="s">
        <v>1556</v>
      </c>
      <c r="J170" s="18" t="s">
        <v>1557</v>
      </c>
      <c r="K170" s="17" t="s">
        <v>1558</v>
      </c>
      <c r="L170" s="19" t="s">
        <v>1559</v>
      </c>
      <c r="M170" s="20" t="s">
        <v>39</v>
      </c>
      <c r="N170" s="21" t="s">
        <v>1560</v>
      </c>
      <c r="O170" s="21" t="s">
        <v>1561</v>
      </c>
      <c r="P170" s="21" t="s">
        <v>1562</v>
      </c>
      <c r="Q170" s="21">
        <v>1201.0</v>
      </c>
      <c r="R170" s="21">
        <v>20002.0</v>
      </c>
      <c r="S170" s="21" t="s">
        <v>74</v>
      </c>
      <c r="T170" s="29">
        <v>2.028780072E9</v>
      </c>
      <c r="U170" s="21">
        <v>1.0</v>
      </c>
      <c r="V170" s="21">
        <v>0.0</v>
      </c>
      <c r="W170" s="21">
        <f t="shared" si="4"/>
        <v>1</v>
      </c>
      <c r="X170" s="21" t="s">
        <v>46</v>
      </c>
      <c r="Y170" s="21" t="s">
        <v>47</v>
      </c>
      <c r="Z170" s="22" t="s">
        <v>48</v>
      </c>
      <c r="AA170" s="22" t="s">
        <v>1563</v>
      </c>
      <c r="AB170" s="21" t="s">
        <v>49</v>
      </c>
      <c r="AC170" s="21">
        <v>6.0</v>
      </c>
      <c r="AD170" s="22" t="s">
        <v>1564</v>
      </c>
      <c r="AE170" s="25"/>
      <c r="AF170" s="12"/>
      <c r="AG170" s="12"/>
      <c r="AH170" s="12"/>
      <c r="AI170" s="12"/>
      <c r="AJ170" s="12"/>
      <c r="AK170" s="12"/>
    </row>
    <row r="171">
      <c r="A171" s="34">
        <v>45587.269173692126</v>
      </c>
      <c r="B171" s="14">
        <f t="shared" si="1"/>
        <v>45587</v>
      </c>
      <c r="C171" s="15" t="s">
        <v>31</v>
      </c>
      <c r="D171" s="15" t="s">
        <v>1565</v>
      </c>
      <c r="E171" s="15" t="str">
        <f t="shared" ref="E171:E195" si="12">N171&amp;" "&amp;O171</f>
        <v>Sreejana Shrestha</v>
      </c>
      <c r="F171" s="41">
        <v>7.712150935E9</v>
      </c>
      <c r="G171" s="15" t="s">
        <v>1566</v>
      </c>
      <c r="H171" s="15" t="s">
        <v>103</v>
      </c>
      <c r="I171" s="17" t="s">
        <v>1567</v>
      </c>
      <c r="J171" s="18" t="s">
        <v>1568</v>
      </c>
      <c r="K171" s="17" t="s">
        <v>622</v>
      </c>
      <c r="L171" s="19">
        <v>2.024130164E9</v>
      </c>
      <c r="M171" s="20" t="s">
        <v>39</v>
      </c>
      <c r="N171" s="21" t="s">
        <v>1569</v>
      </c>
      <c r="O171" s="21" t="s">
        <v>1570</v>
      </c>
      <c r="P171" s="21" t="s">
        <v>1571</v>
      </c>
      <c r="Q171" s="21" t="s">
        <v>1572</v>
      </c>
      <c r="R171" s="21">
        <v>20037.0</v>
      </c>
      <c r="S171" s="21" t="s">
        <v>59</v>
      </c>
      <c r="T171" s="29" t="s">
        <v>1573</v>
      </c>
      <c r="U171" s="21">
        <v>1.0</v>
      </c>
      <c r="V171" s="21">
        <v>0.0</v>
      </c>
      <c r="W171" s="21">
        <f t="shared" si="4"/>
        <v>1</v>
      </c>
      <c r="X171" s="21" t="s">
        <v>46</v>
      </c>
      <c r="Y171" s="21" t="s">
        <v>47</v>
      </c>
      <c r="Z171" s="22" t="s">
        <v>236</v>
      </c>
      <c r="AA171" s="22" t="s">
        <v>1574</v>
      </c>
      <c r="AB171" s="21" t="s">
        <v>49</v>
      </c>
      <c r="AC171" s="21">
        <v>6.0</v>
      </c>
      <c r="AD171" s="22" t="s">
        <v>1575</v>
      </c>
      <c r="AE171" s="25"/>
      <c r="AF171" s="12"/>
      <c r="AG171" s="12"/>
      <c r="AH171" s="12"/>
      <c r="AI171" s="12"/>
      <c r="AJ171" s="12"/>
      <c r="AK171" s="12"/>
    </row>
    <row r="172">
      <c r="A172" s="34">
        <v>45587.3675090162</v>
      </c>
      <c r="B172" s="14">
        <f t="shared" si="1"/>
        <v>45587</v>
      </c>
      <c r="C172" s="15" t="s">
        <v>327</v>
      </c>
      <c r="D172" s="15" t="s">
        <v>1576</v>
      </c>
      <c r="E172" s="15" t="str">
        <f t="shared" si="12"/>
        <v>Fainess Lipenga</v>
      </c>
      <c r="F172" s="42">
        <f t="shared" ref="F172:F219" si="13">T172</f>
        <v>2029071634</v>
      </c>
      <c r="G172" s="15" t="s">
        <v>595</v>
      </c>
      <c r="H172" s="15" t="s">
        <v>103</v>
      </c>
      <c r="I172" s="17" t="s">
        <v>1577</v>
      </c>
      <c r="J172" s="18" t="s">
        <v>1578</v>
      </c>
      <c r="K172" s="17" t="s">
        <v>367</v>
      </c>
      <c r="L172" s="19" t="s">
        <v>1579</v>
      </c>
      <c r="M172" s="20" t="s">
        <v>39</v>
      </c>
      <c r="N172" s="21" t="s">
        <v>1580</v>
      </c>
      <c r="O172" s="21" t="s">
        <v>1581</v>
      </c>
      <c r="P172" s="21" t="s">
        <v>1582</v>
      </c>
      <c r="Q172" s="21" t="s">
        <v>1583</v>
      </c>
      <c r="R172" s="21">
        <v>20009.0</v>
      </c>
      <c r="S172" s="21" t="s">
        <v>59</v>
      </c>
      <c r="T172" s="29">
        <v>2.029071634E9</v>
      </c>
      <c r="U172" s="21">
        <v>1.0</v>
      </c>
      <c r="V172" s="21">
        <v>0.0</v>
      </c>
      <c r="W172" s="21">
        <f t="shared" si="4"/>
        <v>1</v>
      </c>
      <c r="X172" s="21" t="s">
        <v>46</v>
      </c>
      <c r="Y172" s="21" t="s">
        <v>47</v>
      </c>
      <c r="Z172" s="22" t="s">
        <v>361</v>
      </c>
      <c r="AA172" s="22" t="s">
        <v>1584</v>
      </c>
      <c r="AB172" s="21" t="s">
        <v>145</v>
      </c>
      <c r="AC172" s="21">
        <v>3.0</v>
      </c>
      <c r="AD172" s="22" t="s">
        <v>1585</v>
      </c>
      <c r="AE172" s="25"/>
      <c r="AF172" s="12"/>
      <c r="AG172" s="12"/>
      <c r="AH172" s="12"/>
      <c r="AI172" s="12"/>
      <c r="AJ172" s="12"/>
      <c r="AK172" s="12"/>
    </row>
    <row r="173">
      <c r="A173" s="34">
        <v>45587.382760555556</v>
      </c>
      <c r="B173" s="14">
        <f t="shared" si="1"/>
        <v>45587</v>
      </c>
      <c r="C173" s="15" t="s">
        <v>327</v>
      </c>
      <c r="D173" s="15" t="s">
        <v>1586</v>
      </c>
      <c r="E173" s="15" t="str">
        <f t="shared" si="12"/>
        <v>IRENE BRANHAM</v>
      </c>
      <c r="F173" s="16" t="str">
        <f t="shared" si="13"/>
        <v>(202) 367-1447</v>
      </c>
      <c r="G173" s="15" t="s">
        <v>1424</v>
      </c>
      <c r="H173" s="15" t="s">
        <v>66</v>
      </c>
      <c r="I173" s="17" t="s">
        <v>470</v>
      </c>
      <c r="J173" s="18" t="s">
        <v>471</v>
      </c>
      <c r="K173" s="17" t="s">
        <v>116</v>
      </c>
      <c r="L173" s="19" t="s">
        <v>507</v>
      </c>
      <c r="M173" s="20" t="s">
        <v>39</v>
      </c>
      <c r="N173" s="21" t="s">
        <v>1587</v>
      </c>
      <c r="O173" s="21" t="s">
        <v>1588</v>
      </c>
      <c r="P173" s="21" t="s">
        <v>1589</v>
      </c>
      <c r="Q173" s="28"/>
      <c r="R173" s="21">
        <v>20002.0</v>
      </c>
      <c r="S173" s="21" t="s">
        <v>74</v>
      </c>
      <c r="T173" s="29" t="s">
        <v>1590</v>
      </c>
      <c r="U173" s="21">
        <v>5.0</v>
      </c>
      <c r="V173" s="21">
        <v>3.0</v>
      </c>
      <c r="W173" s="21">
        <f t="shared" si="4"/>
        <v>8</v>
      </c>
      <c r="X173" s="21" t="s">
        <v>46</v>
      </c>
      <c r="Y173" s="21" t="s">
        <v>47</v>
      </c>
      <c r="Z173" s="22" t="s">
        <v>1591</v>
      </c>
      <c r="AA173" s="22" t="s">
        <v>1592</v>
      </c>
      <c r="AB173" s="21" t="s">
        <v>49</v>
      </c>
      <c r="AC173" s="21">
        <v>12.0</v>
      </c>
      <c r="AD173" s="23"/>
      <c r="AE173" s="39"/>
      <c r="AF173" s="12"/>
      <c r="AG173" s="12"/>
      <c r="AH173" s="12"/>
      <c r="AI173" s="12"/>
      <c r="AJ173" s="12"/>
      <c r="AK173" s="12"/>
    </row>
    <row r="174">
      <c r="A174" s="34">
        <v>45587.44313572916</v>
      </c>
      <c r="B174" s="14">
        <f t="shared" si="1"/>
        <v>45587</v>
      </c>
      <c r="C174" s="15" t="s">
        <v>643</v>
      </c>
      <c r="D174" s="15" t="s">
        <v>1593</v>
      </c>
      <c r="E174" s="15" t="str">
        <f t="shared" si="12"/>
        <v>Gustavo Benavides</v>
      </c>
      <c r="F174" s="16">
        <f t="shared" si="13"/>
        <v>2022718163</v>
      </c>
      <c r="G174" s="15" t="s">
        <v>1539</v>
      </c>
      <c r="H174" s="15" t="s">
        <v>646</v>
      </c>
      <c r="I174" s="17" t="s">
        <v>148</v>
      </c>
      <c r="J174" s="18" t="s">
        <v>149</v>
      </c>
      <c r="K174" s="17" t="s">
        <v>150</v>
      </c>
      <c r="L174" s="19">
        <v>2.028513123E9</v>
      </c>
      <c r="M174" s="20" t="s">
        <v>39</v>
      </c>
      <c r="N174" s="21" t="s">
        <v>1594</v>
      </c>
      <c r="O174" s="21" t="s">
        <v>1595</v>
      </c>
      <c r="P174" s="21" t="s">
        <v>1596</v>
      </c>
      <c r="Q174" s="28"/>
      <c r="R174" s="21">
        <v>20011.0</v>
      </c>
      <c r="S174" s="21" t="s">
        <v>59</v>
      </c>
      <c r="T174" s="29">
        <v>2.022718163E9</v>
      </c>
      <c r="U174" s="21">
        <v>1.0</v>
      </c>
      <c r="V174" s="21">
        <v>0.0</v>
      </c>
      <c r="W174" s="21">
        <f t="shared" si="4"/>
        <v>1</v>
      </c>
      <c r="X174" s="21" t="s">
        <v>46</v>
      </c>
      <c r="Y174" s="21" t="s">
        <v>47</v>
      </c>
      <c r="Z174" s="22" t="s">
        <v>76</v>
      </c>
      <c r="AA174" s="22" t="s">
        <v>1597</v>
      </c>
      <c r="AB174" s="21" t="s">
        <v>63</v>
      </c>
      <c r="AC174" s="21">
        <v>12.0</v>
      </c>
      <c r="AD174" s="22" t="s">
        <v>1598</v>
      </c>
      <c r="AE174" s="25"/>
      <c r="AF174" s="12"/>
      <c r="AG174" s="12"/>
      <c r="AH174" s="12"/>
      <c r="AI174" s="12"/>
      <c r="AJ174" s="12"/>
      <c r="AK174" s="12"/>
    </row>
    <row r="175">
      <c r="A175" s="34">
        <v>45587.4813683449</v>
      </c>
      <c r="B175" s="14">
        <f t="shared" si="1"/>
        <v>45587</v>
      </c>
      <c r="C175" s="15" t="s">
        <v>31</v>
      </c>
      <c r="D175" s="15" t="s">
        <v>1599</v>
      </c>
      <c r="E175" s="15" t="str">
        <f t="shared" si="12"/>
        <v>Sandra Romero</v>
      </c>
      <c r="F175" s="16">
        <f t="shared" si="13"/>
        <v>2023947147</v>
      </c>
      <c r="G175" s="15" t="s">
        <v>1600</v>
      </c>
      <c r="H175" s="15" t="s">
        <v>66</v>
      </c>
      <c r="I175" s="17" t="s">
        <v>1601</v>
      </c>
      <c r="J175" s="18" t="s">
        <v>1602</v>
      </c>
      <c r="K175" s="17" t="s">
        <v>1603</v>
      </c>
      <c r="L175" s="19">
        <v>2.025500182E9</v>
      </c>
      <c r="M175" s="20" t="s">
        <v>39</v>
      </c>
      <c r="N175" s="21" t="s">
        <v>265</v>
      </c>
      <c r="O175" s="21" t="s">
        <v>1604</v>
      </c>
      <c r="P175" s="21" t="s">
        <v>1605</v>
      </c>
      <c r="Q175" s="21">
        <v>3.0</v>
      </c>
      <c r="R175" s="21">
        <v>20018.0</v>
      </c>
      <c r="S175" s="21" t="s">
        <v>74</v>
      </c>
      <c r="T175" s="29">
        <v>2.023947147E9</v>
      </c>
      <c r="U175" s="21">
        <v>2.0</v>
      </c>
      <c r="V175" s="21">
        <v>6.0</v>
      </c>
      <c r="W175" s="21">
        <f t="shared" si="4"/>
        <v>8</v>
      </c>
      <c r="X175" s="21" t="s">
        <v>46</v>
      </c>
      <c r="Y175" s="21" t="s">
        <v>85</v>
      </c>
      <c r="Z175" s="22" t="s">
        <v>361</v>
      </c>
      <c r="AA175" s="22" t="s">
        <v>1606</v>
      </c>
      <c r="AB175" s="21" t="s">
        <v>63</v>
      </c>
      <c r="AC175" s="21">
        <v>12.0</v>
      </c>
      <c r="AD175" s="22" t="s">
        <v>1607</v>
      </c>
      <c r="AE175" s="25"/>
      <c r="AF175" s="12"/>
      <c r="AG175" s="12"/>
      <c r="AH175" s="12"/>
      <c r="AI175" s="12"/>
      <c r="AJ175" s="12"/>
      <c r="AK175" s="12"/>
    </row>
    <row r="176">
      <c r="A176" s="34">
        <v>45589.428593425924</v>
      </c>
      <c r="B176" s="14">
        <f t="shared" si="1"/>
        <v>45589</v>
      </c>
      <c r="C176" s="15" t="s">
        <v>643</v>
      </c>
      <c r="D176" s="30" t="s">
        <v>296</v>
      </c>
      <c r="E176" s="15" t="str">
        <f t="shared" si="12"/>
        <v>Sharone Bunn</v>
      </c>
      <c r="F176" s="16">
        <f t="shared" si="13"/>
        <v>2026748286</v>
      </c>
      <c r="G176" s="30" t="s">
        <v>1608</v>
      </c>
      <c r="H176" s="30" t="s">
        <v>34</v>
      </c>
      <c r="I176" s="17" t="s">
        <v>285</v>
      </c>
      <c r="J176" s="18" t="s">
        <v>286</v>
      </c>
      <c r="K176" s="17" t="s">
        <v>287</v>
      </c>
      <c r="L176" s="19" t="s">
        <v>852</v>
      </c>
      <c r="M176" s="20" t="s">
        <v>39</v>
      </c>
      <c r="N176" s="21" t="s">
        <v>1609</v>
      </c>
      <c r="O176" s="21" t="s">
        <v>1610</v>
      </c>
      <c r="P176" s="21" t="s">
        <v>1611</v>
      </c>
      <c r="Q176" s="21" t="s">
        <v>1612</v>
      </c>
      <c r="R176" s="21">
        <v>20002.0</v>
      </c>
      <c r="S176" s="21" t="s">
        <v>74</v>
      </c>
      <c r="T176" s="29">
        <v>2.026748286E9</v>
      </c>
      <c r="U176" s="21">
        <v>1.0</v>
      </c>
      <c r="V176" s="21">
        <v>0.0</v>
      </c>
      <c r="W176" s="21">
        <f t="shared" si="4"/>
        <v>1</v>
      </c>
      <c r="X176" s="21" t="s">
        <v>46</v>
      </c>
      <c r="Y176" s="21" t="s">
        <v>47</v>
      </c>
      <c r="Z176" s="22" t="s">
        <v>236</v>
      </c>
      <c r="AA176" s="22" t="s">
        <v>1613</v>
      </c>
      <c r="AB176" s="21" t="s">
        <v>49</v>
      </c>
      <c r="AC176" s="21">
        <v>2.0</v>
      </c>
      <c r="AD176" s="22" t="s">
        <v>1614</v>
      </c>
      <c r="AE176" s="25"/>
      <c r="AF176" s="12"/>
      <c r="AG176" s="12"/>
      <c r="AH176" s="12"/>
      <c r="AI176" s="12"/>
      <c r="AJ176" s="12"/>
      <c r="AK176" s="12"/>
    </row>
    <row r="177">
      <c r="A177" s="34">
        <v>45592.862895451384</v>
      </c>
      <c r="B177" s="14">
        <f t="shared" si="1"/>
        <v>45592</v>
      </c>
      <c r="C177" s="15" t="s">
        <v>31</v>
      </c>
      <c r="D177" s="30" t="s">
        <v>1615</v>
      </c>
      <c r="E177" s="15" t="str">
        <f t="shared" si="12"/>
        <v>Stella Washington</v>
      </c>
      <c r="F177" s="16">
        <f t="shared" si="13"/>
        <v>2029130740</v>
      </c>
      <c r="G177" s="16" t="s">
        <v>1616</v>
      </c>
      <c r="H177" s="15" t="s">
        <v>103</v>
      </c>
      <c r="I177" s="17" t="s">
        <v>1617</v>
      </c>
      <c r="J177" s="18" t="s">
        <v>1618</v>
      </c>
      <c r="K177" s="17" t="s">
        <v>1619</v>
      </c>
      <c r="L177" s="19" t="s">
        <v>1620</v>
      </c>
      <c r="M177" s="20" t="s">
        <v>39</v>
      </c>
      <c r="N177" s="21" t="s">
        <v>1621</v>
      </c>
      <c r="O177" s="21" t="s">
        <v>709</v>
      </c>
      <c r="P177" s="21" t="s">
        <v>1622</v>
      </c>
      <c r="Q177" s="21">
        <v>204.0</v>
      </c>
      <c r="R177" s="21">
        <v>20001.0</v>
      </c>
      <c r="S177" s="21" t="s">
        <v>59</v>
      </c>
      <c r="T177" s="29">
        <v>2.02913074E9</v>
      </c>
      <c r="U177" s="21">
        <v>1.0</v>
      </c>
      <c r="V177" s="21">
        <v>0.0</v>
      </c>
      <c r="W177" s="21">
        <f t="shared" si="4"/>
        <v>1</v>
      </c>
      <c r="X177" s="21" t="s">
        <v>84</v>
      </c>
      <c r="Y177" s="21" t="s">
        <v>47</v>
      </c>
      <c r="Z177" s="22" t="s">
        <v>756</v>
      </c>
      <c r="AA177" s="22" t="s">
        <v>1623</v>
      </c>
      <c r="AB177" s="21" t="s">
        <v>49</v>
      </c>
      <c r="AC177" s="21" t="s">
        <v>1624</v>
      </c>
      <c r="AD177" s="23"/>
      <c r="AE177" s="39"/>
      <c r="AF177" s="12"/>
      <c r="AG177" s="12"/>
      <c r="AH177" s="12"/>
      <c r="AI177" s="12"/>
      <c r="AJ177" s="12"/>
      <c r="AK177" s="12"/>
    </row>
    <row r="178">
      <c r="A178" s="34">
        <v>45592.869519722226</v>
      </c>
      <c r="B178" s="14">
        <f t="shared" si="1"/>
        <v>45592</v>
      </c>
      <c r="C178" s="15" t="s">
        <v>327</v>
      </c>
      <c r="D178" s="30" t="s">
        <v>1625</v>
      </c>
      <c r="E178" s="15" t="str">
        <f t="shared" si="12"/>
        <v>Vivian Henderson</v>
      </c>
      <c r="F178" s="16">
        <f t="shared" si="13"/>
        <v>2024243248</v>
      </c>
      <c r="G178" s="16" t="s">
        <v>1530</v>
      </c>
      <c r="H178" s="15" t="s">
        <v>66</v>
      </c>
      <c r="I178" s="17" t="s">
        <v>1617</v>
      </c>
      <c r="J178" s="18" t="s">
        <v>1626</v>
      </c>
      <c r="K178" s="17" t="s">
        <v>1619</v>
      </c>
      <c r="L178" s="19" t="s">
        <v>1620</v>
      </c>
      <c r="M178" s="20" t="s">
        <v>39</v>
      </c>
      <c r="N178" s="21" t="s">
        <v>1627</v>
      </c>
      <c r="O178" s="21" t="s">
        <v>885</v>
      </c>
      <c r="P178" s="21" t="s">
        <v>1628</v>
      </c>
      <c r="Q178" s="28"/>
      <c r="R178" s="21">
        <v>20019.0</v>
      </c>
      <c r="S178" s="21" t="s">
        <v>44</v>
      </c>
      <c r="T178" s="29">
        <v>2.024243248E9</v>
      </c>
      <c r="U178" s="21">
        <v>2.0</v>
      </c>
      <c r="V178" s="21">
        <v>2.0</v>
      </c>
      <c r="W178" s="21">
        <f t="shared" si="4"/>
        <v>4</v>
      </c>
      <c r="X178" s="21" t="s">
        <v>46</v>
      </c>
      <c r="Y178" s="21" t="s">
        <v>85</v>
      </c>
      <c r="Z178" s="22" t="s">
        <v>187</v>
      </c>
      <c r="AA178" s="22" t="s">
        <v>1629</v>
      </c>
      <c r="AB178" s="21" t="s">
        <v>49</v>
      </c>
      <c r="AC178" s="21" t="s">
        <v>1624</v>
      </c>
      <c r="AD178" s="23"/>
      <c r="AE178" s="39"/>
      <c r="AF178" s="12"/>
      <c r="AG178" s="12"/>
      <c r="AH178" s="12"/>
      <c r="AI178" s="12"/>
      <c r="AJ178" s="12"/>
      <c r="AK178" s="12"/>
    </row>
    <row r="179">
      <c r="A179" s="34">
        <v>45592.87616170139</v>
      </c>
      <c r="B179" s="14">
        <f t="shared" si="1"/>
        <v>45592</v>
      </c>
      <c r="C179" s="15" t="s">
        <v>327</v>
      </c>
      <c r="D179" s="30" t="s">
        <v>1630</v>
      </c>
      <c r="E179" s="15" t="str">
        <f t="shared" si="12"/>
        <v>Valarie Garland</v>
      </c>
      <c r="F179" s="16">
        <f t="shared" si="13"/>
        <v>2024405716</v>
      </c>
      <c r="G179" s="16" t="s">
        <v>1631</v>
      </c>
      <c r="H179" s="15" t="s">
        <v>356</v>
      </c>
      <c r="I179" s="17" t="s">
        <v>1617</v>
      </c>
      <c r="J179" s="18" t="s">
        <v>1618</v>
      </c>
      <c r="K179" s="17" t="s">
        <v>1619</v>
      </c>
      <c r="L179" s="19">
        <v>2.025506595E9</v>
      </c>
      <c r="M179" s="20" t="s">
        <v>39</v>
      </c>
      <c r="N179" s="21" t="s">
        <v>1632</v>
      </c>
      <c r="O179" s="21" t="s">
        <v>1633</v>
      </c>
      <c r="P179" s="21" t="s">
        <v>1634</v>
      </c>
      <c r="Q179" s="21">
        <v>201.0</v>
      </c>
      <c r="R179" s="21">
        <v>20019.0</v>
      </c>
      <c r="S179" s="21" t="s">
        <v>44</v>
      </c>
      <c r="T179" s="29">
        <v>2.024405716E9</v>
      </c>
      <c r="U179" s="21">
        <v>2.0</v>
      </c>
      <c r="V179" s="21">
        <v>0.0</v>
      </c>
      <c r="W179" s="21">
        <f t="shared" si="4"/>
        <v>2</v>
      </c>
      <c r="X179" s="21" t="s">
        <v>46</v>
      </c>
      <c r="Y179" s="21" t="s">
        <v>47</v>
      </c>
      <c r="Z179" s="22" t="s">
        <v>48</v>
      </c>
      <c r="AA179" s="22" t="s">
        <v>1635</v>
      </c>
      <c r="AB179" s="21" t="s">
        <v>49</v>
      </c>
      <c r="AC179" s="21" t="s">
        <v>1624</v>
      </c>
      <c r="AD179" s="23"/>
      <c r="AE179" s="39"/>
      <c r="AF179" s="12"/>
      <c r="AG179" s="12"/>
      <c r="AH179" s="12"/>
      <c r="AI179" s="12"/>
      <c r="AJ179" s="12"/>
      <c r="AK179" s="12"/>
    </row>
    <row r="180">
      <c r="A180" s="34">
        <v>45592.882162974536</v>
      </c>
      <c r="B180" s="14">
        <f t="shared" si="1"/>
        <v>45592</v>
      </c>
      <c r="C180" s="15" t="s">
        <v>327</v>
      </c>
      <c r="D180" s="30" t="s">
        <v>1636</v>
      </c>
      <c r="E180" s="15" t="str">
        <f t="shared" si="12"/>
        <v>Barbara Jones</v>
      </c>
      <c r="F180" s="16">
        <f t="shared" si="13"/>
        <v>2023082793</v>
      </c>
      <c r="G180" s="16" t="s">
        <v>1637</v>
      </c>
      <c r="H180" s="15" t="s">
        <v>356</v>
      </c>
      <c r="I180" s="17" t="s">
        <v>1617</v>
      </c>
      <c r="J180" s="18" t="s">
        <v>1618</v>
      </c>
      <c r="K180" s="17" t="s">
        <v>1619</v>
      </c>
      <c r="L180" s="19">
        <v>2.025506595E9</v>
      </c>
      <c r="M180" s="20" t="s">
        <v>39</v>
      </c>
      <c r="N180" s="21" t="s">
        <v>1638</v>
      </c>
      <c r="O180" s="21" t="s">
        <v>1087</v>
      </c>
      <c r="P180" s="21" t="s">
        <v>1639</v>
      </c>
      <c r="Q180" s="21">
        <v>220.0</v>
      </c>
      <c r="R180" s="21">
        <v>20019.0</v>
      </c>
      <c r="S180" s="21" t="s">
        <v>44</v>
      </c>
      <c r="T180" s="29">
        <v>2.023082793E9</v>
      </c>
      <c r="U180" s="21">
        <v>1.0</v>
      </c>
      <c r="V180" s="21">
        <v>0.0</v>
      </c>
      <c r="W180" s="21">
        <f t="shared" si="4"/>
        <v>1</v>
      </c>
      <c r="X180" s="21" t="s">
        <v>46</v>
      </c>
      <c r="Y180" s="21" t="s">
        <v>47</v>
      </c>
      <c r="Z180" s="22" t="s">
        <v>458</v>
      </c>
      <c r="AA180" s="22" t="s">
        <v>1640</v>
      </c>
      <c r="AB180" s="21" t="s">
        <v>49</v>
      </c>
      <c r="AC180" s="21" t="s">
        <v>1624</v>
      </c>
      <c r="AD180" s="23"/>
      <c r="AE180" s="39"/>
      <c r="AF180" s="12"/>
      <c r="AG180" s="12"/>
      <c r="AH180" s="12"/>
      <c r="AI180" s="12"/>
      <c r="AJ180" s="12"/>
      <c r="AK180" s="12"/>
    </row>
    <row r="181">
      <c r="A181" s="34">
        <v>45592.890968321764</v>
      </c>
      <c r="B181" s="14">
        <f t="shared" si="1"/>
        <v>45592</v>
      </c>
      <c r="C181" s="15" t="s">
        <v>327</v>
      </c>
      <c r="D181" s="30" t="s">
        <v>1641</v>
      </c>
      <c r="E181" s="15" t="str">
        <f t="shared" si="12"/>
        <v>Pamela Burrello</v>
      </c>
      <c r="F181" s="16">
        <f t="shared" si="13"/>
        <v>2028089657</v>
      </c>
      <c r="G181" s="16" t="s">
        <v>1642</v>
      </c>
      <c r="H181" s="15" t="s">
        <v>356</v>
      </c>
      <c r="I181" s="17" t="s">
        <v>1617</v>
      </c>
      <c r="J181" s="18" t="s">
        <v>1618</v>
      </c>
      <c r="K181" s="17" t="s">
        <v>1619</v>
      </c>
      <c r="L181" s="19">
        <v>2.025506595E9</v>
      </c>
      <c r="M181" s="20" t="s">
        <v>39</v>
      </c>
      <c r="N181" s="21" t="s">
        <v>1643</v>
      </c>
      <c r="O181" s="21" t="s">
        <v>1644</v>
      </c>
      <c r="P181" s="21" t="s">
        <v>1645</v>
      </c>
      <c r="Q181" s="28"/>
      <c r="R181" s="21">
        <v>20032.0</v>
      </c>
      <c r="S181" s="21" t="s">
        <v>74</v>
      </c>
      <c r="T181" s="29">
        <v>2.028089657E9</v>
      </c>
      <c r="U181" s="21">
        <v>1.0</v>
      </c>
      <c r="V181" s="21">
        <v>0.0</v>
      </c>
      <c r="W181" s="21">
        <f t="shared" si="4"/>
        <v>1</v>
      </c>
      <c r="X181" s="21" t="s">
        <v>84</v>
      </c>
      <c r="Y181" s="21" t="s">
        <v>47</v>
      </c>
      <c r="Z181" s="22" t="s">
        <v>259</v>
      </c>
      <c r="AA181" s="22" t="s">
        <v>1646</v>
      </c>
      <c r="AB181" s="21" t="s">
        <v>49</v>
      </c>
      <c r="AC181" s="21" t="s">
        <v>1624</v>
      </c>
      <c r="AD181" s="23"/>
      <c r="AE181" s="39"/>
      <c r="AF181" s="12"/>
      <c r="AG181" s="12"/>
      <c r="AH181" s="12"/>
      <c r="AI181" s="12"/>
      <c r="AJ181" s="12"/>
      <c r="AK181" s="12"/>
    </row>
    <row r="182">
      <c r="A182" s="34">
        <v>45592.895306342594</v>
      </c>
      <c r="B182" s="14">
        <f t="shared" si="1"/>
        <v>45592</v>
      </c>
      <c r="C182" s="15" t="s">
        <v>327</v>
      </c>
      <c r="D182" s="30" t="s">
        <v>1647</v>
      </c>
      <c r="E182" s="15" t="str">
        <f t="shared" si="12"/>
        <v>Lossie Locks</v>
      </c>
      <c r="F182" s="16">
        <f t="shared" si="13"/>
        <v>2407225671</v>
      </c>
      <c r="G182" s="16" t="s">
        <v>1523</v>
      </c>
      <c r="H182" s="15" t="s">
        <v>356</v>
      </c>
      <c r="I182" s="17" t="s">
        <v>1617</v>
      </c>
      <c r="J182" s="18" t="s">
        <v>1618</v>
      </c>
      <c r="K182" s="17" t="s">
        <v>1619</v>
      </c>
      <c r="L182" s="19">
        <v>2.025506595E9</v>
      </c>
      <c r="M182" s="20" t="s">
        <v>39</v>
      </c>
      <c r="N182" s="21" t="s">
        <v>1648</v>
      </c>
      <c r="O182" s="21" t="s">
        <v>1649</v>
      </c>
      <c r="P182" s="21" t="s">
        <v>1650</v>
      </c>
      <c r="Q182" s="21">
        <v>517.0</v>
      </c>
      <c r="R182" s="21">
        <v>20002.0</v>
      </c>
      <c r="S182" s="21" t="s">
        <v>74</v>
      </c>
      <c r="T182" s="29">
        <v>2.407225671E9</v>
      </c>
      <c r="U182" s="21">
        <v>1.0</v>
      </c>
      <c r="V182" s="21">
        <v>0.0</v>
      </c>
      <c r="W182" s="21">
        <f t="shared" si="4"/>
        <v>1</v>
      </c>
      <c r="X182" s="21" t="s">
        <v>84</v>
      </c>
      <c r="Y182" s="21" t="s">
        <v>47</v>
      </c>
      <c r="Z182" s="22" t="s">
        <v>76</v>
      </c>
      <c r="AA182" s="22" t="s">
        <v>1651</v>
      </c>
      <c r="AB182" s="21" t="s">
        <v>49</v>
      </c>
      <c r="AC182" s="21" t="s">
        <v>1624</v>
      </c>
      <c r="AD182" s="23"/>
      <c r="AE182" s="39"/>
      <c r="AF182" s="12"/>
      <c r="AG182" s="12"/>
      <c r="AH182" s="12"/>
      <c r="AI182" s="12"/>
      <c r="AJ182" s="12"/>
      <c r="AK182" s="12"/>
    </row>
    <row r="183">
      <c r="A183" s="34">
        <v>45592.902561863426</v>
      </c>
      <c r="B183" s="14">
        <f t="shared" si="1"/>
        <v>45592</v>
      </c>
      <c r="C183" s="15" t="s">
        <v>327</v>
      </c>
      <c r="D183" s="30" t="s">
        <v>1652</v>
      </c>
      <c r="E183" s="15" t="str">
        <f t="shared" si="12"/>
        <v>Joan Moore</v>
      </c>
      <c r="F183" s="16">
        <f t="shared" si="13"/>
        <v>2026101008</v>
      </c>
      <c r="G183" s="16" t="s">
        <v>1653</v>
      </c>
      <c r="H183" s="43" t="s">
        <v>34</v>
      </c>
      <c r="I183" s="17" t="s">
        <v>1617</v>
      </c>
      <c r="J183" s="18" t="s">
        <v>1618</v>
      </c>
      <c r="K183" s="18" t="s">
        <v>1619</v>
      </c>
      <c r="L183" s="26">
        <v>2.025506595E9</v>
      </c>
      <c r="M183" s="27" t="s">
        <v>39</v>
      </c>
      <c r="N183" s="21" t="s">
        <v>1654</v>
      </c>
      <c r="O183" s="21" t="s">
        <v>1655</v>
      </c>
      <c r="P183" s="21" t="s">
        <v>1656</v>
      </c>
      <c r="Q183" s="21">
        <v>201.0</v>
      </c>
      <c r="R183" s="21">
        <v>20020.0</v>
      </c>
      <c r="S183" s="21" t="s">
        <v>44</v>
      </c>
      <c r="T183" s="29">
        <v>2.026101008E9</v>
      </c>
      <c r="U183" s="21">
        <v>2.0</v>
      </c>
      <c r="V183" s="21">
        <v>0.0</v>
      </c>
      <c r="W183" s="21">
        <f t="shared" si="4"/>
        <v>2</v>
      </c>
      <c r="X183" s="21" t="s">
        <v>84</v>
      </c>
      <c r="Y183" s="21" t="s">
        <v>47</v>
      </c>
      <c r="Z183" s="22" t="s">
        <v>259</v>
      </c>
      <c r="AA183" s="22" t="s">
        <v>1657</v>
      </c>
      <c r="AB183" s="21" t="s">
        <v>49</v>
      </c>
      <c r="AC183" s="21" t="s">
        <v>1624</v>
      </c>
      <c r="AD183" s="23"/>
      <c r="AE183" s="39"/>
      <c r="AF183" s="12"/>
      <c r="AG183" s="12"/>
      <c r="AH183" s="12"/>
      <c r="AI183" s="12"/>
      <c r="AJ183" s="12"/>
      <c r="AK183" s="12"/>
    </row>
    <row r="184">
      <c r="A184" s="34">
        <v>45592.906755856486</v>
      </c>
      <c r="B184" s="14">
        <f t="shared" si="1"/>
        <v>45592</v>
      </c>
      <c r="C184" s="15" t="s">
        <v>327</v>
      </c>
      <c r="D184" s="30" t="s">
        <v>1658</v>
      </c>
      <c r="E184" s="15" t="str">
        <f t="shared" si="12"/>
        <v>Nannie Beard</v>
      </c>
      <c r="F184" s="16">
        <f t="shared" si="13"/>
        <v>2026441812</v>
      </c>
      <c r="G184" s="16" t="s">
        <v>1659</v>
      </c>
      <c r="H184" s="43" t="s">
        <v>34</v>
      </c>
      <c r="I184" s="17" t="s">
        <v>1617</v>
      </c>
      <c r="J184" s="18" t="s">
        <v>1618</v>
      </c>
      <c r="K184" s="17" t="s">
        <v>1619</v>
      </c>
      <c r="L184" s="19">
        <v>2.025506595E9</v>
      </c>
      <c r="M184" s="20" t="s">
        <v>39</v>
      </c>
      <c r="N184" s="21" t="s">
        <v>1660</v>
      </c>
      <c r="O184" s="21" t="s">
        <v>1661</v>
      </c>
      <c r="P184" s="21" t="s">
        <v>1662</v>
      </c>
      <c r="Q184" s="21" t="s">
        <v>1663</v>
      </c>
      <c r="R184" s="21">
        <v>20019.0</v>
      </c>
      <c r="S184" s="21" t="s">
        <v>44</v>
      </c>
      <c r="T184" s="29">
        <v>2.026441812E9</v>
      </c>
      <c r="U184" s="21">
        <v>2.0</v>
      </c>
      <c r="V184" s="21">
        <v>0.0</v>
      </c>
      <c r="W184" s="21">
        <f t="shared" si="4"/>
        <v>2</v>
      </c>
      <c r="X184" s="21" t="s">
        <v>84</v>
      </c>
      <c r="Y184" s="21" t="s">
        <v>47</v>
      </c>
      <c r="Z184" s="22" t="s">
        <v>259</v>
      </c>
      <c r="AA184" s="22" t="s">
        <v>1664</v>
      </c>
      <c r="AB184" s="21" t="s">
        <v>49</v>
      </c>
      <c r="AC184" s="21" t="s">
        <v>1624</v>
      </c>
      <c r="AD184" s="23"/>
      <c r="AE184" s="39"/>
      <c r="AF184" s="12"/>
      <c r="AG184" s="12"/>
      <c r="AH184" s="12"/>
      <c r="AI184" s="12"/>
      <c r="AJ184" s="12"/>
      <c r="AK184" s="12"/>
    </row>
    <row r="185">
      <c r="A185" s="34">
        <v>45592.912728379626</v>
      </c>
      <c r="B185" s="14">
        <f t="shared" si="1"/>
        <v>45592</v>
      </c>
      <c r="C185" s="15" t="s">
        <v>31</v>
      </c>
      <c r="D185" s="30" t="s">
        <v>1665</v>
      </c>
      <c r="E185" s="15" t="str">
        <f t="shared" si="12"/>
        <v>Georgia Lawson</v>
      </c>
      <c r="F185" s="16" t="str">
        <f t="shared" si="13"/>
        <v>(202) 549-8378</v>
      </c>
      <c r="G185" s="16" t="s">
        <v>1666</v>
      </c>
      <c r="H185" s="15" t="s">
        <v>66</v>
      </c>
      <c r="I185" s="17" t="s">
        <v>1617</v>
      </c>
      <c r="J185" s="18" t="s">
        <v>1618</v>
      </c>
      <c r="K185" s="17" t="s">
        <v>1619</v>
      </c>
      <c r="L185" s="19">
        <v>2.025506595E9</v>
      </c>
      <c r="M185" s="20" t="s">
        <v>39</v>
      </c>
      <c r="N185" s="21" t="s">
        <v>1667</v>
      </c>
      <c r="O185" s="21" t="s">
        <v>1668</v>
      </c>
      <c r="P185" s="21" t="s">
        <v>1669</v>
      </c>
      <c r="Q185" s="21">
        <v>7.0</v>
      </c>
      <c r="R185" s="21">
        <v>20032.0</v>
      </c>
      <c r="S185" s="21" t="s">
        <v>44</v>
      </c>
      <c r="T185" s="29" t="s">
        <v>1670</v>
      </c>
      <c r="U185" s="21">
        <v>2.0</v>
      </c>
      <c r="V185" s="21">
        <v>0.0</v>
      </c>
      <c r="W185" s="21">
        <f t="shared" si="4"/>
        <v>2</v>
      </c>
      <c r="X185" s="21" t="s">
        <v>84</v>
      </c>
      <c r="Y185" s="21" t="s">
        <v>47</v>
      </c>
      <c r="Z185" s="22" t="s">
        <v>259</v>
      </c>
      <c r="AA185" s="22" t="s">
        <v>1651</v>
      </c>
      <c r="AB185" s="21" t="s">
        <v>49</v>
      </c>
      <c r="AC185" s="21" t="s">
        <v>1624</v>
      </c>
      <c r="AD185" s="23"/>
      <c r="AE185" s="39"/>
      <c r="AF185" s="12"/>
      <c r="AG185" s="12"/>
      <c r="AH185" s="12"/>
      <c r="AI185" s="12"/>
      <c r="AJ185" s="12"/>
      <c r="AK185" s="12"/>
    </row>
    <row r="186">
      <c r="A186" s="34">
        <v>45592.91588457176</v>
      </c>
      <c r="B186" s="14">
        <f t="shared" si="1"/>
        <v>45592</v>
      </c>
      <c r="C186" s="15" t="s">
        <v>327</v>
      </c>
      <c r="D186" s="30" t="s">
        <v>1671</v>
      </c>
      <c r="E186" s="15" t="str">
        <f t="shared" si="12"/>
        <v>Thomas Brewington</v>
      </c>
      <c r="F186" s="16">
        <f t="shared" si="13"/>
        <v>2022109079</v>
      </c>
      <c r="G186" s="16" t="s">
        <v>1530</v>
      </c>
      <c r="H186" s="43" t="s">
        <v>103</v>
      </c>
      <c r="I186" s="17" t="s">
        <v>1617</v>
      </c>
      <c r="J186" s="18" t="s">
        <v>1618</v>
      </c>
      <c r="K186" s="17" t="s">
        <v>1619</v>
      </c>
      <c r="L186" s="19">
        <v>2.025506595E9</v>
      </c>
      <c r="M186" s="20" t="s">
        <v>39</v>
      </c>
      <c r="N186" s="21" t="s">
        <v>241</v>
      </c>
      <c r="O186" s="21" t="s">
        <v>1672</v>
      </c>
      <c r="P186" s="21" t="s">
        <v>1673</v>
      </c>
      <c r="Q186" s="21">
        <v>316.0</v>
      </c>
      <c r="R186" s="21">
        <v>20019.0</v>
      </c>
      <c r="S186" s="21" t="s">
        <v>44</v>
      </c>
      <c r="T186" s="29">
        <v>2.022109079E9</v>
      </c>
      <c r="U186" s="21">
        <v>1.0</v>
      </c>
      <c r="V186" s="21">
        <v>0.0</v>
      </c>
      <c r="W186" s="21">
        <f t="shared" si="4"/>
        <v>1</v>
      </c>
      <c r="X186" s="21" t="s">
        <v>84</v>
      </c>
      <c r="Y186" s="21" t="s">
        <v>47</v>
      </c>
      <c r="Z186" s="22" t="s">
        <v>259</v>
      </c>
      <c r="AA186" s="22" t="s">
        <v>1674</v>
      </c>
      <c r="AB186" s="21" t="s">
        <v>49</v>
      </c>
      <c r="AC186" s="21" t="s">
        <v>1624</v>
      </c>
      <c r="AD186" s="23"/>
      <c r="AE186" s="39"/>
      <c r="AF186" s="12"/>
      <c r="AG186" s="12"/>
      <c r="AH186" s="12"/>
      <c r="AI186" s="12"/>
      <c r="AJ186" s="12"/>
      <c r="AK186" s="12"/>
    </row>
    <row r="187">
      <c r="A187" s="34">
        <v>45592.92550337963</v>
      </c>
      <c r="B187" s="14">
        <f t="shared" si="1"/>
        <v>45592</v>
      </c>
      <c r="C187" s="15" t="s">
        <v>327</v>
      </c>
      <c r="D187" s="30" t="s">
        <v>1675</v>
      </c>
      <c r="E187" s="15" t="str">
        <f t="shared" si="12"/>
        <v>Jerome Stroud</v>
      </c>
      <c r="F187" s="16">
        <f t="shared" si="13"/>
        <v>2028639373</v>
      </c>
      <c r="G187" s="16" t="s">
        <v>1676</v>
      </c>
      <c r="H187" s="15" t="s">
        <v>356</v>
      </c>
      <c r="I187" s="17" t="s">
        <v>1617</v>
      </c>
      <c r="J187" s="18" t="s">
        <v>1618</v>
      </c>
      <c r="K187" s="17" t="s">
        <v>1619</v>
      </c>
      <c r="L187" s="19">
        <v>2.025506595E9</v>
      </c>
      <c r="M187" s="20" t="s">
        <v>39</v>
      </c>
      <c r="N187" s="21" t="s">
        <v>697</v>
      </c>
      <c r="O187" s="21" t="s">
        <v>1677</v>
      </c>
      <c r="P187" s="21" t="s">
        <v>1678</v>
      </c>
      <c r="Q187" s="21">
        <v>307.0</v>
      </c>
      <c r="R187" s="21">
        <v>20002.0</v>
      </c>
      <c r="S187" s="21" t="s">
        <v>74</v>
      </c>
      <c r="T187" s="29">
        <v>2.028639373E9</v>
      </c>
      <c r="U187" s="21">
        <v>1.0</v>
      </c>
      <c r="V187" s="21">
        <v>1.0</v>
      </c>
      <c r="W187" s="21">
        <f t="shared" si="4"/>
        <v>2</v>
      </c>
      <c r="X187" s="21" t="s">
        <v>46</v>
      </c>
      <c r="Y187" s="21" t="s">
        <v>47</v>
      </c>
      <c r="Z187" s="22" t="s">
        <v>259</v>
      </c>
      <c r="AA187" s="22" t="s">
        <v>1679</v>
      </c>
      <c r="AB187" s="21" t="s">
        <v>49</v>
      </c>
      <c r="AC187" s="21" t="s">
        <v>1624</v>
      </c>
      <c r="AD187" s="23"/>
      <c r="AE187" s="39"/>
      <c r="AF187" s="12"/>
      <c r="AG187" s="12"/>
      <c r="AH187" s="12"/>
      <c r="AI187" s="12"/>
      <c r="AJ187" s="12"/>
      <c r="AK187" s="12"/>
    </row>
    <row r="188">
      <c r="A188" s="34">
        <v>45592.930399895835</v>
      </c>
      <c r="B188" s="14">
        <f t="shared" si="1"/>
        <v>45592</v>
      </c>
      <c r="C188" s="15" t="s">
        <v>327</v>
      </c>
      <c r="D188" s="30" t="s">
        <v>1680</v>
      </c>
      <c r="E188" s="15" t="str">
        <f t="shared" si="12"/>
        <v>Mariaangela Mokwe</v>
      </c>
      <c r="F188" s="16">
        <f t="shared" si="13"/>
        <v>2027101487</v>
      </c>
      <c r="G188" s="16" t="s">
        <v>1681</v>
      </c>
      <c r="H188" s="43" t="s">
        <v>356</v>
      </c>
      <c r="I188" s="17" t="s">
        <v>1617</v>
      </c>
      <c r="J188" s="18" t="s">
        <v>1618</v>
      </c>
      <c r="K188" s="17" t="s">
        <v>1619</v>
      </c>
      <c r="L188" s="19">
        <v>2.025506595E9</v>
      </c>
      <c r="M188" s="20" t="s">
        <v>39</v>
      </c>
      <c r="N188" s="21" t="s">
        <v>1682</v>
      </c>
      <c r="O188" s="21" t="s">
        <v>1683</v>
      </c>
      <c r="P188" s="21" t="s">
        <v>1684</v>
      </c>
      <c r="Q188" s="28"/>
      <c r="R188" s="21">
        <v>20011.0</v>
      </c>
      <c r="S188" s="21" t="s">
        <v>59</v>
      </c>
      <c r="T188" s="29">
        <v>2.027101487E9</v>
      </c>
      <c r="U188" s="21">
        <v>1.0</v>
      </c>
      <c r="V188" s="21">
        <v>0.0</v>
      </c>
      <c r="W188" s="21">
        <f t="shared" si="4"/>
        <v>1</v>
      </c>
      <c r="X188" s="21" t="s">
        <v>84</v>
      </c>
      <c r="Y188" s="21" t="s">
        <v>47</v>
      </c>
      <c r="Z188" s="22" t="s">
        <v>61</v>
      </c>
      <c r="AA188" s="22" t="s">
        <v>1685</v>
      </c>
      <c r="AB188" s="21" t="s">
        <v>49</v>
      </c>
      <c r="AC188" s="21" t="s">
        <v>1624</v>
      </c>
      <c r="AD188" s="23"/>
      <c r="AE188" s="39"/>
      <c r="AF188" s="12"/>
      <c r="AG188" s="12"/>
      <c r="AH188" s="12"/>
      <c r="AI188" s="12"/>
      <c r="AJ188" s="12"/>
      <c r="AK188" s="12"/>
    </row>
    <row r="189">
      <c r="A189" s="34">
        <v>45594.35860594908</v>
      </c>
      <c r="B189" s="14">
        <f t="shared" si="1"/>
        <v>45594</v>
      </c>
      <c r="C189" s="15" t="s">
        <v>327</v>
      </c>
      <c r="D189" s="30" t="s">
        <v>1686</v>
      </c>
      <c r="E189" s="15" t="str">
        <f t="shared" si="12"/>
        <v>Evette Bailey</v>
      </c>
      <c r="F189" s="16">
        <f t="shared" si="13"/>
        <v>2026214345</v>
      </c>
      <c r="G189" s="30" t="s">
        <v>1687</v>
      </c>
      <c r="H189" s="30" t="s">
        <v>34</v>
      </c>
      <c r="I189" s="17" t="s">
        <v>1688</v>
      </c>
      <c r="J189" s="18" t="s">
        <v>1689</v>
      </c>
      <c r="K189" s="17" t="s">
        <v>1690</v>
      </c>
      <c r="L189" s="19" t="s">
        <v>1691</v>
      </c>
      <c r="M189" s="20" t="s">
        <v>39</v>
      </c>
      <c r="N189" s="21" t="s">
        <v>1692</v>
      </c>
      <c r="O189" s="21" t="s">
        <v>1693</v>
      </c>
      <c r="P189" s="21" t="s">
        <v>1694</v>
      </c>
      <c r="Q189" s="21">
        <v>818.0</v>
      </c>
      <c r="R189" s="21">
        <v>20024.0</v>
      </c>
      <c r="S189" s="21" t="s">
        <v>1695</v>
      </c>
      <c r="T189" s="29">
        <v>2.026214345E9</v>
      </c>
      <c r="U189" s="21">
        <v>1.0</v>
      </c>
      <c r="V189" s="21">
        <v>0.0</v>
      </c>
      <c r="W189" s="21">
        <f t="shared" si="4"/>
        <v>1</v>
      </c>
      <c r="X189" s="21" t="s">
        <v>46</v>
      </c>
      <c r="Y189" s="21" t="s">
        <v>85</v>
      </c>
      <c r="Z189" s="22" t="s">
        <v>458</v>
      </c>
      <c r="AA189" s="22" t="s">
        <v>1696</v>
      </c>
      <c r="AB189" s="21" t="s">
        <v>63</v>
      </c>
      <c r="AC189" s="21">
        <v>12.0</v>
      </c>
      <c r="AD189" s="22"/>
      <c r="AE189" s="25"/>
      <c r="AF189" s="12"/>
      <c r="AG189" s="12"/>
      <c r="AH189" s="12"/>
      <c r="AI189" s="12"/>
      <c r="AJ189" s="12"/>
      <c r="AK189" s="12"/>
    </row>
    <row r="190">
      <c r="A190" s="34">
        <v>45600.375144363425</v>
      </c>
      <c r="B190" s="14">
        <f t="shared" si="1"/>
        <v>45600</v>
      </c>
      <c r="C190" s="15" t="s">
        <v>31</v>
      </c>
      <c r="D190" s="30" t="s">
        <v>1697</v>
      </c>
      <c r="E190" s="15" t="str">
        <f t="shared" si="12"/>
        <v>Kymberly Grafton</v>
      </c>
      <c r="F190" s="16">
        <f t="shared" si="13"/>
        <v>2023842879</v>
      </c>
      <c r="G190" s="15" t="s">
        <v>1698</v>
      </c>
      <c r="H190" s="15" t="s">
        <v>34</v>
      </c>
      <c r="I190" s="17" t="s">
        <v>1688</v>
      </c>
      <c r="J190" s="18" t="s">
        <v>1689</v>
      </c>
      <c r="K190" s="17" t="s">
        <v>1691</v>
      </c>
      <c r="L190" s="19">
        <v>2.026032622E9</v>
      </c>
      <c r="M190" s="20" t="s">
        <v>39</v>
      </c>
      <c r="N190" s="21" t="s">
        <v>1699</v>
      </c>
      <c r="O190" s="21" t="s">
        <v>1700</v>
      </c>
      <c r="P190" s="21" t="s">
        <v>1701</v>
      </c>
      <c r="Q190" s="21">
        <v>24.0</v>
      </c>
      <c r="R190" s="21">
        <v>20032.0</v>
      </c>
      <c r="S190" s="21" t="s">
        <v>1702</v>
      </c>
      <c r="T190" s="29">
        <v>2.023842879E9</v>
      </c>
      <c r="U190" s="21">
        <v>1.0</v>
      </c>
      <c r="V190" s="21">
        <v>0.0</v>
      </c>
      <c r="W190" s="21">
        <f t="shared" si="4"/>
        <v>1</v>
      </c>
      <c r="X190" s="21" t="s">
        <v>46</v>
      </c>
      <c r="Y190" s="21" t="s">
        <v>47</v>
      </c>
      <c r="Z190" s="22" t="s">
        <v>920</v>
      </c>
      <c r="AA190" s="22" t="s">
        <v>1703</v>
      </c>
      <c r="AB190" s="21" t="s">
        <v>145</v>
      </c>
      <c r="AC190" s="21">
        <v>12.0</v>
      </c>
      <c r="AD190" s="22" t="s">
        <v>1704</v>
      </c>
      <c r="AE190" s="25"/>
    </row>
    <row r="191">
      <c r="A191" s="34">
        <v>45601.762003587966</v>
      </c>
      <c r="B191" s="14">
        <f t="shared" si="1"/>
        <v>45601</v>
      </c>
      <c r="C191" s="15" t="s">
        <v>327</v>
      </c>
      <c r="D191" s="30" t="s">
        <v>1705</v>
      </c>
      <c r="E191" s="15" t="str">
        <f t="shared" si="12"/>
        <v>Rita Ndum</v>
      </c>
      <c r="F191" s="16">
        <f t="shared" si="13"/>
        <v>2405932313</v>
      </c>
      <c r="G191" s="15" t="s">
        <v>1424</v>
      </c>
      <c r="H191" s="40" t="s">
        <v>103</v>
      </c>
      <c r="I191" s="17" t="s">
        <v>1706</v>
      </c>
      <c r="J191" s="18" t="s">
        <v>1707</v>
      </c>
      <c r="K191" s="17" t="s">
        <v>1708</v>
      </c>
      <c r="L191" s="19">
        <v>2.028170128E9</v>
      </c>
      <c r="M191" s="20" t="s">
        <v>39</v>
      </c>
      <c r="N191" s="21" t="s">
        <v>1709</v>
      </c>
      <c r="O191" s="21" t="s">
        <v>1710</v>
      </c>
      <c r="P191" s="21" t="s">
        <v>1711</v>
      </c>
      <c r="Q191" s="21">
        <v>121.0</v>
      </c>
      <c r="R191" s="21">
        <v>20019.0</v>
      </c>
      <c r="S191" s="21" t="s">
        <v>74</v>
      </c>
      <c r="T191" s="29">
        <v>2.405932313E9</v>
      </c>
      <c r="U191" s="21">
        <v>1.0</v>
      </c>
      <c r="V191" s="21">
        <v>0.0</v>
      </c>
      <c r="W191" s="21">
        <f t="shared" si="4"/>
        <v>1</v>
      </c>
      <c r="X191" s="21" t="s">
        <v>46</v>
      </c>
      <c r="Y191" s="21" t="s">
        <v>47</v>
      </c>
      <c r="Z191" s="22" t="s">
        <v>458</v>
      </c>
      <c r="AA191" s="22" t="s">
        <v>1712</v>
      </c>
      <c r="AB191" s="21" t="s">
        <v>49</v>
      </c>
      <c r="AC191" s="21">
        <v>12.0</v>
      </c>
      <c r="AD191" s="22" t="s">
        <v>1713</v>
      </c>
      <c r="AE191" s="25"/>
      <c r="AF191" s="12"/>
      <c r="AG191" s="12"/>
      <c r="AH191" s="12"/>
      <c r="AI191" s="12"/>
      <c r="AJ191" s="12"/>
      <c r="AK191" s="12"/>
    </row>
    <row r="192">
      <c r="A192" s="34">
        <v>45602.6262422338</v>
      </c>
      <c r="B192" s="14">
        <f t="shared" si="1"/>
        <v>45602</v>
      </c>
      <c r="C192" s="15" t="s">
        <v>643</v>
      </c>
      <c r="D192" s="30" t="s">
        <v>1714</v>
      </c>
      <c r="E192" s="15" t="str">
        <f t="shared" si="12"/>
        <v>Narcisco Hernandez</v>
      </c>
      <c r="F192" s="16">
        <f t="shared" si="13"/>
        <v>2023003719</v>
      </c>
      <c r="G192" s="30" t="s">
        <v>1715</v>
      </c>
      <c r="H192" s="40" t="s">
        <v>646</v>
      </c>
      <c r="I192" s="17" t="s">
        <v>1716</v>
      </c>
      <c r="J192" s="18" t="s">
        <v>1717</v>
      </c>
      <c r="K192" s="17" t="s">
        <v>1718</v>
      </c>
      <c r="L192" s="19" t="s">
        <v>1719</v>
      </c>
      <c r="M192" s="20" t="s">
        <v>39</v>
      </c>
      <c r="N192" s="21" t="s">
        <v>1720</v>
      </c>
      <c r="O192" s="21" t="s">
        <v>1721</v>
      </c>
      <c r="P192" s="21" t="s">
        <v>1722</v>
      </c>
      <c r="Q192" s="21" t="s">
        <v>1723</v>
      </c>
      <c r="R192" s="21">
        <v>20001.0</v>
      </c>
      <c r="S192" s="21" t="s">
        <v>59</v>
      </c>
      <c r="T192" s="29">
        <v>2.023003719E9</v>
      </c>
      <c r="U192" s="21">
        <v>1.0</v>
      </c>
      <c r="V192" s="21">
        <v>0.0</v>
      </c>
      <c r="W192" s="21">
        <f t="shared" si="4"/>
        <v>1</v>
      </c>
      <c r="X192" s="21" t="s">
        <v>46</v>
      </c>
      <c r="Y192" s="21" t="s">
        <v>85</v>
      </c>
      <c r="Z192" s="22" t="s">
        <v>48</v>
      </c>
      <c r="AA192" s="22" t="s">
        <v>1724</v>
      </c>
      <c r="AB192" s="21" t="s">
        <v>145</v>
      </c>
      <c r="AC192" s="21">
        <v>12.0</v>
      </c>
      <c r="AD192" s="22" t="s">
        <v>1725</v>
      </c>
      <c r="AE192" s="25"/>
    </row>
    <row r="193">
      <c r="A193" s="34">
        <v>45603.515209502315</v>
      </c>
      <c r="B193" s="14">
        <f t="shared" si="1"/>
        <v>45603</v>
      </c>
      <c r="C193" s="15" t="s">
        <v>31</v>
      </c>
      <c r="D193" s="30" t="s">
        <v>1726</v>
      </c>
      <c r="E193" s="15" t="str">
        <f t="shared" si="12"/>
        <v>KRYSTAL WHITE</v>
      </c>
      <c r="F193" s="16">
        <f t="shared" si="13"/>
        <v>2029451479</v>
      </c>
      <c r="G193" s="30" t="s">
        <v>1727</v>
      </c>
      <c r="H193" s="40" t="s">
        <v>103</v>
      </c>
      <c r="I193" s="17" t="s">
        <v>1135</v>
      </c>
      <c r="J193" s="18" t="s">
        <v>1136</v>
      </c>
      <c r="K193" s="17" t="s">
        <v>116</v>
      </c>
      <c r="L193" s="19" t="s">
        <v>1137</v>
      </c>
      <c r="M193" s="20" t="s">
        <v>39</v>
      </c>
      <c r="N193" s="21" t="s">
        <v>1728</v>
      </c>
      <c r="O193" s="21" t="s">
        <v>1729</v>
      </c>
      <c r="P193" s="21" t="s">
        <v>1730</v>
      </c>
      <c r="Q193" s="21" t="s">
        <v>1320</v>
      </c>
      <c r="R193" s="21">
        <v>20032.0</v>
      </c>
      <c r="S193" s="21" t="s">
        <v>44</v>
      </c>
      <c r="T193" s="29">
        <v>2.029451479E9</v>
      </c>
      <c r="U193" s="21">
        <v>1.0</v>
      </c>
      <c r="V193" s="21">
        <v>2.0</v>
      </c>
      <c r="W193" s="21">
        <f t="shared" si="4"/>
        <v>3</v>
      </c>
      <c r="X193" s="21" t="s">
        <v>46</v>
      </c>
      <c r="Y193" s="21" t="s">
        <v>85</v>
      </c>
      <c r="Z193" s="22" t="s">
        <v>1731</v>
      </c>
      <c r="AA193" s="22" t="s">
        <v>1732</v>
      </c>
      <c r="AB193" s="21" t="s">
        <v>49</v>
      </c>
      <c r="AC193" s="21">
        <v>12.0</v>
      </c>
      <c r="AD193" s="22" t="s">
        <v>1733</v>
      </c>
      <c r="AE193" s="25"/>
      <c r="AF193" s="12"/>
      <c r="AG193" s="12"/>
      <c r="AH193" s="12"/>
      <c r="AI193" s="12"/>
      <c r="AJ193" s="12"/>
      <c r="AK193" s="12"/>
    </row>
    <row r="194">
      <c r="A194" s="34">
        <v>45603.8566412963</v>
      </c>
      <c r="B194" s="14">
        <f t="shared" si="1"/>
        <v>45603</v>
      </c>
      <c r="C194" s="15" t="s">
        <v>327</v>
      </c>
      <c r="D194" s="30" t="s">
        <v>1734</v>
      </c>
      <c r="E194" s="15" t="str">
        <f t="shared" si="12"/>
        <v>Trayvon Odoms</v>
      </c>
      <c r="F194" s="16" t="str">
        <f t="shared" si="13"/>
        <v>(202) 844-0200</v>
      </c>
      <c r="G194" s="30" t="s">
        <v>1735</v>
      </c>
      <c r="H194" s="40" t="s">
        <v>66</v>
      </c>
      <c r="I194" s="17" t="s">
        <v>285</v>
      </c>
      <c r="J194" s="18" t="s">
        <v>851</v>
      </c>
      <c r="K194" s="17" t="s">
        <v>287</v>
      </c>
      <c r="L194" s="19" t="s">
        <v>852</v>
      </c>
      <c r="M194" s="20" t="s">
        <v>39</v>
      </c>
      <c r="N194" s="21" t="s">
        <v>1736</v>
      </c>
      <c r="O194" s="21" t="s">
        <v>1737</v>
      </c>
      <c r="P194" s="21" t="s">
        <v>1738</v>
      </c>
      <c r="Q194" s="28"/>
      <c r="R194" s="21">
        <v>20020.0</v>
      </c>
      <c r="S194" s="21" t="s">
        <v>44</v>
      </c>
      <c r="T194" s="29" t="s">
        <v>1739</v>
      </c>
      <c r="U194" s="21">
        <v>1.0</v>
      </c>
      <c r="V194" s="21">
        <v>0.0</v>
      </c>
      <c r="W194" s="21">
        <f t="shared" si="4"/>
        <v>1</v>
      </c>
      <c r="X194" s="21" t="s">
        <v>46</v>
      </c>
      <c r="Y194" s="21" t="s">
        <v>47</v>
      </c>
      <c r="Z194" s="22" t="s">
        <v>236</v>
      </c>
      <c r="AA194" s="22" t="s">
        <v>1740</v>
      </c>
      <c r="AB194" s="21" t="s">
        <v>145</v>
      </c>
      <c r="AC194" s="21">
        <v>2.0</v>
      </c>
      <c r="AD194" s="22" t="s">
        <v>1741</v>
      </c>
      <c r="AE194" s="25"/>
      <c r="AF194" s="12"/>
      <c r="AG194" s="12"/>
      <c r="AH194" s="12"/>
      <c r="AI194" s="12"/>
      <c r="AJ194" s="12"/>
      <c r="AK194" s="12"/>
    </row>
    <row r="195">
      <c r="A195" s="34">
        <v>45607.405188206016</v>
      </c>
      <c r="B195" s="14">
        <f t="shared" si="1"/>
        <v>45607</v>
      </c>
      <c r="C195" s="15" t="s">
        <v>31</v>
      </c>
      <c r="D195" s="15" t="s">
        <v>1742</v>
      </c>
      <c r="E195" s="15" t="str">
        <f t="shared" si="12"/>
        <v>Tokumbo Childress</v>
      </c>
      <c r="F195" s="16" t="str">
        <f t="shared" si="13"/>
        <v>(571) 519-3228 (Please text, pt is deaf)</v>
      </c>
      <c r="G195" s="15" t="s">
        <v>1743</v>
      </c>
      <c r="H195" s="40" t="s">
        <v>66</v>
      </c>
      <c r="I195" s="17" t="s">
        <v>1153</v>
      </c>
      <c r="J195" s="18" t="s">
        <v>1744</v>
      </c>
      <c r="K195" s="17" t="s">
        <v>1745</v>
      </c>
      <c r="L195" s="19" t="s">
        <v>1156</v>
      </c>
      <c r="M195" s="20" t="s">
        <v>39</v>
      </c>
      <c r="N195" s="21" t="s">
        <v>1746</v>
      </c>
      <c r="O195" s="21" t="s">
        <v>1747</v>
      </c>
      <c r="P195" s="21" t="s">
        <v>1748</v>
      </c>
      <c r="Q195" s="21">
        <v>102.0</v>
      </c>
      <c r="R195" s="21">
        <v>20020.0</v>
      </c>
      <c r="S195" s="21" t="s">
        <v>44</v>
      </c>
      <c r="T195" s="29" t="s">
        <v>1749</v>
      </c>
      <c r="U195" s="21">
        <v>1.0</v>
      </c>
      <c r="V195" s="21">
        <v>0.0</v>
      </c>
      <c r="W195" s="21">
        <f t="shared" si="4"/>
        <v>1</v>
      </c>
      <c r="X195" s="21" t="s">
        <v>46</v>
      </c>
      <c r="Y195" s="21" t="s">
        <v>47</v>
      </c>
      <c r="Z195" s="22" t="s">
        <v>61</v>
      </c>
      <c r="AA195" s="22" t="s">
        <v>1750</v>
      </c>
      <c r="AB195" s="21" t="s">
        <v>49</v>
      </c>
      <c r="AC195" s="21">
        <v>6.0</v>
      </c>
      <c r="AD195" s="22" t="s">
        <v>1751</v>
      </c>
      <c r="AE195" s="25"/>
      <c r="AF195" s="12"/>
      <c r="AG195" s="12"/>
      <c r="AH195" s="12"/>
      <c r="AI195" s="12"/>
      <c r="AJ195" s="12"/>
      <c r="AK195" s="12"/>
    </row>
    <row r="196">
      <c r="A196" s="34">
        <v>45608.48079077546</v>
      </c>
      <c r="B196" s="14">
        <f t="shared" si="1"/>
        <v>45608</v>
      </c>
      <c r="C196" s="15" t="s">
        <v>31</v>
      </c>
      <c r="D196" s="15" t="s">
        <v>1752</v>
      </c>
      <c r="E196" s="15" t="s">
        <v>1753</v>
      </c>
      <c r="F196" s="16" t="str">
        <f t="shared" si="13"/>
        <v>(202) 664-7447</v>
      </c>
      <c r="G196" s="16" t="s">
        <v>1754</v>
      </c>
      <c r="H196" s="40" t="s">
        <v>103</v>
      </c>
      <c r="I196" s="17" t="s">
        <v>1182</v>
      </c>
      <c r="J196" s="18" t="s">
        <v>1183</v>
      </c>
      <c r="K196" s="17" t="s">
        <v>1755</v>
      </c>
      <c r="L196" s="19">
        <v>2.023362864E9</v>
      </c>
      <c r="M196" s="20" t="s">
        <v>39</v>
      </c>
      <c r="N196" s="21" t="s">
        <v>1756</v>
      </c>
      <c r="O196" s="21" t="s">
        <v>1757</v>
      </c>
      <c r="P196" s="21" t="s">
        <v>1758</v>
      </c>
      <c r="Q196" s="21">
        <v>11.0</v>
      </c>
      <c r="R196" s="21">
        <v>20002.0</v>
      </c>
      <c r="S196" s="21" t="s">
        <v>74</v>
      </c>
      <c r="T196" s="29" t="s">
        <v>1759</v>
      </c>
      <c r="U196" s="21">
        <v>1.0</v>
      </c>
      <c r="V196" s="21">
        <v>0.0</v>
      </c>
      <c r="W196" s="21">
        <f t="shared" si="4"/>
        <v>1</v>
      </c>
      <c r="X196" s="21" t="s">
        <v>84</v>
      </c>
      <c r="Y196" s="21" t="s">
        <v>47</v>
      </c>
      <c r="Z196" s="22" t="s">
        <v>187</v>
      </c>
      <c r="AA196" s="22" t="s">
        <v>1760</v>
      </c>
      <c r="AB196" s="21" t="s">
        <v>63</v>
      </c>
      <c r="AC196" s="21" t="s">
        <v>1476</v>
      </c>
      <c r="AD196" s="22" t="s">
        <v>1761</v>
      </c>
      <c r="AE196" s="25"/>
      <c r="AF196" s="12"/>
      <c r="AG196" s="12"/>
      <c r="AH196" s="12"/>
      <c r="AI196" s="12"/>
      <c r="AJ196" s="12"/>
      <c r="AK196" s="12"/>
    </row>
    <row r="197">
      <c r="A197" s="34">
        <v>45608.48614435185</v>
      </c>
      <c r="B197" s="14">
        <f t="shared" si="1"/>
        <v>45608</v>
      </c>
      <c r="C197" s="15" t="s">
        <v>1762</v>
      </c>
      <c r="D197" s="15" t="s">
        <v>1763</v>
      </c>
      <c r="E197" s="15" t="str">
        <f t="shared" ref="E197:E201" si="14">N197&amp;" "&amp;O197</f>
        <v>GEORGE OUTTEN</v>
      </c>
      <c r="F197" s="16" t="str">
        <f t="shared" si="13"/>
        <v>(202) 891-0631</v>
      </c>
      <c r="G197" s="16" t="s">
        <v>1764</v>
      </c>
      <c r="H197" s="40" t="s">
        <v>66</v>
      </c>
      <c r="I197" s="17" t="s">
        <v>1182</v>
      </c>
      <c r="J197" s="18" t="s">
        <v>1183</v>
      </c>
      <c r="K197" s="17" t="s">
        <v>1765</v>
      </c>
      <c r="L197" s="19">
        <v>2.023362864E9</v>
      </c>
      <c r="M197" s="20" t="s">
        <v>39</v>
      </c>
      <c r="N197" s="21" t="s">
        <v>1766</v>
      </c>
      <c r="O197" s="21" t="s">
        <v>1767</v>
      </c>
      <c r="P197" s="21" t="s">
        <v>1768</v>
      </c>
      <c r="Q197" s="21">
        <v>230.0</v>
      </c>
      <c r="R197" s="21">
        <v>20032.0</v>
      </c>
      <c r="S197" s="21" t="s">
        <v>44</v>
      </c>
      <c r="T197" s="29" t="s">
        <v>1769</v>
      </c>
      <c r="U197" s="21">
        <v>1.0</v>
      </c>
      <c r="V197" s="21">
        <v>0.0</v>
      </c>
      <c r="W197" s="21">
        <f t="shared" si="4"/>
        <v>1</v>
      </c>
      <c r="X197" s="21" t="s">
        <v>84</v>
      </c>
      <c r="Y197" s="21" t="s">
        <v>47</v>
      </c>
      <c r="Z197" s="22" t="s">
        <v>187</v>
      </c>
      <c r="AA197" s="22" t="s">
        <v>1770</v>
      </c>
      <c r="AB197" s="21" t="s">
        <v>145</v>
      </c>
      <c r="AC197" s="21" t="s">
        <v>1476</v>
      </c>
      <c r="AD197" s="22" t="s">
        <v>1771</v>
      </c>
      <c r="AE197" s="25"/>
      <c r="AF197" s="12"/>
      <c r="AG197" s="12"/>
      <c r="AH197" s="12"/>
      <c r="AI197" s="12"/>
      <c r="AJ197" s="12"/>
      <c r="AK197" s="12"/>
    </row>
    <row r="198">
      <c r="A198" s="34">
        <v>45609.52674835648</v>
      </c>
      <c r="B198" s="14">
        <f t="shared" si="1"/>
        <v>45609</v>
      </c>
      <c r="C198" s="15" t="s">
        <v>643</v>
      </c>
      <c r="D198" s="30" t="s">
        <v>1772</v>
      </c>
      <c r="E198" s="15" t="str">
        <f t="shared" si="14"/>
        <v>Tara Woodard</v>
      </c>
      <c r="F198" s="16" t="str">
        <f t="shared" si="13"/>
        <v>(202) 967-6356</v>
      </c>
      <c r="G198" s="30" t="s">
        <v>1773</v>
      </c>
      <c r="H198" s="40" t="s">
        <v>103</v>
      </c>
      <c r="I198" s="17" t="s">
        <v>1774</v>
      </c>
      <c r="J198" s="18" t="s">
        <v>1775</v>
      </c>
      <c r="K198" s="17" t="s">
        <v>1776</v>
      </c>
      <c r="L198" s="19">
        <v>3.026695117E9</v>
      </c>
      <c r="M198" s="20" t="s">
        <v>39</v>
      </c>
      <c r="N198" s="21" t="s">
        <v>1777</v>
      </c>
      <c r="O198" s="21" t="s">
        <v>1778</v>
      </c>
      <c r="P198" s="21" t="s">
        <v>1779</v>
      </c>
      <c r="Q198" s="21">
        <v>409.0</v>
      </c>
      <c r="R198" s="21">
        <v>20020.0</v>
      </c>
      <c r="S198" s="21" t="s">
        <v>44</v>
      </c>
      <c r="T198" s="29" t="s">
        <v>1780</v>
      </c>
      <c r="U198" s="21">
        <v>2.0</v>
      </c>
      <c r="V198" s="21">
        <v>0.0</v>
      </c>
      <c r="W198" s="21">
        <f t="shared" si="4"/>
        <v>2</v>
      </c>
      <c r="X198" s="21" t="s">
        <v>46</v>
      </c>
      <c r="Y198" s="21" t="s">
        <v>85</v>
      </c>
      <c r="Z198" s="22" t="s">
        <v>61</v>
      </c>
      <c r="AA198" s="22" t="s">
        <v>1781</v>
      </c>
      <c r="AB198" s="21" t="s">
        <v>49</v>
      </c>
      <c r="AC198" s="21">
        <v>6.0</v>
      </c>
      <c r="AD198" s="22" t="s">
        <v>1782</v>
      </c>
      <c r="AE198" s="25"/>
      <c r="AF198" s="12"/>
      <c r="AG198" s="12"/>
      <c r="AH198" s="12"/>
      <c r="AI198" s="12"/>
      <c r="AJ198" s="12"/>
      <c r="AK198" s="12"/>
    </row>
    <row r="199">
      <c r="A199" s="34">
        <v>45609.69628134259</v>
      </c>
      <c r="B199" s="14">
        <f t="shared" si="1"/>
        <v>45609</v>
      </c>
      <c r="C199" s="15" t="s">
        <v>327</v>
      </c>
      <c r="D199" s="30" t="s">
        <v>1783</v>
      </c>
      <c r="E199" s="15" t="str">
        <f t="shared" si="14"/>
        <v>Tarisha Settles</v>
      </c>
      <c r="F199" s="16">
        <f t="shared" si="13"/>
        <v>7712425151</v>
      </c>
      <c r="G199" s="15" t="s">
        <v>1784</v>
      </c>
      <c r="H199" s="40" t="s">
        <v>66</v>
      </c>
      <c r="I199" s="17" t="s">
        <v>1785</v>
      </c>
      <c r="J199" s="18" t="s">
        <v>1786</v>
      </c>
      <c r="K199" s="17" t="s">
        <v>37</v>
      </c>
      <c r="L199" s="19" t="s">
        <v>1787</v>
      </c>
      <c r="M199" s="20" t="s">
        <v>39</v>
      </c>
      <c r="N199" s="21" t="s">
        <v>1788</v>
      </c>
      <c r="O199" s="21" t="s">
        <v>1789</v>
      </c>
      <c r="P199" s="21" t="s">
        <v>1790</v>
      </c>
      <c r="Q199" s="21">
        <v>307.0</v>
      </c>
      <c r="R199" s="21">
        <v>20002.0</v>
      </c>
      <c r="S199" s="21" t="s">
        <v>74</v>
      </c>
      <c r="T199" s="29">
        <v>7.712425151E9</v>
      </c>
      <c r="U199" s="21">
        <v>2.0</v>
      </c>
      <c r="V199" s="21">
        <v>1.0</v>
      </c>
      <c r="W199" s="21">
        <f t="shared" si="4"/>
        <v>3</v>
      </c>
      <c r="X199" s="21" t="s">
        <v>46</v>
      </c>
      <c r="Y199" s="21" t="s">
        <v>85</v>
      </c>
      <c r="Z199" s="22" t="s">
        <v>236</v>
      </c>
      <c r="AA199" s="22" t="s">
        <v>1791</v>
      </c>
      <c r="AB199" s="21" t="s">
        <v>63</v>
      </c>
      <c r="AC199" s="21">
        <v>12.0</v>
      </c>
      <c r="AD199" s="22" t="s">
        <v>1792</v>
      </c>
      <c r="AE199" s="25"/>
    </row>
    <row r="200">
      <c r="A200" s="34">
        <v>45610.55625628472</v>
      </c>
      <c r="B200" s="14">
        <f t="shared" si="1"/>
        <v>45610</v>
      </c>
      <c r="C200" s="15" t="s">
        <v>327</v>
      </c>
      <c r="D200" s="15" t="s">
        <v>1793</v>
      </c>
      <c r="E200" s="15" t="str">
        <f t="shared" si="14"/>
        <v>Joselin Velasquez-Valasquez</v>
      </c>
      <c r="F200" s="16" t="str">
        <f t="shared" si="13"/>
        <v>(202) 500-0254</v>
      </c>
      <c r="G200" s="15" t="s">
        <v>1424</v>
      </c>
      <c r="H200" s="40" t="s">
        <v>646</v>
      </c>
      <c r="I200" s="17" t="s">
        <v>1794</v>
      </c>
      <c r="J200" s="18" t="s">
        <v>1795</v>
      </c>
      <c r="K200" s="17" t="s">
        <v>1796</v>
      </c>
      <c r="L200" s="19">
        <v>2.024441357E9</v>
      </c>
      <c r="M200" s="20" t="s">
        <v>39</v>
      </c>
      <c r="N200" s="21" t="s">
        <v>1797</v>
      </c>
      <c r="O200" s="21" t="s">
        <v>1798</v>
      </c>
      <c r="P200" s="21" t="s">
        <v>1799</v>
      </c>
      <c r="Q200" s="28"/>
      <c r="R200" s="21">
        <v>20010.0</v>
      </c>
      <c r="S200" s="21" t="s">
        <v>59</v>
      </c>
      <c r="T200" s="29" t="s">
        <v>1800</v>
      </c>
      <c r="U200" s="21">
        <v>1.0</v>
      </c>
      <c r="V200" s="21">
        <v>0.0</v>
      </c>
      <c r="W200" s="21">
        <f t="shared" si="4"/>
        <v>1</v>
      </c>
      <c r="X200" s="21" t="s">
        <v>46</v>
      </c>
      <c r="Y200" s="21" t="s">
        <v>47</v>
      </c>
      <c r="Z200" s="22" t="s">
        <v>361</v>
      </c>
      <c r="AA200" s="22" t="s">
        <v>1801</v>
      </c>
      <c r="AB200" s="21" t="s">
        <v>145</v>
      </c>
      <c r="AC200" s="21">
        <v>6.0</v>
      </c>
      <c r="AD200" s="22" t="s">
        <v>1802</v>
      </c>
      <c r="AE200" s="25"/>
      <c r="AF200" s="12"/>
      <c r="AG200" s="12"/>
      <c r="AH200" s="12"/>
      <c r="AI200" s="12"/>
      <c r="AJ200" s="12"/>
      <c r="AK200" s="12"/>
    </row>
    <row r="201">
      <c r="A201" s="34">
        <v>45611.5813634838</v>
      </c>
      <c r="B201" s="14">
        <f t="shared" si="1"/>
        <v>45611</v>
      </c>
      <c r="C201" s="15" t="s">
        <v>327</v>
      </c>
      <c r="D201" s="30" t="s">
        <v>1803</v>
      </c>
      <c r="E201" s="15" t="str">
        <f t="shared" si="14"/>
        <v>Tony Edwards</v>
      </c>
      <c r="F201" s="16">
        <f t="shared" si="13"/>
        <v>2026841420</v>
      </c>
      <c r="G201" s="30" t="s">
        <v>1496</v>
      </c>
      <c r="H201" s="40" t="s">
        <v>66</v>
      </c>
      <c r="I201" s="17" t="s">
        <v>1688</v>
      </c>
      <c r="J201" s="18" t="s">
        <v>1689</v>
      </c>
      <c r="K201" s="17" t="s">
        <v>1804</v>
      </c>
      <c r="L201" s="19">
        <v>2.026032622E9</v>
      </c>
      <c r="M201" s="20" t="s">
        <v>39</v>
      </c>
      <c r="N201" s="21" t="s">
        <v>1805</v>
      </c>
      <c r="O201" s="21" t="s">
        <v>1806</v>
      </c>
      <c r="P201" s="21" t="s">
        <v>1807</v>
      </c>
      <c r="Q201" s="21" t="s">
        <v>1808</v>
      </c>
      <c r="R201" s="21">
        <v>20007.0</v>
      </c>
      <c r="S201" s="21" t="s">
        <v>483</v>
      </c>
      <c r="T201" s="29">
        <v>2.02684142E9</v>
      </c>
      <c r="U201" s="21">
        <v>1.0</v>
      </c>
      <c r="V201" s="21">
        <v>0.0</v>
      </c>
      <c r="W201" s="21">
        <f t="shared" si="4"/>
        <v>1</v>
      </c>
      <c r="X201" s="21" t="s">
        <v>46</v>
      </c>
      <c r="Y201" s="21" t="s">
        <v>47</v>
      </c>
      <c r="Z201" s="22" t="s">
        <v>236</v>
      </c>
      <c r="AA201" s="22" t="s">
        <v>1809</v>
      </c>
      <c r="AB201" s="21" t="s">
        <v>63</v>
      </c>
      <c r="AC201" s="21">
        <v>12.0</v>
      </c>
      <c r="AD201" s="22" t="s">
        <v>1810</v>
      </c>
      <c r="AE201" s="25"/>
      <c r="AF201" s="12"/>
      <c r="AG201" s="12"/>
      <c r="AH201" s="12"/>
      <c r="AI201" s="12"/>
      <c r="AJ201" s="12"/>
      <c r="AK201" s="12"/>
    </row>
    <row r="202">
      <c r="A202" s="34">
        <v>45614.46791533565</v>
      </c>
      <c r="B202" s="14">
        <f t="shared" si="1"/>
        <v>45614</v>
      </c>
      <c r="C202" s="15" t="s">
        <v>31</v>
      </c>
      <c r="D202" s="30" t="s">
        <v>1811</v>
      </c>
      <c r="E202" s="15" t="s">
        <v>1812</v>
      </c>
      <c r="F202" s="16" t="str">
        <f t="shared" si="13"/>
        <v>(202) 200-1333</v>
      </c>
      <c r="G202" s="30" t="s">
        <v>1813</v>
      </c>
      <c r="H202" s="40" t="s">
        <v>66</v>
      </c>
      <c r="I202" s="17" t="s">
        <v>760</v>
      </c>
      <c r="J202" s="18" t="s">
        <v>761</v>
      </c>
      <c r="K202" s="17" t="s">
        <v>287</v>
      </c>
      <c r="L202" s="19" t="s">
        <v>778</v>
      </c>
      <c r="M202" s="20" t="s">
        <v>39</v>
      </c>
      <c r="N202" s="21" t="s">
        <v>1814</v>
      </c>
      <c r="O202" s="21" t="s">
        <v>1815</v>
      </c>
      <c r="P202" s="21" t="s">
        <v>1816</v>
      </c>
      <c r="Q202" s="21" t="s">
        <v>1817</v>
      </c>
      <c r="R202" s="21">
        <v>20009.0</v>
      </c>
      <c r="S202" s="21" t="s">
        <v>59</v>
      </c>
      <c r="T202" s="29" t="s">
        <v>1818</v>
      </c>
      <c r="U202" s="21">
        <v>1.0</v>
      </c>
      <c r="V202" s="21">
        <v>0.0</v>
      </c>
      <c r="W202" s="21">
        <f t="shared" si="4"/>
        <v>1</v>
      </c>
      <c r="X202" s="21" t="s">
        <v>46</v>
      </c>
      <c r="Y202" s="21" t="s">
        <v>47</v>
      </c>
      <c r="Z202" s="22" t="s">
        <v>61</v>
      </c>
      <c r="AA202" s="22" t="s">
        <v>1819</v>
      </c>
      <c r="AB202" s="21" t="s">
        <v>63</v>
      </c>
      <c r="AC202" s="21">
        <v>6.0</v>
      </c>
      <c r="AD202" s="22" t="s">
        <v>1820</v>
      </c>
      <c r="AE202" s="25"/>
      <c r="AF202" s="12"/>
      <c r="AG202" s="12"/>
      <c r="AH202" s="12"/>
      <c r="AI202" s="12"/>
      <c r="AJ202" s="12"/>
      <c r="AK202" s="12"/>
    </row>
    <row r="203">
      <c r="A203" s="34">
        <v>45615.434042361114</v>
      </c>
      <c r="B203" s="14">
        <f t="shared" si="1"/>
        <v>45615</v>
      </c>
      <c r="C203" s="15" t="s">
        <v>31</v>
      </c>
      <c r="D203" s="30" t="s">
        <v>1821</v>
      </c>
      <c r="E203" s="15" t="str">
        <f t="shared" ref="E203:E248" si="15">N203&amp;" "&amp;O203</f>
        <v>Josephine Washington</v>
      </c>
      <c r="F203" s="16" t="str">
        <f t="shared" si="13"/>
        <v>(202) 388-1308</v>
      </c>
      <c r="G203" s="16" t="s">
        <v>1822</v>
      </c>
      <c r="H203" s="15" t="s">
        <v>103</v>
      </c>
      <c r="I203" s="17" t="s">
        <v>1823</v>
      </c>
      <c r="J203" s="18" t="s">
        <v>1824</v>
      </c>
      <c r="K203" s="17" t="s">
        <v>586</v>
      </c>
      <c r="L203" s="19">
        <v>2.026808326E9</v>
      </c>
      <c r="M203" s="20" t="s">
        <v>39</v>
      </c>
      <c r="N203" s="21" t="s">
        <v>536</v>
      </c>
      <c r="O203" s="21" t="s">
        <v>709</v>
      </c>
      <c r="P203" s="21" t="s">
        <v>1825</v>
      </c>
      <c r="Q203" s="21" t="s">
        <v>207</v>
      </c>
      <c r="R203" s="21">
        <v>20019.0</v>
      </c>
      <c r="S203" s="21" t="s">
        <v>74</v>
      </c>
      <c r="T203" s="29" t="s">
        <v>1826</v>
      </c>
      <c r="U203" s="21">
        <v>2.0</v>
      </c>
      <c r="V203" s="21">
        <v>0.0</v>
      </c>
      <c r="W203" s="21">
        <f t="shared" si="4"/>
        <v>2</v>
      </c>
      <c r="X203" s="21" t="s">
        <v>84</v>
      </c>
      <c r="Y203" s="21" t="s">
        <v>47</v>
      </c>
      <c r="Z203" s="22" t="s">
        <v>756</v>
      </c>
      <c r="AA203" s="22" t="s">
        <v>1827</v>
      </c>
      <c r="AB203" s="21" t="s">
        <v>49</v>
      </c>
      <c r="AC203" s="21">
        <v>12.0</v>
      </c>
      <c r="AD203" s="22" t="s">
        <v>1828</v>
      </c>
      <c r="AE203" s="25"/>
      <c r="AF203" s="12"/>
      <c r="AG203" s="12"/>
      <c r="AH203" s="12"/>
      <c r="AI203" s="12"/>
      <c r="AJ203" s="12"/>
      <c r="AK203" s="12"/>
    </row>
    <row r="204">
      <c r="A204" s="34">
        <v>45615.61500697916</v>
      </c>
      <c r="B204" s="14">
        <f t="shared" si="1"/>
        <v>45615</v>
      </c>
      <c r="C204" s="15" t="s">
        <v>327</v>
      </c>
      <c r="D204" s="30" t="s">
        <v>1829</v>
      </c>
      <c r="E204" s="15" t="str">
        <f t="shared" si="15"/>
        <v>Markeisha Henderson</v>
      </c>
      <c r="F204" s="16">
        <f t="shared" si="13"/>
        <v>2407120233</v>
      </c>
      <c r="G204" s="30" t="s">
        <v>1830</v>
      </c>
      <c r="H204" s="40" t="s">
        <v>66</v>
      </c>
      <c r="I204" s="17" t="s">
        <v>1688</v>
      </c>
      <c r="J204" s="18" t="s">
        <v>1689</v>
      </c>
      <c r="K204" s="17" t="s">
        <v>1691</v>
      </c>
      <c r="L204" s="19">
        <v>2.0260326222E10</v>
      </c>
      <c r="M204" s="20" t="s">
        <v>39</v>
      </c>
      <c r="N204" s="21" t="s">
        <v>1831</v>
      </c>
      <c r="O204" s="21" t="s">
        <v>885</v>
      </c>
      <c r="P204" s="21" t="s">
        <v>1832</v>
      </c>
      <c r="Q204" s="21">
        <v>6.0</v>
      </c>
      <c r="R204" s="21">
        <v>20002.0</v>
      </c>
      <c r="S204" s="21" t="s">
        <v>1833</v>
      </c>
      <c r="T204" s="29">
        <v>2.407120233E9</v>
      </c>
      <c r="U204" s="21">
        <v>1.0</v>
      </c>
      <c r="V204" s="21">
        <v>1.0</v>
      </c>
      <c r="W204" s="21">
        <f t="shared" si="4"/>
        <v>2</v>
      </c>
      <c r="X204" s="21" t="s">
        <v>46</v>
      </c>
      <c r="Y204" s="21" t="s">
        <v>85</v>
      </c>
      <c r="Z204" s="22" t="s">
        <v>449</v>
      </c>
      <c r="AA204" s="22" t="s">
        <v>1834</v>
      </c>
      <c r="AB204" s="21" t="s">
        <v>63</v>
      </c>
      <c r="AC204" s="21">
        <v>12.0</v>
      </c>
      <c r="AD204" s="22" t="s">
        <v>1835</v>
      </c>
      <c r="AE204" s="25"/>
      <c r="AF204" s="12"/>
      <c r="AG204" s="12"/>
      <c r="AH204" s="12"/>
      <c r="AI204" s="12"/>
      <c r="AJ204" s="12"/>
      <c r="AK204" s="12"/>
    </row>
    <row r="205">
      <c r="A205" s="34">
        <v>45615.69146255787</v>
      </c>
      <c r="B205" s="14">
        <f t="shared" si="1"/>
        <v>45615</v>
      </c>
      <c r="C205" s="15" t="s">
        <v>327</v>
      </c>
      <c r="D205" s="30" t="s">
        <v>1836</v>
      </c>
      <c r="E205" s="15" t="str">
        <f t="shared" si="15"/>
        <v>Elaine Hubbard</v>
      </c>
      <c r="F205" s="16" t="str">
        <f t="shared" si="13"/>
        <v>(202) 883-2965</v>
      </c>
      <c r="G205" s="30" t="s">
        <v>1530</v>
      </c>
      <c r="H205" s="15" t="s">
        <v>103</v>
      </c>
      <c r="I205" s="17" t="s">
        <v>1837</v>
      </c>
      <c r="J205" s="18" t="s">
        <v>1838</v>
      </c>
      <c r="K205" s="17" t="s">
        <v>1839</v>
      </c>
      <c r="L205" s="19" t="s">
        <v>1840</v>
      </c>
      <c r="M205" s="20" t="s">
        <v>39</v>
      </c>
      <c r="N205" s="21" t="s">
        <v>1841</v>
      </c>
      <c r="O205" s="21" t="s">
        <v>1842</v>
      </c>
      <c r="P205" s="21" t="s">
        <v>1843</v>
      </c>
      <c r="Q205" s="21" t="s">
        <v>1844</v>
      </c>
      <c r="R205" s="21">
        <v>20002.0</v>
      </c>
      <c r="S205" s="21" t="s">
        <v>74</v>
      </c>
      <c r="T205" s="29" t="s">
        <v>1845</v>
      </c>
      <c r="U205" s="21">
        <v>1.0</v>
      </c>
      <c r="V205" s="21">
        <v>0.0</v>
      </c>
      <c r="W205" s="21">
        <f t="shared" si="4"/>
        <v>1</v>
      </c>
      <c r="X205" s="21" t="s">
        <v>84</v>
      </c>
      <c r="Y205" s="21" t="s">
        <v>47</v>
      </c>
      <c r="Z205" s="22" t="s">
        <v>76</v>
      </c>
      <c r="AA205" s="22" t="s">
        <v>1846</v>
      </c>
      <c r="AB205" s="21" t="s">
        <v>49</v>
      </c>
      <c r="AC205" s="21">
        <v>12.0</v>
      </c>
      <c r="AD205" s="22" t="s">
        <v>1847</v>
      </c>
      <c r="AE205" s="25"/>
      <c r="AF205" s="12"/>
      <c r="AG205" s="12"/>
      <c r="AH205" s="12"/>
      <c r="AI205" s="12"/>
      <c r="AJ205" s="12"/>
      <c r="AK205" s="12"/>
    </row>
    <row r="206">
      <c r="A206" s="34">
        <v>45616.54344317129</v>
      </c>
      <c r="B206" s="14">
        <f t="shared" si="1"/>
        <v>45616</v>
      </c>
      <c r="C206" s="15" t="s">
        <v>327</v>
      </c>
      <c r="D206" s="30" t="s">
        <v>1848</v>
      </c>
      <c r="E206" s="15" t="str">
        <f t="shared" si="15"/>
        <v>Vontia Nelson</v>
      </c>
      <c r="F206" s="16">
        <f t="shared" si="13"/>
        <v>2404928404</v>
      </c>
      <c r="G206" s="30" t="s">
        <v>1849</v>
      </c>
      <c r="H206" s="40" t="s">
        <v>34</v>
      </c>
      <c r="I206" s="17" t="s">
        <v>1850</v>
      </c>
      <c r="J206" s="18" t="s">
        <v>1689</v>
      </c>
      <c r="K206" s="17" t="s">
        <v>1691</v>
      </c>
      <c r="L206" s="19">
        <v>2.026032622E9</v>
      </c>
      <c r="M206" s="20" t="s">
        <v>39</v>
      </c>
      <c r="N206" s="21" t="s">
        <v>1851</v>
      </c>
      <c r="O206" s="21" t="s">
        <v>1852</v>
      </c>
      <c r="P206" s="21" t="s">
        <v>1853</v>
      </c>
      <c r="Q206" s="21">
        <v>3.0</v>
      </c>
      <c r="R206" s="21">
        <v>20020.0</v>
      </c>
      <c r="S206" s="21" t="s">
        <v>44</v>
      </c>
      <c r="T206" s="29">
        <v>2.404928404E9</v>
      </c>
      <c r="U206" s="21">
        <v>2.0</v>
      </c>
      <c r="V206" s="21">
        <v>0.0</v>
      </c>
      <c r="W206" s="21">
        <f t="shared" si="4"/>
        <v>2</v>
      </c>
      <c r="X206" s="21" t="s">
        <v>46</v>
      </c>
      <c r="Y206" s="21" t="s">
        <v>85</v>
      </c>
      <c r="Z206" s="22" t="s">
        <v>449</v>
      </c>
      <c r="AA206" s="22" t="s">
        <v>1854</v>
      </c>
      <c r="AB206" s="21" t="s">
        <v>63</v>
      </c>
      <c r="AC206" s="21">
        <v>12.0</v>
      </c>
      <c r="AD206" s="22" t="s">
        <v>1855</v>
      </c>
      <c r="AE206" s="25"/>
    </row>
    <row r="207">
      <c r="A207" s="34">
        <v>45619.57018550926</v>
      </c>
      <c r="B207" s="14">
        <f t="shared" si="1"/>
        <v>45619</v>
      </c>
      <c r="C207" s="15" t="s">
        <v>327</v>
      </c>
      <c r="D207" s="30" t="s">
        <v>1856</v>
      </c>
      <c r="E207" s="15" t="str">
        <f t="shared" si="15"/>
        <v>Gina Walker</v>
      </c>
      <c r="F207" s="16">
        <f t="shared" si="13"/>
        <v>2022438442</v>
      </c>
      <c r="G207" s="30" t="s">
        <v>1424</v>
      </c>
      <c r="H207" s="15" t="s">
        <v>66</v>
      </c>
      <c r="I207" s="17" t="s">
        <v>1857</v>
      </c>
      <c r="J207" s="18" t="s">
        <v>1858</v>
      </c>
      <c r="K207" s="17" t="s">
        <v>1859</v>
      </c>
      <c r="L207" s="19" t="s">
        <v>1860</v>
      </c>
      <c r="M207" s="20" t="s">
        <v>39</v>
      </c>
      <c r="N207" s="21" t="s">
        <v>1861</v>
      </c>
      <c r="O207" s="21" t="s">
        <v>1862</v>
      </c>
      <c r="P207" s="21" t="s">
        <v>1863</v>
      </c>
      <c r="Q207" s="44" t="s">
        <v>1864</v>
      </c>
      <c r="R207" s="21">
        <v>20011.0</v>
      </c>
      <c r="S207" s="21" t="s">
        <v>59</v>
      </c>
      <c r="T207" s="29">
        <v>2.022438442E9</v>
      </c>
      <c r="U207" s="21">
        <v>1.0</v>
      </c>
      <c r="V207" s="21">
        <v>0.0</v>
      </c>
      <c r="W207" s="21">
        <f t="shared" si="4"/>
        <v>1</v>
      </c>
      <c r="X207" s="21" t="s">
        <v>46</v>
      </c>
      <c r="Y207" s="21" t="s">
        <v>47</v>
      </c>
      <c r="Z207" s="22" t="s">
        <v>48</v>
      </c>
      <c r="AA207" s="22" t="s">
        <v>1865</v>
      </c>
      <c r="AB207" s="21" t="s">
        <v>63</v>
      </c>
      <c r="AC207" s="21">
        <v>12.0</v>
      </c>
      <c r="AD207" s="22" t="s">
        <v>1866</v>
      </c>
      <c r="AE207" s="25"/>
      <c r="AF207" s="12"/>
      <c r="AG207" s="12"/>
      <c r="AH207" s="12"/>
      <c r="AI207" s="12"/>
      <c r="AJ207" s="12"/>
      <c r="AK207" s="12"/>
    </row>
    <row r="208">
      <c r="A208" s="34">
        <v>45621.348395416666</v>
      </c>
      <c r="B208" s="14">
        <f t="shared" si="1"/>
        <v>45621</v>
      </c>
      <c r="C208" s="15" t="s">
        <v>31</v>
      </c>
      <c r="D208" s="30" t="s">
        <v>1867</v>
      </c>
      <c r="E208" s="15" t="str">
        <f t="shared" si="15"/>
        <v>Eric Copeland</v>
      </c>
      <c r="F208" s="16" t="str">
        <f t="shared" si="13"/>
        <v>(202) 503-4214</v>
      </c>
      <c r="G208" s="30" t="s">
        <v>1868</v>
      </c>
      <c r="H208" s="40" t="s">
        <v>66</v>
      </c>
      <c r="I208" s="17" t="s">
        <v>1869</v>
      </c>
      <c r="J208" s="18" t="s">
        <v>1870</v>
      </c>
      <c r="K208" s="17" t="s">
        <v>1871</v>
      </c>
      <c r="L208" s="19" t="s">
        <v>1872</v>
      </c>
      <c r="M208" s="20" t="s">
        <v>39</v>
      </c>
      <c r="N208" s="21" t="s">
        <v>1061</v>
      </c>
      <c r="O208" s="21" t="s">
        <v>1873</v>
      </c>
      <c r="P208" s="21" t="s">
        <v>1874</v>
      </c>
      <c r="Q208" s="21">
        <v>104.0</v>
      </c>
      <c r="R208" s="21">
        <v>20003.0</v>
      </c>
      <c r="S208" s="21" t="s">
        <v>44</v>
      </c>
      <c r="T208" s="29" t="s">
        <v>1875</v>
      </c>
      <c r="U208" s="21">
        <v>1.0</v>
      </c>
      <c r="V208" s="21">
        <v>0.0</v>
      </c>
      <c r="W208" s="21">
        <f t="shared" si="4"/>
        <v>1</v>
      </c>
      <c r="X208" s="21" t="s">
        <v>46</v>
      </c>
      <c r="Y208" s="21" t="s">
        <v>85</v>
      </c>
      <c r="Z208" s="22" t="s">
        <v>187</v>
      </c>
      <c r="AA208" s="22" t="s">
        <v>1876</v>
      </c>
      <c r="AB208" s="21" t="s">
        <v>49</v>
      </c>
      <c r="AC208" s="21">
        <v>6.0</v>
      </c>
      <c r="AD208" s="22" t="s">
        <v>1877</v>
      </c>
      <c r="AE208" s="25"/>
      <c r="AF208" s="12"/>
      <c r="AG208" s="12"/>
      <c r="AH208" s="12"/>
      <c r="AI208" s="12"/>
      <c r="AJ208" s="12"/>
      <c r="AK208" s="12"/>
    </row>
    <row r="209">
      <c r="A209" s="34">
        <v>45621.65710438657</v>
      </c>
      <c r="B209" s="14">
        <f t="shared" si="1"/>
        <v>45621</v>
      </c>
      <c r="C209" s="15" t="s">
        <v>327</v>
      </c>
      <c r="D209" s="30" t="s">
        <v>1878</v>
      </c>
      <c r="E209" s="15" t="str">
        <f t="shared" si="15"/>
        <v>Melanie Scott</v>
      </c>
      <c r="F209" s="16">
        <f t="shared" si="13"/>
        <v>2022093375</v>
      </c>
      <c r="G209" s="30" t="s">
        <v>1424</v>
      </c>
      <c r="H209" s="40" t="s">
        <v>103</v>
      </c>
      <c r="I209" s="17" t="s">
        <v>620</v>
      </c>
      <c r="J209" s="18" t="s">
        <v>621</v>
      </c>
      <c r="K209" s="17" t="s">
        <v>622</v>
      </c>
      <c r="L209" s="19">
        <v>2.024602675E9</v>
      </c>
      <c r="M209" s="20" t="s">
        <v>39</v>
      </c>
      <c r="N209" s="21" t="s">
        <v>1879</v>
      </c>
      <c r="O209" s="21" t="s">
        <v>1815</v>
      </c>
      <c r="P209" s="21" t="s">
        <v>1880</v>
      </c>
      <c r="Q209" s="21">
        <v>104.0</v>
      </c>
      <c r="R209" s="21">
        <v>20018.0</v>
      </c>
      <c r="S209" s="21" t="s">
        <v>74</v>
      </c>
      <c r="T209" s="29">
        <v>2.022093375E9</v>
      </c>
      <c r="U209" s="21">
        <v>1.0</v>
      </c>
      <c r="V209" s="21">
        <v>2.0</v>
      </c>
      <c r="W209" s="21">
        <f t="shared" si="4"/>
        <v>3</v>
      </c>
      <c r="X209" s="21" t="s">
        <v>46</v>
      </c>
      <c r="Y209" s="21" t="s">
        <v>85</v>
      </c>
      <c r="Z209" s="22" t="s">
        <v>1881</v>
      </c>
      <c r="AA209" s="22" t="s">
        <v>1882</v>
      </c>
      <c r="AB209" s="21" t="s">
        <v>49</v>
      </c>
      <c r="AC209" s="21">
        <v>12.0</v>
      </c>
      <c r="AD209" s="22" t="s">
        <v>1883</v>
      </c>
      <c r="AE209" s="25"/>
      <c r="AF209" s="12"/>
      <c r="AG209" s="12"/>
      <c r="AH209" s="12"/>
      <c r="AI209" s="12"/>
      <c r="AJ209" s="12"/>
      <c r="AK209" s="12"/>
    </row>
    <row r="210">
      <c r="A210" s="34">
        <v>45630.682445625</v>
      </c>
      <c r="B210" s="14">
        <f t="shared" si="1"/>
        <v>45630</v>
      </c>
      <c r="C210" s="15" t="s">
        <v>327</v>
      </c>
      <c r="D210" s="30" t="s">
        <v>1884</v>
      </c>
      <c r="E210" s="15" t="str">
        <f t="shared" si="15"/>
        <v>Steed Yoness</v>
      </c>
      <c r="F210" s="16" t="str">
        <f t="shared" si="13"/>
        <v>(240) 618-4123</v>
      </c>
      <c r="G210" s="30" t="s">
        <v>1885</v>
      </c>
      <c r="H210" s="40" t="s">
        <v>34</v>
      </c>
      <c r="I210" s="17" t="s">
        <v>285</v>
      </c>
      <c r="J210" s="18" t="s">
        <v>851</v>
      </c>
      <c r="K210" s="17" t="s">
        <v>762</v>
      </c>
      <c r="L210" s="19" t="s">
        <v>852</v>
      </c>
      <c r="M210" s="20" t="s">
        <v>39</v>
      </c>
      <c r="N210" s="21" t="s">
        <v>1886</v>
      </c>
      <c r="O210" s="21" t="s">
        <v>1887</v>
      </c>
      <c r="P210" s="21" t="s">
        <v>1888</v>
      </c>
      <c r="Q210" s="21" t="s">
        <v>1436</v>
      </c>
      <c r="R210" s="21">
        <v>20002.0</v>
      </c>
      <c r="S210" s="21" t="s">
        <v>74</v>
      </c>
      <c r="T210" s="29" t="s">
        <v>1889</v>
      </c>
      <c r="U210" s="21">
        <v>1.0</v>
      </c>
      <c r="V210" s="21">
        <v>0.0</v>
      </c>
      <c r="W210" s="21">
        <f t="shared" si="4"/>
        <v>1</v>
      </c>
      <c r="X210" s="21" t="s">
        <v>46</v>
      </c>
      <c r="Y210" s="21" t="s">
        <v>47</v>
      </c>
      <c r="Z210" s="22" t="s">
        <v>48</v>
      </c>
      <c r="AA210" s="22" t="s">
        <v>1890</v>
      </c>
      <c r="AB210" s="21" t="s">
        <v>145</v>
      </c>
      <c r="AC210" s="21">
        <v>3.0</v>
      </c>
      <c r="AD210" s="22" t="s">
        <v>1891</v>
      </c>
      <c r="AE210" s="25"/>
      <c r="AF210" s="12"/>
      <c r="AG210" s="12"/>
      <c r="AH210" s="12"/>
      <c r="AI210" s="12"/>
      <c r="AJ210" s="12"/>
      <c r="AK210" s="12"/>
    </row>
    <row r="211">
      <c r="A211" s="34">
        <v>45636.66481047454</v>
      </c>
      <c r="B211" s="14">
        <f t="shared" si="1"/>
        <v>45636</v>
      </c>
      <c r="C211" s="15" t="s">
        <v>31</v>
      </c>
      <c r="D211" s="30" t="s">
        <v>1522</v>
      </c>
      <c r="E211" s="15" t="str">
        <f t="shared" si="15"/>
        <v>Farangiz Goolfamsoorkhabi</v>
      </c>
      <c r="F211" s="16" t="str">
        <f t="shared" si="13"/>
        <v>(202) 500-5126</v>
      </c>
      <c r="G211" s="30" t="s">
        <v>1892</v>
      </c>
      <c r="H211" s="40" t="s">
        <v>66</v>
      </c>
      <c r="I211" s="17" t="s">
        <v>1893</v>
      </c>
      <c r="J211" s="18" t="s">
        <v>1894</v>
      </c>
      <c r="K211" s="17" t="s">
        <v>1104</v>
      </c>
      <c r="L211" s="19" t="s">
        <v>1895</v>
      </c>
      <c r="M211" s="20" t="s">
        <v>39</v>
      </c>
      <c r="N211" s="21" t="s">
        <v>1896</v>
      </c>
      <c r="O211" s="21" t="s">
        <v>1897</v>
      </c>
      <c r="P211" s="21" t="s">
        <v>1898</v>
      </c>
      <c r="Q211" s="21">
        <v>9.0</v>
      </c>
      <c r="R211" s="21">
        <v>20002.0</v>
      </c>
      <c r="S211" s="21" t="s">
        <v>74</v>
      </c>
      <c r="T211" s="29" t="s">
        <v>1899</v>
      </c>
      <c r="U211" s="21">
        <v>3.0</v>
      </c>
      <c r="V211" s="21">
        <v>1.0</v>
      </c>
      <c r="W211" s="21">
        <f t="shared" si="4"/>
        <v>4</v>
      </c>
      <c r="X211" s="21" t="s">
        <v>84</v>
      </c>
      <c r="Y211" s="21" t="s">
        <v>47</v>
      </c>
      <c r="Z211" s="22" t="s">
        <v>756</v>
      </c>
      <c r="AA211" s="22" t="s">
        <v>1900</v>
      </c>
      <c r="AB211" s="21" t="s">
        <v>49</v>
      </c>
      <c r="AC211" s="21" t="s">
        <v>1901</v>
      </c>
      <c r="AD211" s="22" t="s">
        <v>1902</v>
      </c>
      <c r="AE211" s="25"/>
      <c r="AF211" s="12"/>
      <c r="AG211" s="12"/>
      <c r="AH211" s="12"/>
      <c r="AI211" s="12"/>
      <c r="AJ211" s="12"/>
      <c r="AK211" s="12"/>
    </row>
    <row r="212">
      <c r="A212" s="34">
        <v>45637.505454375</v>
      </c>
      <c r="B212" s="14">
        <f t="shared" si="1"/>
        <v>45637</v>
      </c>
      <c r="C212" s="15" t="s">
        <v>327</v>
      </c>
      <c r="D212" s="30" t="s">
        <v>1903</v>
      </c>
      <c r="E212" s="15" t="str">
        <f t="shared" si="15"/>
        <v>Ma'Shaila Darby</v>
      </c>
      <c r="F212" s="16" t="str">
        <f t="shared" si="13"/>
        <v>(202) 537-0599</v>
      </c>
      <c r="G212" s="15" t="s">
        <v>1904</v>
      </c>
      <c r="H212" s="40" t="s">
        <v>34</v>
      </c>
      <c r="I212" s="17" t="s">
        <v>1905</v>
      </c>
      <c r="J212" s="18" t="s">
        <v>1906</v>
      </c>
      <c r="K212" s="17" t="s">
        <v>1406</v>
      </c>
      <c r="L212" s="19">
        <v>2.022818731E9</v>
      </c>
      <c r="M212" s="20" t="s">
        <v>39</v>
      </c>
      <c r="N212" s="21" t="s">
        <v>1907</v>
      </c>
      <c r="O212" s="21" t="s">
        <v>1908</v>
      </c>
      <c r="P212" s="21" t="s">
        <v>1909</v>
      </c>
      <c r="Q212" s="21">
        <v>935.0</v>
      </c>
      <c r="R212" s="21">
        <v>20016.0</v>
      </c>
      <c r="S212" s="21" t="s">
        <v>59</v>
      </c>
      <c r="T212" s="29" t="s">
        <v>1910</v>
      </c>
      <c r="U212" s="21">
        <v>1.0</v>
      </c>
      <c r="V212" s="21">
        <v>3.0</v>
      </c>
      <c r="W212" s="21">
        <f t="shared" si="4"/>
        <v>4</v>
      </c>
      <c r="X212" s="21" t="s">
        <v>46</v>
      </c>
      <c r="Y212" s="21" t="s">
        <v>85</v>
      </c>
      <c r="Z212" s="22" t="s">
        <v>665</v>
      </c>
      <c r="AA212" s="22" t="s">
        <v>1911</v>
      </c>
      <c r="AB212" s="21" t="s">
        <v>145</v>
      </c>
      <c r="AC212" s="21">
        <v>6.0</v>
      </c>
      <c r="AD212" s="22" t="s">
        <v>1912</v>
      </c>
      <c r="AE212" s="25"/>
      <c r="AF212" s="12"/>
      <c r="AG212" s="12"/>
      <c r="AH212" s="12"/>
      <c r="AI212" s="12"/>
      <c r="AJ212" s="12"/>
      <c r="AK212" s="12"/>
    </row>
    <row r="213">
      <c r="A213" s="34">
        <v>45637.51016230324</v>
      </c>
      <c r="B213" s="14">
        <f t="shared" si="1"/>
        <v>45637</v>
      </c>
      <c r="C213" s="15" t="s">
        <v>327</v>
      </c>
      <c r="D213" s="30" t="s">
        <v>1913</v>
      </c>
      <c r="E213" s="15" t="str">
        <f t="shared" si="15"/>
        <v>Ayanna Marshall</v>
      </c>
      <c r="F213" s="16">
        <f t="shared" si="13"/>
        <v>2029407290</v>
      </c>
      <c r="G213" s="30" t="s">
        <v>1424</v>
      </c>
      <c r="H213" s="40" t="s">
        <v>66</v>
      </c>
      <c r="I213" s="17" t="s">
        <v>1905</v>
      </c>
      <c r="J213" s="18" t="s">
        <v>1906</v>
      </c>
      <c r="K213" s="17" t="s">
        <v>1914</v>
      </c>
      <c r="L213" s="19">
        <v>2.022818731E9</v>
      </c>
      <c r="M213" s="20" t="s">
        <v>39</v>
      </c>
      <c r="N213" s="21" t="s">
        <v>1915</v>
      </c>
      <c r="O213" s="21" t="s">
        <v>1916</v>
      </c>
      <c r="P213" s="21" t="s">
        <v>1917</v>
      </c>
      <c r="Q213" s="21">
        <v>102.0</v>
      </c>
      <c r="R213" s="21">
        <v>20032.0</v>
      </c>
      <c r="S213" s="21" t="s">
        <v>44</v>
      </c>
      <c r="T213" s="29">
        <v>2.02940729E9</v>
      </c>
      <c r="U213" s="21">
        <v>1.0</v>
      </c>
      <c r="V213" s="21">
        <v>3.0</v>
      </c>
      <c r="W213" s="21">
        <f t="shared" si="4"/>
        <v>4</v>
      </c>
      <c r="X213" s="21" t="s">
        <v>46</v>
      </c>
      <c r="Y213" s="21" t="s">
        <v>85</v>
      </c>
      <c r="Z213" s="22" t="s">
        <v>48</v>
      </c>
      <c r="AA213" s="22" t="s">
        <v>1918</v>
      </c>
      <c r="AB213" s="21" t="s">
        <v>49</v>
      </c>
      <c r="AC213" s="21">
        <v>3.0</v>
      </c>
      <c r="AD213" s="22" t="s">
        <v>1919</v>
      </c>
      <c r="AE213" s="25"/>
      <c r="AF213" s="12"/>
      <c r="AG213" s="12"/>
      <c r="AH213" s="12"/>
      <c r="AI213" s="12"/>
      <c r="AJ213" s="12"/>
      <c r="AK213" s="12"/>
    </row>
    <row r="214">
      <c r="A214" s="34">
        <v>45638.43973105324</v>
      </c>
      <c r="B214" s="14">
        <f t="shared" si="1"/>
        <v>45638</v>
      </c>
      <c r="C214" s="15" t="s">
        <v>327</v>
      </c>
      <c r="D214" s="30" t="s">
        <v>1920</v>
      </c>
      <c r="E214" s="15" t="str">
        <f t="shared" si="15"/>
        <v>Angela Peek</v>
      </c>
      <c r="F214" s="16" t="str">
        <f t="shared" si="13"/>
        <v>(202) 274-0647</v>
      </c>
      <c r="G214" s="30" t="s">
        <v>1424</v>
      </c>
      <c r="H214" s="40" t="s">
        <v>66</v>
      </c>
      <c r="I214" s="17" t="s">
        <v>1921</v>
      </c>
      <c r="J214" s="18" t="s">
        <v>1922</v>
      </c>
      <c r="K214" s="17" t="s">
        <v>1923</v>
      </c>
      <c r="L214" s="19" t="s">
        <v>1924</v>
      </c>
      <c r="M214" s="20" t="s">
        <v>39</v>
      </c>
      <c r="N214" s="21" t="s">
        <v>1925</v>
      </c>
      <c r="O214" s="21" t="s">
        <v>1926</v>
      </c>
      <c r="P214" s="21" t="s">
        <v>1927</v>
      </c>
      <c r="Q214" s="21" t="s">
        <v>1928</v>
      </c>
      <c r="R214" s="21">
        <v>20002.0</v>
      </c>
      <c r="S214" s="21" t="s">
        <v>74</v>
      </c>
      <c r="T214" s="29" t="s">
        <v>1929</v>
      </c>
      <c r="U214" s="21">
        <v>1.0</v>
      </c>
      <c r="V214" s="21">
        <v>1.0</v>
      </c>
      <c r="W214" s="21">
        <f t="shared" si="4"/>
        <v>2</v>
      </c>
      <c r="X214" s="21" t="s">
        <v>46</v>
      </c>
      <c r="Y214" s="21" t="s">
        <v>85</v>
      </c>
      <c r="Z214" s="22" t="s">
        <v>76</v>
      </c>
      <c r="AA214" s="22" t="s">
        <v>1930</v>
      </c>
      <c r="AB214" s="21" t="s">
        <v>49</v>
      </c>
      <c r="AC214" s="21">
        <v>12.0</v>
      </c>
      <c r="AD214" s="22" t="s">
        <v>1931</v>
      </c>
      <c r="AE214" s="25"/>
      <c r="AF214" s="12"/>
      <c r="AG214" s="12"/>
      <c r="AH214" s="12"/>
      <c r="AI214" s="12"/>
      <c r="AJ214" s="12"/>
      <c r="AK214" s="12"/>
    </row>
    <row r="215">
      <c r="A215" s="34">
        <v>45638.528682442135</v>
      </c>
      <c r="B215" s="14">
        <f t="shared" si="1"/>
        <v>45638</v>
      </c>
      <c r="C215" s="15" t="s">
        <v>1932</v>
      </c>
      <c r="D215" s="30" t="s">
        <v>1933</v>
      </c>
      <c r="E215" s="15" t="str">
        <f t="shared" si="15"/>
        <v>June Paige</v>
      </c>
      <c r="F215" s="16">
        <f t="shared" si="13"/>
        <v>2029101309</v>
      </c>
      <c r="G215" s="15" t="s">
        <v>1934</v>
      </c>
      <c r="H215" s="40" t="s">
        <v>66</v>
      </c>
      <c r="I215" s="17" t="s">
        <v>1935</v>
      </c>
      <c r="J215" s="18" t="s">
        <v>1936</v>
      </c>
      <c r="K215" s="17" t="s">
        <v>1937</v>
      </c>
      <c r="L215" s="19" t="s">
        <v>1938</v>
      </c>
      <c r="M215" s="20" t="s">
        <v>39</v>
      </c>
      <c r="N215" s="21" t="s">
        <v>1939</v>
      </c>
      <c r="O215" s="21" t="s">
        <v>1940</v>
      </c>
      <c r="P215" s="21" t="s">
        <v>1941</v>
      </c>
      <c r="Q215" s="21" t="s">
        <v>1942</v>
      </c>
      <c r="R215" s="21">
        <v>20001.0</v>
      </c>
      <c r="S215" s="21" t="s">
        <v>59</v>
      </c>
      <c r="T215" s="29">
        <v>2.029101309E9</v>
      </c>
      <c r="U215" s="21">
        <v>1.0</v>
      </c>
      <c r="V215" s="21">
        <v>1.0</v>
      </c>
      <c r="W215" s="21">
        <f t="shared" si="4"/>
        <v>2</v>
      </c>
      <c r="X215" s="21" t="s">
        <v>46</v>
      </c>
      <c r="Y215" s="21" t="s">
        <v>85</v>
      </c>
      <c r="Z215" s="22" t="s">
        <v>361</v>
      </c>
      <c r="AA215" s="22" t="s">
        <v>1943</v>
      </c>
      <c r="AB215" s="21" t="s">
        <v>49</v>
      </c>
      <c r="AC215" s="21">
        <v>3.0</v>
      </c>
      <c r="AD215" s="22" t="s">
        <v>1944</v>
      </c>
      <c r="AE215" s="25"/>
    </row>
    <row r="216">
      <c r="A216" s="34">
        <v>45642.58862475694</v>
      </c>
      <c r="B216" s="14">
        <f t="shared" si="1"/>
        <v>45642</v>
      </c>
      <c r="C216" s="15" t="s">
        <v>327</v>
      </c>
      <c r="D216" s="15" t="s">
        <v>1945</v>
      </c>
      <c r="E216" s="15" t="str">
        <f t="shared" si="15"/>
        <v>Evangela Adams</v>
      </c>
      <c r="F216" s="16">
        <f t="shared" si="13"/>
        <v>2026573765</v>
      </c>
      <c r="G216" s="15" t="s">
        <v>1946</v>
      </c>
      <c r="H216" s="40" t="s">
        <v>34</v>
      </c>
      <c r="I216" s="17" t="s">
        <v>998</v>
      </c>
      <c r="J216" s="18" t="s">
        <v>999</v>
      </c>
      <c r="K216" s="17" t="s">
        <v>1000</v>
      </c>
      <c r="L216" s="19" t="s">
        <v>1034</v>
      </c>
      <c r="M216" s="20" t="s">
        <v>39</v>
      </c>
      <c r="N216" s="21" t="s">
        <v>1947</v>
      </c>
      <c r="O216" s="21" t="s">
        <v>118</v>
      </c>
      <c r="P216" s="21" t="s">
        <v>1948</v>
      </c>
      <c r="Q216" s="21" t="s">
        <v>889</v>
      </c>
      <c r="R216" s="21">
        <v>20019.0</v>
      </c>
      <c r="S216" s="21" t="s">
        <v>74</v>
      </c>
      <c r="T216" s="29">
        <v>2.026573765E9</v>
      </c>
      <c r="U216" s="21">
        <v>1.0</v>
      </c>
      <c r="V216" s="21">
        <v>7.0</v>
      </c>
      <c r="W216" s="21">
        <f t="shared" si="4"/>
        <v>8</v>
      </c>
      <c r="X216" s="21" t="s">
        <v>46</v>
      </c>
      <c r="Y216" s="21" t="s">
        <v>85</v>
      </c>
      <c r="Z216" s="22" t="s">
        <v>570</v>
      </c>
      <c r="AA216" s="22" t="s">
        <v>1949</v>
      </c>
      <c r="AB216" s="21" t="s">
        <v>145</v>
      </c>
      <c r="AC216" s="21">
        <v>3.0</v>
      </c>
      <c r="AD216" s="22" t="s">
        <v>1950</v>
      </c>
      <c r="AE216" s="25"/>
    </row>
    <row r="217">
      <c r="A217" s="34">
        <v>45642.73787604166</v>
      </c>
      <c r="B217" s="14">
        <f t="shared" si="1"/>
        <v>45642</v>
      </c>
      <c r="C217" s="15" t="s">
        <v>643</v>
      </c>
      <c r="D217" s="15" t="s">
        <v>1951</v>
      </c>
      <c r="E217" s="15" t="str">
        <f t="shared" si="15"/>
        <v>Anderson Betancourt</v>
      </c>
      <c r="F217" s="16">
        <f t="shared" si="13"/>
        <v>2028785077</v>
      </c>
      <c r="G217" s="15" t="s">
        <v>1952</v>
      </c>
      <c r="H217" s="40" t="s">
        <v>646</v>
      </c>
      <c r="I217" s="17" t="s">
        <v>1953</v>
      </c>
      <c r="J217" s="18" t="s">
        <v>841</v>
      </c>
      <c r="K217" s="17" t="s">
        <v>150</v>
      </c>
      <c r="L217" s="19">
        <v>2.029859505E9</v>
      </c>
      <c r="M217" s="20" t="s">
        <v>39</v>
      </c>
      <c r="N217" s="21" t="s">
        <v>991</v>
      </c>
      <c r="O217" s="21" t="s">
        <v>1954</v>
      </c>
      <c r="P217" s="21" t="s">
        <v>1955</v>
      </c>
      <c r="Q217" s="21">
        <v>106.0</v>
      </c>
      <c r="R217" s="21">
        <v>20020.0</v>
      </c>
      <c r="S217" s="21" t="s">
        <v>44</v>
      </c>
      <c r="T217" s="29">
        <v>2.028785077E9</v>
      </c>
      <c r="U217" s="21">
        <v>4.0</v>
      </c>
      <c r="V217" s="21">
        <v>4.0</v>
      </c>
      <c r="W217" s="21">
        <f t="shared" si="4"/>
        <v>8</v>
      </c>
      <c r="X217" s="21" t="s">
        <v>46</v>
      </c>
      <c r="Y217" s="21" t="s">
        <v>47</v>
      </c>
      <c r="Z217" s="22" t="s">
        <v>1956</v>
      </c>
      <c r="AA217" s="22" t="s">
        <v>1957</v>
      </c>
      <c r="AB217" s="21" t="s">
        <v>1958</v>
      </c>
      <c r="AC217" s="21">
        <v>2.0</v>
      </c>
      <c r="AD217" s="22" t="s">
        <v>1959</v>
      </c>
      <c r="AE217" s="25"/>
    </row>
    <row r="218">
      <c r="A218" s="34">
        <v>45643.36742597222</v>
      </c>
      <c r="B218" s="14">
        <f t="shared" si="1"/>
        <v>45643</v>
      </c>
      <c r="C218" s="15" t="s">
        <v>31</v>
      </c>
      <c r="D218" s="15" t="s">
        <v>1960</v>
      </c>
      <c r="E218" s="15" t="str">
        <f t="shared" si="15"/>
        <v>Joseph Blue</v>
      </c>
      <c r="F218" s="16" t="str">
        <f t="shared" si="13"/>
        <v>(917) 518-3004</v>
      </c>
      <c r="G218" s="15" t="s">
        <v>1961</v>
      </c>
      <c r="H218" s="40" t="s">
        <v>66</v>
      </c>
      <c r="I218" s="17" t="s">
        <v>1962</v>
      </c>
      <c r="J218" s="18" t="s">
        <v>1963</v>
      </c>
      <c r="K218" s="17" t="s">
        <v>1964</v>
      </c>
      <c r="L218" s="19" t="s">
        <v>1965</v>
      </c>
      <c r="M218" s="20" t="s">
        <v>39</v>
      </c>
      <c r="N218" s="21" t="s">
        <v>387</v>
      </c>
      <c r="O218" s="21" t="s">
        <v>1966</v>
      </c>
      <c r="P218" s="21" t="s">
        <v>1967</v>
      </c>
      <c r="Q218" s="28"/>
      <c r="R218" s="21">
        <v>20017.0</v>
      </c>
      <c r="S218" s="21" t="s">
        <v>74</v>
      </c>
      <c r="T218" s="29" t="s">
        <v>1968</v>
      </c>
      <c r="U218" s="21">
        <v>1.0</v>
      </c>
      <c r="V218" s="21">
        <v>0.0</v>
      </c>
      <c r="W218" s="21">
        <f t="shared" si="4"/>
        <v>1</v>
      </c>
      <c r="X218" s="21" t="s">
        <v>84</v>
      </c>
      <c r="Y218" s="21" t="s">
        <v>47</v>
      </c>
      <c r="Z218" s="22" t="s">
        <v>1969</v>
      </c>
      <c r="AA218" s="22" t="s">
        <v>1970</v>
      </c>
      <c r="AB218" s="21" t="s">
        <v>145</v>
      </c>
      <c r="AC218" s="21">
        <v>4.0</v>
      </c>
      <c r="AD218" s="22" t="s">
        <v>1971</v>
      </c>
      <c r="AE218" s="25"/>
      <c r="AF218" s="12"/>
      <c r="AG218" s="12"/>
      <c r="AH218" s="12"/>
      <c r="AI218" s="12"/>
      <c r="AJ218" s="12"/>
      <c r="AK218" s="12"/>
    </row>
    <row r="219">
      <c r="A219" s="34">
        <v>45644.45944619213</v>
      </c>
      <c r="B219" s="14">
        <f t="shared" si="1"/>
        <v>45644</v>
      </c>
      <c r="C219" s="15" t="s">
        <v>643</v>
      </c>
      <c r="D219" s="15" t="s">
        <v>1972</v>
      </c>
      <c r="E219" s="15" t="str">
        <f t="shared" si="15"/>
        <v>Ana Sanchez</v>
      </c>
      <c r="F219" s="16">
        <f t="shared" si="13"/>
        <v>2402344711</v>
      </c>
      <c r="G219" s="15" t="s">
        <v>1952</v>
      </c>
      <c r="H219" s="40" t="s">
        <v>646</v>
      </c>
      <c r="I219" s="17" t="s">
        <v>1893</v>
      </c>
      <c r="J219" s="18" t="s">
        <v>1894</v>
      </c>
      <c r="K219" s="17" t="s">
        <v>1104</v>
      </c>
      <c r="L219" s="19" t="s">
        <v>1895</v>
      </c>
      <c r="M219" s="20" t="s">
        <v>39</v>
      </c>
      <c r="N219" s="21" t="s">
        <v>1973</v>
      </c>
      <c r="O219" s="21" t="s">
        <v>1974</v>
      </c>
      <c r="P219" s="21" t="s">
        <v>1975</v>
      </c>
      <c r="Q219" s="21" t="s">
        <v>1976</v>
      </c>
      <c r="R219" s="21">
        <v>20011.0</v>
      </c>
      <c r="S219" s="21" t="s">
        <v>59</v>
      </c>
      <c r="T219" s="29">
        <v>2.402344711E9</v>
      </c>
      <c r="U219" s="21">
        <v>1.0</v>
      </c>
      <c r="V219" s="21">
        <v>0.0</v>
      </c>
      <c r="W219" s="21">
        <f t="shared" si="4"/>
        <v>1</v>
      </c>
      <c r="X219" s="21" t="s">
        <v>46</v>
      </c>
      <c r="Y219" s="21" t="s">
        <v>47</v>
      </c>
      <c r="Z219" s="22" t="s">
        <v>122</v>
      </c>
      <c r="AA219" s="22" t="s">
        <v>1977</v>
      </c>
      <c r="AB219" s="21" t="s">
        <v>49</v>
      </c>
      <c r="AC219" s="21" t="s">
        <v>1978</v>
      </c>
      <c r="AD219" s="22" t="s">
        <v>1979</v>
      </c>
      <c r="AE219" s="25"/>
      <c r="AF219" s="12"/>
      <c r="AG219" s="12"/>
      <c r="AH219" s="12"/>
      <c r="AI219" s="12"/>
      <c r="AJ219" s="12"/>
      <c r="AK219" s="12"/>
    </row>
    <row r="220">
      <c r="A220" s="34">
        <v>45646.39164108796</v>
      </c>
      <c r="B220" s="14">
        <f t="shared" si="1"/>
        <v>45646</v>
      </c>
      <c r="C220" s="15" t="s">
        <v>31</v>
      </c>
      <c r="D220" s="15" t="s">
        <v>1980</v>
      </c>
      <c r="E220" s="15" t="str">
        <f t="shared" si="15"/>
        <v>Brenda Jenkins</v>
      </c>
      <c r="F220" s="45">
        <v>2.025829004E9</v>
      </c>
      <c r="G220" s="15" t="s">
        <v>1981</v>
      </c>
      <c r="H220" s="15" t="s">
        <v>66</v>
      </c>
      <c r="I220" s="17" t="s">
        <v>1982</v>
      </c>
      <c r="J220" s="18" t="s">
        <v>1983</v>
      </c>
      <c r="K220" s="17" t="s">
        <v>1859</v>
      </c>
      <c r="L220" s="19" t="s">
        <v>1984</v>
      </c>
      <c r="M220" s="20" t="s">
        <v>39</v>
      </c>
      <c r="N220" s="21" t="s">
        <v>1985</v>
      </c>
      <c r="O220" s="21" t="s">
        <v>1028</v>
      </c>
      <c r="P220" s="21" t="s">
        <v>1986</v>
      </c>
      <c r="Q220" s="21" t="s">
        <v>1987</v>
      </c>
      <c r="R220" s="21">
        <v>20024.0</v>
      </c>
      <c r="S220" s="21" t="s">
        <v>562</v>
      </c>
      <c r="T220" s="29" t="s">
        <v>1988</v>
      </c>
      <c r="U220" s="21">
        <v>1.0</v>
      </c>
      <c r="V220" s="21">
        <v>0.0</v>
      </c>
      <c r="W220" s="21">
        <f t="shared" si="4"/>
        <v>1</v>
      </c>
      <c r="X220" s="21" t="s">
        <v>46</v>
      </c>
      <c r="Y220" s="21" t="s">
        <v>85</v>
      </c>
      <c r="Z220" s="22" t="s">
        <v>48</v>
      </c>
      <c r="AA220" s="22" t="s">
        <v>1989</v>
      </c>
      <c r="AB220" s="21" t="s">
        <v>49</v>
      </c>
      <c r="AC220" s="21">
        <v>6.0</v>
      </c>
      <c r="AD220" s="22" t="s">
        <v>1901</v>
      </c>
      <c r="AE220" s="25"/>
      <c r="AF220" s="12"/>
      <c r="AG220" s="12"/>
      <c r="AH220" s="12"/>
      <c r="AI220" s="12"/>
      <c r="AJ220" s="12"/>
      <c r="AK220" s="12"/>
    </row>
    <row r="221">
      <c r="A221" s="34">
        <v>45649.38712085648</v>
      </c>
      <c r="B221" s="14">
        <f t="shared" si="1"/>
        <v>45649</v>
      </c>
      <c r="C221" s="15" t="s">
        <v>327</v>
      </c>
      <c r="D221" s="15" t="s">
        <v>1990</v>
      </c>
      <c r="E221" s="15" t="str">
        <f t="shared" si="15"/>
        <v>Sherri Shedon</v>
      </c>
      <c r="F221" s="16" t="str">
        <f t="shared" ref="F221:F249" si="16">T221</f>
        <v>(301) 643-3890</v>
      </c>
      <c r="G221" s="15" t="s">
        <v>1991</v>
      </c>
      <c r="H221" s="40" t="s">
        <v>356</v>
      </c>
      <c r="I221" s="17" t="s">
        <v>1992</v>
      </c>
      <c r="J221" s="18" t="s">
        <v>1993</v>
      </c>
      <c r="K221" s="17" t="s">
        <v>1994</v>
      </c>
      <c r="L221" s="19">
        <v>2.027680934E9</v>
      </c>
      <c r="M221" s="20" t="s">
        <v>39</v>
      </c>
      <c r="N221" s="21" t="s">
        <v>1995</v>
      </c>
      <c r="O221" s="21" t="s">
        <v>1996</v>
      </c>
      <c r="P221" s="21" t="s">
        <v>1997</v>
      </c>
      <c r="Q221" s="28"/>
      <c r="R221" s="21">
        <v>20009.0</v>
      </c>
      <c r="S221" s="21" t="s">
        <v>59</v>
      </c>
      <c r="T221" s="29" t="s">
        <v>1998</v>
      </c>
      <c r="U221" s="21">
        <v>1.0</v>
      </c>
      <c r="V221" s="21">
        <v>0.0</v>
      </c>
      <c r="W221" s="21">
        <f t="shared" si="4"/>
        <v>1</v>
      </c>
      <c r="X221" s="21" t="s">
        <v>46</v>
      </c>
      <c r="Y221" s="21" t="s">
        <v>47</v>
      </c>
      <c r="Z221" s="22" t="s">
        <v>48</v>
      </c>
      <c r="AA221" s="22" t="s">
        <v>1999</v>
      </c>
      <c r="AB221" s="21" t="s">
        <v>145</v>
      </c>
      <c r="AC221" s="21">
        <v>12.0</v>
      </c>
      <c r="AD221" s="22" t="s">
        <v>2000</v>
      </c>
      <c r="AE221" s="25"/>
      <c r="AF221" s="12"/>
      <c r="AG221" s="12"/>
      <c r="AH221" s="12"/>
      <c r="AI221" s="12"/>
      <c r="AJ221" s="12"/>
      <c r="AK221" s="12"/>
    </row>
    <row r="222">
      <c r="A222" s="34">
        <v>45649.464887905095</v>
      </c>
      <c r="B222" s="14">
        <f t="shared" si="1"/>
        <v>45649</v>
      </c>
      <c r="C222" s="15" t="s">
        <v>327</v>
      </c>
      <c r="D222" s="15" t="s">
        <v>2001</v>
      </c>
      <c r="E222" s="15" t="str">
        <f t="shared" si="15"/>
        <v>Aaron Doughty</v>
      </c>
      <c r="F222" s="16" t="str">
        <f t="shared" si="16"/>
        <v>(202) 971-0534</v>
      </c>
      <c r="G222" s="15" t="s">
        <v>1424</v>
      </c>
      <c r="H222" s="40" t="s">
        <v>66</v>
      </c>
      <c r="I222" s="17" t="s">
        <v>1905</v>
      </c>
      <c r="J222" s="18" t="s">
        <v>1906</v>
      </c>
      <c r="K222" s="17" t="s">
        <v>399</v>
      </c>
      <c r="L222" s="19">
        <v>2.022818731E9</v>
      </c>
      <c r="M222" s="20" t="s">
        <v>39</v>
      </c>
      <c r="N222" s="21" t="s">
        <v>2002</v>
      </c>
      <c r="O222" s="21" t="s">
        <v>2003</v>
      </c>
      <c r="P222" s="21" t="s">
        <v>2004</v>
      </c>
      <c r="Q222" s="28"/>
      <c r="R222" s="21">
        <v>20020.0</v>
      </c>
      <c r="S222" s="21" t="s">
        <v>44</v>
      </c>
      <c r="T222" s="29" t="s">
        <v>2005</v>
      </c>
      <c r="U222" s="21">
        <v>1.0</v>
      </c>
      <c r="V222" s="21">
        <v>2.0</v>
      </c>
      <c r="W222" s="21">
        <f t="shared" si="4"/>
        <v>3</v>
      </c>
      <c r="X222" s="21" t="s">
        <v>46</v>
      </c>
      <c r="Y222" s="21" t="s">
        <v>85</v>
      </c>
      <c r="Z222" s="22" t="s">
        <v>48</v>
      </c>
      <c r="AA222" s="22" t="s">
        <v>2006</v>
      </c>
      <c r="AB222" s="21" t="s">
        <v>145</v>
      </c>
      <c r="AC222" s="21">
        <v>6.0</v>
      </c>
      <c r="AD222" s="22" t="s">
        <v>2007</v>
      </c>
      <c r="AE222" s="25"/>
      <c r="AF222" s="12"/>
      <c r="AG222" s="12"/>
      <c r="AH222" s="12"/>
      <c r="AI222" s="12"/>
      <c r="AJ222" s="12"/>
      <c r="AK222" s="12"/>
    </row>
    <row r="223">
      <c r="A223" s="34">
        <v>45656.71234533565</v>
      </c>
      <c r="B223" s="14">
        <f t="shared" si="1"/>
        <v>45656</v>
      </c>
      <c r="C223" s="15" t="s">
        <v>31</v>
      </c>
      <c r="D223" s="15" t="s">
        <v>2008</v>
      </c>
      <c r="E223" s="15" t="str">
        <f t="shared" si="15"/>
        <v>Kareema Thomas-Montgomery</v>
      </c>
      <c r="F223" s="16">
        <f t="shared" si="16"/>
        <v>2027053462</v>
      </c>
      <c r="G223" s="30" t="s">
        <v>2009</v>
      </c>
      <c r="H223" s="40" t="s">
        <v>103</v>
      </c>
      <c r="I223" s="17" t="s">
        <v>1688</v>
      </c>
      <c r="J223" s="18" t="s">
        <v>2010</v>
      </c>
      <c r="K223" s="17" t="s">
        <v>2011</v>
      </c>
      <c r="L223" s="19">
        <v>2.026032622E9</v>
      </c>
      <c r="M223" s="20" t="s">
        <v>39</v>
      </c>
      <c r="N223" s="21" t="s">
        <v>2012</v>
      </c>
      <c r="O223" s="21" t="s">
        <v>2013</v>
      </c>
      <c r="P223" s="21" t="s">
        <v>2014</v>
      </c>
      <c r="Q223" s="28">
        <v>509.0</v>
      </c>
      <c r="R223" s="21">
        <v>20011.0</v>
      </c>
      <c r="S223" s="21" t="s">
        <v>1176</v>
      </c>
      <c r="T223" s="29">
        <v>2.027053462E9</v>
      </c>
      <c r="U223" s="21">
        <v>1.0</v>
      </c>
      <c r="V223" s="21">
        <v>1.0</v>
      </c>
      <c r="W223" s="21">
        <f t="shared" si="4"/>
        <v>2</v>
      </c>
      <c r="X223" s="21" t="s">
        <v>46</v>
      </c>
      <c r="Y223" s="21" t="s">
        <v>47</v>
      </c>
      <c r="Z223" s="22" t="s">
        <v>236</v>
      </c>
      <c r="AA223" s="22" t="s">
        <v>2015</v>
      </c>
      <c r="AB223" s="21" t="s">
        <v>145</v>
      </c>
      <c r="AC223" s="21">
        <v>12.0</v>
      </c>
      <c r="AD223" s="22" t="s">
        <v>2016</v>
      </c>
      <c r="AE223" s="25"/>
      <c r="AF223" s="12"/>
      <c r="AG223" s="12"/>
      <c r="AH223" s="12"/>
      <c r="AI223" s="12"/>
      <c r="AJ223" s="12"/>
      <c r="AK223" s="12"/>
    </row>
    <row r="224">
      <c r="A224" s="34">
        <v>45659.41823234953</v>
      </c>
      <c r="B224" s="14">
        <f t="shared" si="1"/>
        <v>45659</v>
      </c>
      <c r="C224" s="15" t="s">
        <v>327</v>
      </c>
      <c r="D224" s="15" t="s">
        <v>2017</v>
      </c>
      <c r="E224" s="15" t="str">
        <f t="shared" si="15"/>
        <v>Garland Green</v>
      </c>
      <c r="F224" s="16">
        <f t="shared" si="16"/>
        <v>2028892323</v>
      </c>
      <c r="G224" s="15" t="s">
        <v>2018</v>
      </c>
      <c r="H224" s="40" t="s">
        <v>356</v>
      </c>
      <c r="I224" s="17" t="s">
        <v>2019</v>
      </c>
      <c r="J224" s="18" t="s">
        <v>2020</v>
      </c>
      <c r="K224" s="17" t="s">
        <v>2021</v>
      </c>
      <c r="L224" s="19" t="s">
        <v>2022</v>
      </c>
      <c r="M224" s="20" t="s">
        <v>39</v>
      </c>
      <c r="N224" s="21" t="s">
        <v>1633</v>
      </c>
      <c r="O224" s="21" t="s">
        <v>624</v>
      </c>
      <c r="P224" s="21" t="s">
        <v>2023</v>
      </c>
      <c r="Q224" s="28"/>
      <c r="R224" s="21">
        <v>20007.0</v>
      </c>
      <c r="S224" s="21" t="s">
        <v>59</v>
      </c>
      <c r="T224" s="29">
        <v>2.028892323E9</v>
      </c>
      <c r="U224" s="21">
        <v>1.0</v>
      </c>
      <c r="V224" s="21">
        <v>0.0</v>
      </c>
      <c r="W224" s="21">
        <f t="shared" si="4"/>
        <v>1</v>
      </c>
      <c r="X224" s="21" t="s">
        <v>46</v>
      </c>
      <c r="Y224" s="21" t="s">
        <v>85</v>
      </c>
      <c r="Z224" s="22" t="s">
        <v>76</v>
      </c>
      <c r="AA224" s="22" t="s">
        <v>2024</v>
      </c>
      <c r="AB224" s="21" t="s">
        <v>145</v>
      </c>
      <c r="AC224" s="21">
        <v>12.0</v>
      </c>
      <c r="AD224" s="22" t="s">
        <v>2025</v>
      </c>
      <c r="AE224" s="25"/>
      <c r="AF224" s="12"/>
      <c r="AG224" s="12"/>
      <c r="AH224" s="12"/>
      <c r="AI224" s="12"/>
      <c r="AJ224" s="12"/>
      <c r="AK224" s="12"/>
    </row>
    <row r="225">
      <c r="A225" s="34">
        <v>45659.65880896991</v>
      </c>
      <c r="B225" s="14">
        <f t="shared" si="1"/>
        <v>45659</v>
      </c>
      <c r="C225" s="15" t="s">
        <v>327</v>
      </c>
      <c r="D225" s="46" t="s">
        <v>2026</v>
      </c>
      <c r="E225" s="15" t="str">
        <f t="shared" si="15"/>
        <v>Tekesia Hancock</v>
      </c>
      <c r="F225" s="16">
        <f t="shared" si="16"/>
        <v>3012322949</v>
      </c>
      <c r="G225" s="15" t="s">
        <v>2027</v>
      </c>
      <c r="H225" s="40" t="s">
        <v>66</v>
      </c>
      <c r="I225" s="17" t="s">
        <v>285</v>
      </c>
      <c r="J225" s="18" t="s">
        <v>286</v>
      </c>
      <c r="K225" s="17" t="s">
        <v>762</v>
      </c>
      <c r="L225" s="19" t="s">
        <v>852</v>
      </c>
      <c r="M225" s="20" t="s">
        <v>39</v>
      </c>
      <c r="N225" s="21" t="s">
        <v>2028</v>
      </c>
      <c r="O225" s="21" t="s">
        <v>2029</v>
      </c>
      <c r="P225" s="21" t="s">
        <v>2030</v>
      </c>
      <c r="Q225" s="28"/>
      <c r="R225" s="21">
        <v>20020.0</v>
      </c>
      <c r="S225" s="21" t="s">
        <v>44</v>
      </c>
      <c r="T225" s="29">
        <v>3.012322949E9</v>
      </c>
      <c r="U225" s="21">
        <v>1.0</v>
      </c>
      <c r="V225" s="21">
        <v>0.0</v>
      </c>
      <c r="W225" s="21">
        <f t="shared" si="4"/>
        <v>1</v>
      </c>
      <c r="X225" s="21" t="s">
        <v>46</v>
      </c>
      <c r="Y225" s="21" t="s">
        <v>47</v>
      </c>
      <c r="Z225" s="22" t="s">
        <v>361</v>
      </c>
      <c r="AA225" s="22" t="s">
        <v>2031</v>
      </c>
      <c r="AB225" s="21" t="s">
        <v>145</v>
      </c>
      <c r="AC225" s="21">
        <v>12.0</v>
      </c>
      <c r="AD225" s="22" t="s">
        <v>2032</v>
      </c>
      <c r="AE225" s="25"/>
      <c r="AF225" s="12"/>
      <c r="AG225" s="12"/>
      <c r="AH225" s="12"/>
      <c r="AI225" s="12"/>
      <c r="AJ225" s="12"/>
      <c r="AK225" s="12"/>
    </row>
    <row r="226">
      <c r="A226" s="34">
        <v>45660.5818453588</v>
      </c>
      <c r="B226" s="14">
        <f t="shared" si="1"/>
        <v>45660</v>
      </c>
      <c r="C226" s="15" t="s">
        <v>2033</v>
      </c>
      <c r="D226" s="15" t="s">
        <v>2034</v>
      </c>
      <c r="E226" s="15" t="str">
        <f t="shared" si="15"/>
        <v>Cornelius  Gaskins </v>
      </c>
      <c r="F226" s="16">
        <f t="shared" si="16"/>
        <v>2025719108</v>
      </c>
      <c r="G226" s="15" t="s">
        <v>2035</v>
      </c>
      <c r="H226" s="40" t="s">
        <v>103</v>
      </c>
      <c r="I226" s="17" t="s">
        <v>2036</v>
      </c>
      <c r="J226" s="18" t="s">
        <v>2037</v>
      </c>
      <c r="K226" s="17" t="s">
        <v>777</v>
      </c>
      <c r="L226" s="19">
        <v>2.029324342E9</v>
      </c>
      <c r="M226" s="20" t="s">
        <v>39</v>
      </c>
      <c r="N226" s="21" t="s">
        <v>2038</v>
      </c>
      <c r="O226" s="21" t="s">
        <v>2039</v>
      </c>
      <c r="P226" s="21" t="s">
        <v>2040</v>
      </c>
      <c r="Q226" s="28">
        <v>217.0</v>
      </c>
      <c r="R226" s="21">
        <v>20019.0</v>
      </c>
      <c r="S226" s="21" t="s">
        <v>74</v>
      </c>
      <c r="T226" s="29">
        <v>2.025719108E9</v>
      </c>
      <c r="U226" s="21">
        <v>1.0</v>
      </c>
      <c r="V226" s="21">
        <v>0.0</v>
      </c>
      <c r="W226" s="21">
        <f t="shared" si="4"/>
        <v>1</v>
      </c>
      <c r="X226" s="21" t="s">
        <v>46</v>
      </c>
      <c r="Y226" s="21" t="s">
        <v>47</v>
      </c>
      <c r="Z226" s="22" t="s">
        <v>122</v>
      </c>
      <c r="AA226" s="22" t="s">
        <v>2041</v>
      </c>
      <c r="AB226" s="21" t="s">
        <v>49</v>
      </c>
      <c r="AC226" s="21">
        <v>12.0</v>
      </c>
      <c r="AD226" s="22" t="s">
        <v>2042</v>
      </c>
      <c r="AE226" s="25"/>
    </row>
    <row r="227">
      <c r="A227" s="34">
        <v>45661.73290606482</v>
      </c>
      <c r="B227" s="14">
        <f t="shared" si="1"/>
        <v>45661</v>
      </c>
      <c r="C227" s="15" t="s">
        <v>327</v>
      </c>
      <c r="D227" s="15" t="s">
        <v>2043</v>
      </c>
      <c r="E227" s="15" t="str">
        <f t="shared" si="15"/>
        <v>Maria Chavez</v>
      </c>
      <c r="F227" s="16">
        <f t="shared" si="16"/>
        <v>2026962154</v>
      </c>
      <c r="G227" s="15" t="s">
        <v>2044</v>
      </c>
      <c r="H227" s="40" t="s">
        <v>646</v>
      </c>
      <c r="I227" s="17" t="s">
        <v>1794</v>
      </c>
      <c r="J227" s="18" t="s">
        <v>1795</v>
      </c>
      <c r="K227" s="17" t="s">
        <v>1796</v>
      </c>
      <c r="L227" s="19">
        <v>2.024441357E9</v>
      </c>
      <c r="M227" s="20" t="s">
        <v>39</v>
      </c>
      <c r="N227" s="21" t="s">
        <v>2045</v>
      </c>
      <c r="O227" s="21" t="s">
        <v>2046</v>
      </c>
      <c r="P227" s="21" t="s">
        <v>2047</v>
      </c>
      <c r="Q227" s="28">
        <v>406.0</v>
      </c>
      <c r="R227" s="21">
        <v>20011.0</v>
      </c>
      <c r="S227" s="21" t="s">
        <v>59</v>
      </c>
      <c r="T227" s="29">
        <v>2.026962154E9</v>
      </c>
      <c r="U227" s="21">
        <v>2.0</v>
      </c>
      <c r="V227" s="21">
        <v>1.0</v>
      </c>
      <c r="W227" s="21">
        <f t="shared" si="4"/>
        <v>3</v>
      </c>
      <c r="X227" s="21" t="s">
        <v>46</v>
      </c>
      <c r="Y227" s="21" t="s">
        <v>47</v>
      </c>
      <c r="Z227" s="22" t="s">
        <v>48</v>
      </c>
      <c r="AA227" s="22" t="s">
        <v>2048</v>
      </c>
      <c r="AB227" s="21" t="s">
        <v>49</v>
      </c>
      <c r="AC227" s="21">
        <v>6.0</v>
      </c>
      <c r="AD227" s="22" t="s">
        <v>2049</v>
      </c>
      <c r="AE227" s="25"/>
      <c r="AF227" s="12"/>
      <c r="AG227" s="12"/>
      <c r="AH227" s="12"/>
      <c r="AI227" s="12"/>
      <c r="AJ227" s="12"/>
      <c r="AK227" s="12"/>
    </row>
    <row r="228">
      <c r="A228" s="34">
        <v>45663.52802460648</v>
      </c>
      <c r="B228" s="14">
        <f t="shared" si="1"/>
        <v>45663</v>
      </c>
      <c r="C228" s="15" t="s">
        <v>327</v>
      </c>
      <c r="D228" s="15" t="s">
        <v>2050</v>
      </c>
      <c r="E228" s="15" t="str">
        <f t="shared" si="15"/>
        <v>Mitchel Broadway</v>
      </c>
      <c r="F228" s="16" t="str">
        <f t="shared" si="16"/>
        <v>(240) 701-3063</v>
      </c>
      <c r="G228" s="15" t="s">
        <v>2051</v>
      </c>
      <c r="H228" s="40" t="s">
        <v>66</v>
      </c>
      <c r="I228" s="17" t="s">
        <v>67</v>
      </c>
      <c r="J228" s="18" t="s">
        <v>68</v>
      </c>
      <c r="K228" s="17" t="s">
        <v>2052</v>
      </c>
      <c r="L228" s="19" t="s">
        <v>70</v>
      </c>
      <c r="M228" s="20" t="s">
        <v>39</v>
      </c>
      <c r="N228" s="21" t="s">
        <v>2053</v>
      </c>
      <c r="O228" s="21" t="s">
        <v>255</v>
      </c>
      <c r="P228" s="21" t="s">
        <v>2054</v>
      </c>
      <c r="Q228" s="28" t="s">
        <v>2055</v>
      </c>
      <c r="R228" s="21">
        <v>20020.0</v>
      </c>
      <c r="S228" s="21" t="s">
        <v>44</v>
      </c>
      <c r="T228" s="29" t="s">
        <v>2056</v>
      </c>
      <c r="U228" s="21">
        <v>2.0</v>
      </c>
      <c r="V228" s="21">
        <v>4.0</v>
      </c>
      <c r="W228" s="21">
        <f t="shared" si="4"/>
        <v>6</v>
      </c>
      <c r="X228" s="21" t="s">
        <v>46</v>
      </c>
      <c r="Y228" s="21" t="s">
        <v>85</v>
      </c>
      <c r="Z228" s="22" t="s">
        <v>2057</v>
      </c>
      <c r="AA228" s="22" t="s">
        <v>2058</v>
      </c>
      <c r="AB228" s="21" t="s">
        <v>2059</v>
      </c>
      <c r="AC228" s="21">
        <v>12.0</v>
      </c>
      <c r="AD228" s="22" t="s">
        <v>2060</v>
      </c>
      <c r="AE228" s="25"/>
      <c r="AF228" s="12"/>
      <c r="AG228" s="12"/>
      <c r="AH228" s="12"/>
      <c r="AI228" s="12"/>
      <c r="AJ228" s="12"/>
      <c r="AK228" s="12"/>
    </row>
    <row r="229" ht="105.0" customHeight="1">
      <c r="A229" s="34">
        <v>45663.55911265046</v>
      </c>
      <c r="B229" s="14">
        <f t="shared" si="1"/>
        <v>45663</v>
      </c>
      <c r="C229" s="15" t="s">
        <v>327</v>
      </c>
      <c r="D229" s="15" t="s">
        <v>2061</v>
      </c>
      <c r="E229" s="15" t="str">
        <f t="shared" si="15"/>
        <v>Jeanella Taylor</v>
      </c>
      <c r="F229" s="16" t="str">
        <f t="shared" si="16"/>
        <v>(202) 903-1129</v>
      </c>
      <c r="G229" s="15" t="s">
        <v>2062</v>
      </c>
      <c r="H229" s="40" t="s">
        <v>66</v>
      </c>
      <c r="I229" s="17" t="s">
        <v>67</v>
      </c>
      <c r="J229" s="18" t="s">
        <v>68</v>
      </c>
      <c r="K229" s="17" t="s">
        <v>2063</v>
      </c>
      <c r="L229" s="19" t="s">
        <v>70</v>
      </c>
      <c r="M229" s="20" t="s">
        <v>39</v>
      </c>
      <c r="N229" s="21" t="s">
        <v>2064</v>
      </c>
      <c r="O229" s="21" t="s">
        <v>2065</v>
      </c>
      <c r="P229" s="21" t="s">
        <v>2066</v>
      </c>
      <c r="Q229" s="28">
        <v>627.0</v>
      </c>
      <c r="R229" s="21">
        <v>20005.0</v>
      </c>
      <c r="S229" s="21" t="s">
        <v>59</v>
      </c>
      <c r="T229" s="29" t="s">
        <v>2067</v>
      </c>
      <c r="U229" s="21">
        <v>1.0</v>
      </c>
      <c r="V229" s="21">
        <v>0.0</v>
      </c>
      <c r="W229" s="21">
        <f t="shared" si="4"/>
        <v>1</v>
      </c>
      <c r="X229" s="21" t="s">
        <v>46</v>
      </c>
      <c r="Y229" s="21" t="s">
        <v>85</v>
      </c>
      <c r="Z229" s="22" t="s">
        <v>61</v>
      </c>
      <c r="AA229" s="22" t="s">
        <v>2068</v>
      </c>
      <c r="AB229" s="21" t="s">
        <v>2069</v>
      </c>
      <c r="AC229" s="21">
        <v>12.0</v>
      </c>
      <c r="AD229" s="22" t="s">
        <v>2070</v>
      </c>
      <c r="AE229" s="25"/>
      <c r="AF229" s="12"/>
      <c r="AG229" s="12"/>
      <c r="AH229" s="12"/>
      <c r="AI229" s="12"/>
      <c r="AJ229" s="12"/>
      <c r="AK229" s="12"/>
    </row>
    <row r="230" ht="84.0" customHeight="1">
      <c r="A230" s="34">
        <v>45663.637859780094</v>
      </c>
      <c r="B230" s="14">
        <f t="shared" si="1"/>
        <v>45663</v>
      </c>
      <c r="C230" s="15" t="s">
        <v>31</v>
      </c>
      <c r="D230" s="15" t="s">
        <v>2071</v>
      </c>
      <c r="E230" s="15" t="str">
        <f t="shared" si="15"/>
        <v>Anthony Dailey</v>
      </c>
      <c r="F230" s="16" t="str">
        <f t="shared" si="16"/>
        <v>(202) 910-5249</v>
      </c>
      <c r="G230" s="15" t="s">
        <v>2072</v>
      </c>
      <c r="H230" s="40" t="s">
        <v>103</v>
      </c>
      <c r="I230" s="17" t="s">
        <v>2073</v>
      </c>
      <c r="J230" s="18" t="s">
        <v>2074</v>
      </c>
      <c r="K230" s="17" t="s">
        <v>2075</v>
      </c>
      <c r="L230" s="19" t="s">
        <v>2076</v>
      </c>
      <c r="M230" s="20" t="s">
        <v>39</v>
      </c>
      <c r="N230" s="21" t="s">
        <v>938</v>
      </c>
      <c r="O230" s="21" t="s">
        <v>2077</v>
      </c>
      <c r="P230" s="21" t="s">
        <v>2078</v>
      </c>
      <c r="Q230" s="28">
        <v>3.0</v>
      </c>
      <c r="R230" s="21">
        <v>20032.0</v>
      </c>
      <c r="S230" s="21" t="s">
        <v>44</v>
      </c>
      <c r="T230" s="29" t="s">
        <v>2079</v>
      </c>
      <c r="U230" s="21">
        <v>1.0</v>
      </c>
      <c r="V230" s="21">
        <v>0.0</v>
      </c>
      <c r="W230" s="21">
        <f t="shared" si="4"/>
        <v>1</v>
      </c>
      <c r="X230" s="21" t="s">
        <v>84</v>
      </c>
      <c r="Y230" s="21" t="s">
        <v>47</v>
      </c>
      <c r="Z230" s="22" t="s">
        <v>187</v>
      </c>
      <c r="AA230" s="22" t="s">
        <v>2080</v>
      </c>
      <c r="AB230" s="21" t="s">
        <v>2069</v>
      </c>
      <c r="AC230" s="21">
        <v>12.0</v>
      </c>
      <c r="AD230" s="22" t="s">
        <v>2081</v>
      </c>
      <c r="AE230" s="25"/>
    </row>
    <row r="231">
      <c r="A231" s="34">
        <v>45663.70888178241</v>
      </c>
      <c r="B231" s="14">
        <f t="shared" si="1"/>
        <v>45663</v>
      </c>
      <c r="C231" s="15" t="s">
        <v>31</v>
      </c>
      <c r="D231" s="15" t="s">
        <v>2082</v>
      </c>
      <c r="E231" s="15" t="str">
        <f t="shared" si="15"/>
        <v>Ethelbert  Dawson</v>
      </c>
      <c r="F231" s="16" t="str">
        <f t="shared" si="16"/>
        <v>(202) 597-6388</v>
      </c>
      <c r="G231" s="15" t="s">
        <v>2083</v>
      </c>
      <c r="H231" s="40" t="s">
        <v>103</v>
      </c>
      <c r="I231" s="17" t="s">
        <v>2084</v>
      </c>
      <c r="J231" s="18" t="s">
        <v>2085</v>
      </c>
      <c r="K231" s="17" t="s">
        <v>311</v>
      </c>
      <c r="L231" s="19" t="s">
        <v>2086</v>
      </c>
      <c r="M231" s="20" t="s">
        <v>39</v>
      </c>
      <c r="N231" s="21" t="s">
        <v>2087</v>
      </c>
      <c r="O231" s="21" t="s">
        <v>2088</v>
      </c>
      <c r="P231" s="21" t="s">
        <v>2089</v>
      </c>
      <c r="Q231" s="28">
        <v>425.0</v>
      </c>
      <c r="R231" s="21">
        <v>20005.0</v>
      </c>
      <c r="S231" s="21" t="s">
        <v>59</v>
      </c>
      <c r="T231" s="29" t="s">
        <v>2090</v>
      </c>
      <c r="U231" s="21">
        <v>1.0</v>
      </c>
      <c r="V231" s="21">
        <v>0.0</v>
      </c>
      <c r="W231" s="21">
        <f t="shared" si="4"/>
        <v>1</v>
      </c>
      <c r="X231" s="21" t="s">
        <v>46</v>
      </c>
      <c r="Y231" s="21" t="s">
        <v>47</v>
      </c>
      <c r="Z231" s="22" t="s">
        <v>458</v>
      </c>
      <c r="AA231" s="22" t="s">
        <v>2091</v>
      </c>
      <c r="AB231" s="21" t="s">
        <v>2059</v>
      </c>
      <c r="AC231" s="21">
        <v>12.0</v>
      </c>
      <c r="AD231" s="22" t="s">
        <v>2092</v>
      </c>
      <c r="AE231" s="25"/>
      <c r="AF231" s="12"/>
      <c r="AG231" s="12"/>
      <c r="AH231" s="12"/>
      <c r="AI231" s="12"/>
      <c r="AJ231" s="12"/>
      <c r="AK231" s="12"/>
    </row>
    <row r="232">
      <c r="A232" s="34">
        <v>45663.70928274306</v>
      </c>
      <c r="B232" s="14">
        <f t="shared" si="1"/>
        <v>45663</v>
      </c>
      <c r="C232" s="15" t="s">
        <v>327</v>
      </c>
      <c r="D232" s="15" t="s">
        <v>2093</v>
      </c>
      <c r="E232" s="15" t="str">
        <f t="shared" si="15"/>
        <v>Larry Walden</v>
      </c>
      <c r="F232" s="16" t="str">
        <f t="shared" si="16"/>
        <v>(202) 749-4194</v>
      </c>
      <c r="G232" s="15" t="s">
        <v>2094</v>
      </c>
      <c r="H232" s="40" t="s">
        <v>103</v>
      </c>
      <c r="I232" s="17" t="s">
        <v>2095</v>
      </c>
      <c r="J232" s="18" t="s">
        <v>2096</v>
      </c>
      <c r="K232" s="17" t="s">
        <v>2097</v>
      </c>
      <c r="L232" s="19" t="s">
        <v>2098</v>
      </c>
      <c r="M232" s="20" t="s">
        <v>39</v>
      </c>
      <c r="N232" s="21" t="s">
        <v>1450</v>
      </c>
      <c r="O232" s="21" t="s">
        <v>2099</v>
      </c>
      <c r="P232" s="21" t="s">
        <v>2100</v>
      </c>
      <c r="Q232" s="28">
        <v>1.0</v>
      </c>
      <c r="R232" s="21">
        <v>20919.0</v>
      </c>
      <c r="S232" s="21" t="s">
        <v>74</v>
      </c>
      <c r="T232" s="29" t="s">
        <v>2101</v>
      </c>
      <c r="U232" s="21">
        <v>1.0</v>
      </c>
      <c r="V232" s="21">
        <v>0.0</v>
      </c>
      <c r="W232" s="21">
        <f t="shared" si="4"/>
        <v>1</v>
      </c>
      <c r="X232" s="21" t="s">
        <v>84</v>
      </c>
      <c r="Y232" s="21" t="s">
        <v>47</v>
      </c>
      <c r="Z232" s="22" t="s">
        <v>76</v>
      </c>
      <c r="AA232" s="22" t="s">
        <v>2102</v>
      </c>
      <c r="AB232" s="21" t="s">
        <v>2069</v>
      </c>
      <c r="AC232" s="21">
        <v>12.0</v>
      </c>
      <c r="AD232" s="22" t="s">
        <v>2103</v>
      </c>
      <c r="AE232" s="25"/>
    </row>
    <row r="233">
      <c r="A233" s="34">
        <v>45664.59508396991</v>
      </c>
      <c r="B233" s="14">
        <f t="shared" si="1"/>
        <v>45664</v>
      </c>
      <c r="C233" s="15" t="s">
        <v>327</v>
      </c>
      <c r="D233" s="15" t="s">
        <v>2104</v>
      </c>
      <c r="E233" s="15" t="str">
        <f t="shared" si="15"/>
        <v>        DAVIS DENESE </v>
      </c>
      <c r="F233" s="16" t="str">
        <f t="shared" si="16"/>
        <v>(202) 361-3781</v>
      </c>
      <c r="G233" s="15" t="s">
        <v>113</v>
      </c>
      <c r="H233" s="40" t="s">
        <v>103</v>
      </c>
      <c r="I233" s="17" t="s">
        <v>67</v>
      </c>
      <c r="J233" s="18" t="s">
        <v>68</v>
      </c>
      <c r="K233" s="17" t="s">
        <v>2105</v>
      </c>
      <c r="L233" s="19" t="s">
        <v>70</v>
      </c>
      <c r="M233" s="20" t="s">
        <v>39</v>
      </c>
      <c r="N233" s="21" t="s">
        <v>2106</v>
      </c>
      <c r="O233" s="21" t="s">
        <v>2107</v>
      </c>
      <c r="P233" s="21" t="s">
        <v>2108</v>
      </c>
      <c r="Q233" s="28">
        <v>301.0</v>
      </c>
      <c r="R233" s="21">
        <v>20032.0</v>
      </c>
      <c r="S233" s="21" t="s">
        <v>44</v>
      </c>
      <c r="T233" s="29" t="s">
        <v>2109</v>
      </c>
      <c r="U233" s="21">
        <v>2.0</v>
      </c>
      <c r="V233" s="21">
        <v>3.0</v>
      </c>
      <c r="W233" s="21">
        <f t="shared" si="4"/>
        <v>5</v>
      </c>
      <c r="X233" s="21" t="s">
        <v>84</v>
      </c>
      <c r="Y233" s="21" t="s">
        <v>85</v>
      </c>
      <c r="Z233" s="22" t="s">
        <v>2110</v>
      </c>
      <c r="AA233" s="22" t="s">
        <v>2111</v>
      </c>
      <c r="AB233" s="21" t="s">
        <v>2059</v>
      </c>
      <c r="AC233" s="21">
        <v>24.0</v>
      </c>
      <c r="AD233" s="22" t="s">
        <v>2112</v>
      </c>
      <c r="AE233" s="25"/>
      <c r="AF233" s="12"/>
      <c r="AG233" s="12"/>
      <c r="AH233" s="12"/>
      <c r="AI233" s="12"/>
      <c r="AJ233" s="12"/>
      <c r="AK233" s="12"/>
    </row>
    <row r="234">
      <c r="A234" s="34">
        <v>45664.602962777775</v>
      </c>
      <c r="B234" s="14">
        <f t="shared" si="1"/>
        <v>45664</v>
      </c>
      <c r="C234" s="15" t="s">
        <v>327</v>
      </c>
      <c r="D234" s="15" t="s">
        <v>2113</v>
      </c>
      <c r="E234" s="15" t="str">
        <f t="shared" si="15"/>
        <v>TYNIESHA  GRAHAM 	</v>
      </c>
      <c r="F234" s="16" t="str">
        <f t="shared" si="16"/>
        <v>(202) 993-2078</v>
      </c>
      <c r="G234" s="15" t="s">
        <v>1784</v>
      </c>
      <c r="H234" s="40" t="s">
        <v>66</v>
      </c>
      <c r="I234" s="17" t="s">
        <v>67</v>
      </c>
      <c r="J234" s="18" t="s">
        <v>68</v>
      </c>
      <c r="K234" s="17" t="s">
        <v>2063</v>
      </c>
      <c r="L234" s="19" t="s">
        <v>70</v>
      </c>
      <c r="M234" s="20" t="s">
        <v>39</v>
      </c>
      <c r="N234" s="21" t="s">
        <v>2114</v>
      </c>
      <c r="O234" s="21" t="s">
        <v>2115</v>
      </c>
      <c r="P234" s="21" t="s">
        <v>2116</v>
      </c>
      <c r="Q234" s="28">
        <v>1034.0</v>
      </c>
      <c r="R234" s="21">
        <v>20003.0</v>
      </c>
      <c r="S234" s="21" t="s">
        <v>44</v>
      </c>
      <c r="T234" s="29" t="s">
        <v>2117</v>
      </c>
      <c r="U234" s="21">
        <v>1.0</v>
      </c>
      <c r="V234" s="21">
        <v>0.0</v>
      </c>
      <c r="W234" s="21">
        <f t="shared" si="4"/>
        <v>1</v>
      </c>
      <c r="X234" s="21" t="s">
        <v>46</v>
      </c>
      <c r="Y234" s="21" t="s">
        <v>47</v>
      </c>
      <c r="Z234" s="22" t="s">
        <v>2118</v>
      </c>
      <c r="AA234" s="22" t="s">
        <v>2119</v>
      </c>
      <c r="AB234" s="21" t="s">
        <v>2069</v>
      </c>
      <c r="AC234" s="21">
        <v>12.0</v>
      </c>
      <c r="AD234" s="22" t="s">
        <v>2120</v>
      </c>
      <c r="AE234" s="25"/>
      <c r="AF234" s="12"/>
      <c r="AG234" s="12"/>
      <c r="AH234" s="12"/>
      <c r="AI234" s="12"/>
      <c r="AJ234" s="12"/>
      <c r="AK234" s="12"/>
    </row>
    <row r="235">
      <c r="A235" s="34">
        <v>45665.76368390046</v>
      </c>
      <c r="B235" s="14">
        <f t="shared" si="1"/>
        <v>45665</v>
      </c>
      <c r="C235" s="15" t="s">
        <v>31</v>
      </c>
      <c r="D235" s="15" t="s">
        <v>2121</v>
      </c>
      <c r="E235" s="15" t="str">
        <f t="shared" si="15"/>
        <v>Lolillian Smith</v>
      </c>
      <c r="F235" s="16" t="str">
        <f t="shared" si="16"/>
        <v>(301) 535-8625</v>
      </c>
      <c r="G235" s="15" t="s">
        <v>2122</v>
      </c>
      <c r="H235" s="40" t="s">
        <v>66</v>
      </c>
      <c r="I235" s="17" t="s">
        <v>2123</v>
      </c>
      <c r="J235" s="18" t="s">
        <v>2124</v>
      </c>
      <c r="K235" s="18" t="s">
        <v>2125</v>
      </c>
      <c r="L235" s="26" t="s">
        <v>2126</v>
      </c>
      <c r="M235" s="27" t="s">
        <v>39</v>
      </c>
      <c r="N235" s="21" t="s">
        <v>2127</v>
      </c>
      <c r="O235" s="21" t="s">
        <v>1062</v>
      </c>
      <c r="P235" s="21" t="s">
        <v>2128</v>
      </c>
      <c r="Q235" s="28"/>
      <c r="R235" s="21">
        <v>20032.0</v>
      </c>
      <c r="S235" s="21" t="s">
        <v>44</v>
      </c>
      <c r="T235" s="21" t="s">
        <v>2129</v>
      </c>
      <c r="U235" s="21">
        <v>2.0</v>
      </c>
      <c r="V235" s="21">
        <v>1.0</v>
      </c>
      <c r="W235" s="21">
        <f t="shared" si="4"/>
        <v>3</v>
      </c>
      <c r="X235" s="21" t="s">
        <v>46</v>
      </c>
      <c r="Y235" s="21" t="s">
        <v>85</v>
      </c>
      <c r="Z235" s="22" t="s">
        <v>236</v>
      </c>
      <c r="AA235" s="22" t="s">
        <v>2130</v>
      </c>
      <c r="AB235" s="21" t="s">
        <v>2069</v>
      </c>
      <c r="AC235" s="21">
        <v>12.0</v>
      </c>
      <c r="AD235" s="22" t="s">
        <v>2131</v>
      </c>
      <c r="AE235" s="25"/>
      <c r="AF235" s="12"/>
      <c r="AG235" s="12"/>
      <c r="AH235" s="12"/>
      <c r="AI235" s="12"/>
      <c r="AJ235" s="12"/>
      <c r="AK235" s="12"/>
    </row>
    <row r="236">
      <c r="A236" s="34">
        <v>45666.47394401621</v>
      </c>
      <c r="B236" s="14">
        <f t="shared" si="1"/>
        <v>45666</v>
      </c>
      <c r="C236" s="15" t="s">
        <v>327</v>
      </c>
      <c r="D236" s="15" t="s">
        <v>2132</v>
      </c>
      <c r="E236" s="15" t="str">
        <f t="shared" si="15"/>
        <v>Flaurette Curtis</v>
      </c>
      <c r="F236" s="16" t="str">
        <f t="shared" si="16"/>
        <v>(703) 596-2482</v>
      </c>
      <c r="G236" s="15" t="s">
        <v>1424</v>
      </c>
      <c r="H236" s="40" t="s">
        <v>66</v>
      </c>
      <c r="I236" s="17" t="s">
        <v>2133</v>
      </c>
      <c r="J236" s="18" t="s">
        <v>2134</v>
      </c>
      <c r="K236" s="18" t="s">
        <v>631</v>
      </c>
      <c r="L236" s="26" t="s">
        <v>2135</v>
      </c>
      <c r="M236" s="27" t="s">
        <v>39</v>
      </c>
      <c r="N236" s="21" t="s">
        <v>2136</v>
      </c>
      <c r="O236" s="21" t="s">
        <v>2137</v>
      </c>
      <c r="P236" s="21" t="s">
        <v>2138</v>
      </c>
      <c r="Q236" s="28"/>
      <c r="R236" s="21">
        <v>20019.0</v>
      </c>
      <c r="S236" s="21" t="s">
        <v>44</v>
      </c>
      <c r="T236" s="21" t="s">
        <v>2139</v>
      </c>
      <c r="U236" s="21">
        <v>2.0</v>
      </c>
      <c r="V236" s="21">
        <v>0.0</v>
      </c>
      <c r="W236" s="21">
        <f t="shared" si="4"/>
        <v>2</v>
      </c>
      <c r="X236" s="21" t="s">
        <v>84</v>
      </c>
      <c r="Y236" s="21" t="s">
        <v>47</v>
      </c>
      <c r="Z236" s="22" t="s">
        <v>76</v>
      </c>
      <c r="AA236" s="22" t="s">
        <v>2140</v>
      </c>
      <c r="AB236" s="21" t="s">
        <v>2059</v>
      </c>
      <c r="AC236" s="21">
        <v>24.0</v>
      </c>
      <c r="AD236" s="22" t="s">
        <v>2141</v>
      </c>
      <c r="AE236" s="25"/>
      <c r="AF236" s="12"/>
      <c r="AG236" s="12"/>
      <c r="AH236" s="12"/>
      <c r="AI236" s="12"/>
      <c r="AJ236" s="12"/>
      <c r="AK236" s="12"/>
    </row>
    <row r="237">
      <c r="A237" s="34">
        <v>45667.35354358796</v>
      </c>
      <c r="B237" s="14">
        <f t="shared" si="1"/>
        <v>45667</v>
      </c>
      <c r="C237" s="15" t="s">
        <v>31</v>
      </c>
      <c r="D237" s="15" t="s">
        <v>2142</v>
      </c>
      <c r="E237" s="15" t="str">
        <f t="shared" si="15"/>
        <v>Talynthia Johnson</v>
      </c>
      <c r="F237" s="16" t="str">
        <f t="shared" si="16"/>
        <v>(301) 809-7228</v>
      </c>
      <c r="G237" s="15" t="s">
        <v>2143</v>
      </c>
      <c r="H237" s="40" t="s">
        <v>103</v>
      </c>
      <c r="I237" s="17" t="s">
        <v>1850</v>
      </c>
      <c r="J237" s="18" t="s">
        <v>1689</v>
      </c>
      <c r="K237" s="18" t="s">
        <v>1691</v>
      </c>
      <c r="L237" s="26" t="s">
        <v>2144</v>
      </c>
      <c r="M237" s="27" t="s">
        <v>39</v>
      </c>
      <c r="N237" s="21" t="s">
        <v>2145</v>
      </c>
      <c r="O237" s="21" t="s">
        <v>388</v>
      </c>
      <c r="P237" s="21" t="s">
        <v>2146</v>
      </c>
      <c r="Q237" s="21" t="s">
        <v>2147</v>
      </c>
      <c r="R237" s="21">
        <v>20032.0</v>
      </c>
      <c r="S237" s="21" t="s">
        <v>44</v>
      </c>
      <c r="T237" s="21" t="s">
        <v>2148</v>
      </c>
      <c r="U237" s="21">
        <v>2.0</v>
      </c>
      <c r="V237" s="21">
        <v>2.0</v>
      </c>
      <c r="W237" s="21">
        <f t="shared" si="4"/>
        <v>4</v>
      </c>
      <c r="X237" s="21" t="s">
        <v>46</v>
      </c>
      <c r="Y237" s="21" t="s">
        <v>47</v>
      </c>
      <c r="Z237" s="22" t="s">
        <v>144</v>
      </c>
      <c r="AA237" s="22" t="s">
        <v>2149</v>
      </c>
      <c r="AB237" s="21" t="s">
        <v>2059</v>
      </c>
      <c r="AC237" s="21">
        <v>12.0</v>
      </c>
      <c r="AD237" s="22" t="s">
        <v>2150</v>
      </c>
      <c r="AE237" s="25"/>
      <c r="AF237" s="12"/>
      <c r="AG237" s="12"/>
      <c r="AH237" s="12"/>
      <c r="AI237" s="12"/>
      <c r="AJ237" s="12"/>
      <c r="AK237" s="12"/>
    </row>
    <row r="238">
      <c r="A238" s="34">
        <v>45667.62544585648</v>
      </c>
      <c r="B238" s="14">
        <f t="shared" si="1"/>
        <v>45667</v>
      </c>
      <c r="C238" s="15" t="s">
        <v>31</v>
      </c>
      <c r="D238" s="15" t="s">
        <v>2151</v>
      </c>
      <c r="E238" s="15" t="str">
        <f t="shared" si="15"/>
        <v>Anita Crews</v>
      </c>
      <c r="F238" s="16" t="str">
        <f t="shared" si="16"/>
        <v>(202) 200-2928</v>
      </c>
      <c r="G238" s="15" t="s">
        <v>2152</v>
      </c>
      <c r="H238" s="40" t="s">
        <v>103</v>
      </c>
      <c r="I238" s="17" t="s">
        <v>2153</v>
      </c>
      <c r="J238" s="18" t="s">
        <v>2154</v>
      </c>
      <c r="K238" s="18" t="s">
        <v>2155</v>
      </c>
      <c r="L238" s="26" t="s">
        <v>2156</v>
      </c>
      <c r="M238" s="27" t="s">
        <v>39</v>
      </c>
      <c r="N238" s="21" t="s">
        <v>2157</v>
      </c>
      <c r="O238" s="21" t="s">
        <v>2158</v>
      </c>
      <c r="P238" s="21" t="s">
        <v>2159</v>
      </c>
      <c r="Q238" s="21">
        <v>426.0</v>
      </c>
      <c r="R238" s="21">
        <v>20001.0</v>
      </c>
      <c r="S238" s="21" t="s">
        <v>59</v>
      </c>
      <c r="T238" s="21" t="s">
        <v>2160</v>
      </c>
      <c r="U238" s="21">
        <v>1.0</v>
      </c>
      <c r="V238" s="21">
        <v>0.0</v>
      </c>
      <c r="W238" s="21">
        <f t="shared" si="4"/>
        <v>1</v>
      </c>
      <c r="X238" s="21" t="s">
        <v>46</v>
      </c>
      <c r="Y238" s="21" t="s">
        <v>85</v>
      </c>
      <c r="Z238" s="22" t="s">
        <v>122</v>
      </c>
      <c r="AA238" s="22" t="s">
        <v>2161</v>
      </c>
      <c r="AB238" s="21" t="s">
        <v>2069</v>
      </c>
      <c r="AC238" s="21">
        <v>12.0</v>
      </c>
      <c r="AD238" s="22" t="s">
        <v>2162</v>
      </c>
      <c r="AE238" s="25"/>
      <c r="AF238" s="12"/>
      <c r="AG238" s="12"/>
      <c r="AH238" s="12"/>
      <c r="AI238" s="12"/>
      <c r="AJ238" s="12"/>
      <c r="AK238" s="12"/>
    </row>
    <row r="239">
      <c r="A239" s="34">
        <v>45670.396982453705</v>
      </c>
      <c r="B239" s="14">
        <f t="shared" si="1"/>
        <v>45670</v>
      </c>
      <c r="C239" s="15" t="s">
        <v>327</v>
      </c>
      <c r="D239" s="15" t="s">
        <v>2163</v>
      </c>
      <c r="E239" s="15" t="str">
        <f t="shared" si="15"/>
        <v>Kisha Harmon-Morgan</v>
      </c>
      <c r="F239" s="16" t="str">
        <f t="shared" si="16"/>
        <v>(202) 329-3596</v>
      </c>
      <c r="G239" s="15" t="s">
        <v>1424</v>
      </c>
      <c r="H239" s="40" t="s">
        <v>66</v>
      </c>
      <c r="I239" s="17" t="s">
        <v>1688</v>
      </c>
      <c r="J239" s="18" t="s">
        <v>1689</v>
      </c>
      <c r="K239" s="18" t="s">
        <v>1691</v>
      </c>
      <c r="L239" s="26" t="s">
        <v>2144</v>
      </c>
      <c r="M239" s="27" t="s">
        <v>39</v>
      </c>
      <c r="N239" s="21" t="s">
        <v>2164</v>
      </c>
      <c r="O239" s="21" t="s">
        <v>2165</v>
      </c>
      <c r="P239" s="21" t="s">
        <v>2166</v>
      </c>
      <c r="Q239" s="21">
        <v>1501.0</v>
      </c>
      <c r="R239" s="21">
        <v>20017.0</v>
      </c>
      <c r="S239" s="21" t="s">
        <v>74</v>
      </c>
      <c r="T239" s="21" t="s">
        <v>2167</v>
      </c>
      <c r="U239" s="21">
        <v>2.0</v>
      </c>
      <c r="V239" s="21">
        <v>1.0</v>
      </c>
      <c r="W239" s="21">
        <f t="shared" si="4"/>
        <v>3</v>
      </c>
      <c r="X239" s="21" t="s">
        <v>46</v>
      </c>
      <c r="Y239" s="21" t="s">
        <v>85</v>
      </c>
      <c r="Z239" s="22" t="s">
        <v>48</v>
      </c>
      <c r="AA239" s="22" t="s">
        <v>2168</v>
      </c>
      <c r="AB239" s="21" t="s">
        <v>2059</v>
      </c>
      <c r="AC239" s="21">
        <v>12.0</v>
      </c>
      <c r="AD239" s="22" t="s">
        <v>2169</v>
      </c>
      <c r="AE239" s="25"/>
    </row>
    <row r="240">
      <c r="A240" s="34">
        <v>45671.433031030094</v>
      </c>
      <c r="B240" s="14">
        <f t="shared" si="1"/>
        <v>45671</v>
      </c>
      <c r="C240" s="15" t="s">
        <v>327</v>
      </c>
      <c r="D240" s="15" t="s">
        <v>2170</v>
      </c>
      <c r="E240" s="15" t="str">
        <f t="shared" si="15"/>
        <v>Robert Miller</v>
      </c>
      <c r="F240" s="16" t="str">
        <f t="shared" si="16"/>
        <v>(202) 306-0007</v>
      </c>
      <c r="G240" s="15" t="s">
        <v>2171</v>
      </c>
      <c r="H240" s="40" t="s">
        <v>66</v>
      </c>
      <c r="I240" s="17" t="s">
        <v>2172</v>
      </c>
      <c r="J240" s="18" t="s">
        <v>2173</v>
      </c>
      <c r="K240" s="18" t="s">
        <v>2174</v>
      </c>
      <c r="L240" s="26" t="s">
        <v>2175</v>
      </c>
      <c r="M240" s="27" t="s">
        <v>39</v>
      </c>
      <c r="N240" s="21" t="s">
        <v>740</v>
      </c>
      <c r="O240" s="21" t="s">
        <v>617</v>
      </c>
      <c r="P240" s="21" t="s">
        <v>2176</v>
      </c>
      <c r="Q240" s="21" t="s">
        <v>2177</v>
      </c>
      <c r="R240" s="21">
        <v>20003.0</v>
      </c>
      <c r="S240" s="21" t="s">
        <v>44</v>
      </c>
      <c r="T240" s="21" t="s">
        <v>2178</v>
      </c>
      <c r="U240" s="21">
        <v>1.0</v>
      </c>
      <c r="V240" s="21">
        <v>0.0</v>
      </c>
      <c r="W240" s="21">
        <f t="shared" si="4"/>
        <v>1</v>
      </c>
      <c r="X240" s="21" t="s">
        <v>84</v>
      </c>
      <c r="Y240" s="21" t="s">
        <v>47</v>
      </c>
      <c r="Z240" s="22" t="s">
        <v>76</v>
      </c>
      <c r="AA240" s="22" t="s">
        <v>2179</v>
      </c>
      <c r="AB240" s="21" t="s">
        <v>2069</v>
      </c>
      <c r="AC240" s="21">
        <v>12.0</v>
      </c>
      <c r="AD240" s="22" t="s">
        <v>2180</v>
      </c>
      <c r="AE240" s="25"/>
      <c r="AF240" s="12"/>
      <c r="AG240" s="12"/>
      <c r="AH240" s="12"/>
      <c r="AI240" s="12"/>
      <c r="AJ240" s="12"/>
      <c r="AK240" s="12"/>
    </row>
    <row r="241">
      <c r="A241" s="34">
        <v>45671.55995674769</v>
      </c>
      <c r="B241" s="14">
        <f t="shared" si="1"/>
        <v>45671</v>
      </c>
      <c r="C241" s="15" t="s">
        <v>31</v>
      </c>
      <c r="D241" s="15" t="s">
        <v>249</v>
      </c>
      <c r="E241" s="15" t="str">
        <f t="shared" si="15"/>
        <v>Andre Broadway</v>
      </c>
      <c r="F241" s="16" t="str">
        <f t="shared" si="16"/>
        <v>(202) 500-7949</v>
      </c>
      <c r="G241" s="15" t="s">
        <v>2181</v>
      </c>
      <c r="H241" s="40" t="s">
        <v>103</v>
      </c>
      <c r="I241" s="17" t="s">
        <v>104</v>
      </c>
      <c r="J241" s="18" t="s">
        <v>105</v>
      </c>
      <c r="K241" s="18" t="s">
        <v>106</v>
      </c>
      <c r="L241" s="26" t="s">
        <v>2182</v>
      </c>
      <c r="M241" s="27" t="s">
        <v>39</v>
      </c>
      <c r="N241" s="21" t="s">
        <v>254</v>
      </c>
      <c r="O241" s="21" t="s">
        <v>255</v>
      </c>
      <c r="P241" s="21" t="s">
        <v>2183</v>
      </c>
      <c r="Q241" s="21">
        <v>769.0</v>
      </c>
      <c r="R241" s="21">
        <v>20002.0</v>
      </c>
      <c r="S241" s="21" t="s">
        <v>74</v>
      </c>
      <c r="T241" s="21" t="s">
        <v>258</v>
      </c>
      <c r="U241" s="21">
        <v>1.0</v>
      </c>
      <c r="V241" s="21">
        <v>0.0</v>
      </c>
      <c r="W241" s="21">
        <f t="shared" si="4"/>
        <v>1</v>
      </c>
      <c r="X241" s="21" t="s">
        <v>84</v>
      </c>
      <c r="Y241" s="21" t="s">
        <v>85</v>
      </c>
      <c r="Z241" s="22" t="s">
        <v>76</v>
      </c>
      <c r="AA241" s="22" t="s">
        <v>2184</v>
      </c>
      <c r="AB241" s="21" t="s">
        <v>2069</v>
      </c>
      <c r="AC241" s="21">
        <v>12.0</v>
      </c>
      <c r="AD241" s="22" t="s">
        <v>2185</v>
      </c>
      <c r="AE241" s="25"/>
      <c r="AF241" s="12"/>
      <c r="AG241" s="12"/>
      <c r="AH241" s="12"/>
      <c r="AI241" s="12"/>
      <c r="AJ241" s="12"/>
      <c r="AK241" s="12"/>
    </row>
    <row r="242">
      <c r="A242" s="34">
        <v>45673.34319302083</v>
      </c>
      <c r="B242" s="14">
        <f t="shared" si="1"/>
        <v>45673</v>
      </c>
      <c r="C242" s="15" t="s">
        <v>327</v>
      </c>
      <c r="D242" s="15" t="s">
        <v>2186</v>
      </c>
      <c r="E242" s="15" t="str">
        <f t="shared" si="15"/>
        <v>Laverne Webb</v>
      </c>
      <c r="F242" s="16" t="str">
        <f t="shared" si="16"/>
        <v>(202) 308-8000</v>
      </c>
      <c r="G242" s="16" t="s">
        <v>2187</v>
      </c>
      <c r="H242" s="40" t="s">
        <v>66</v>
      </c>
      <c r="I242" s="17" t="s">
        <v>2188</v>
      </c>
      <c r="J242" s="18" t="s">
        <v>2189</v>
      </c>
      <c r="K242" s="18" t="s">
        <v>2190</v>
      </c>
      <c r="L242" s="26" t="s">
        <v>2191</v>
      </c>
      <c r="M242" s="27" t="s">
        <v>39</v>
      </c>
      <c r="N242" s="21" t="s">
        <v>2192</v>
      </c>
      <c r="O242" s="21" t="s">
        <v>2193</v>
      </c>
      <c r="P242" s="21" t="s">
        <v>2194</v>
      </c>
      <c r="Q242" s="21">
        <v>201.0</v>
      </c>
      <c r="R242" s="21">
        <v>20020.0</v>
      </c>
      <c r="S242" s="21" t="s">
        <v>44</v>
      </c>
      <c r="T242" s="21" t="s">
        <v>2195</v>
      </c>
      <c r="U242" s="21">
        <v>1.0</v>
      </c>
      <c r="V242" s="21">
        <v>0.0</v>
      </c>
      <c r="W242" s="21">
        <f t="shared" si="4"/>
        <v>1</v>
      </c>
      <c r="X242" s="21" t="s">
        <v>84</v>
      </c>
      <c r="Y242" s="21" t="s">
        <v>47</v>
      </c>
      <c r="Z242" s="22" t="s">
        <v>76</v>
      </c>
      <c r="AA242" s="22" t="s">
        <v>2196</v>
      </c>
      <c r="AB242" s="21" t="s">
        <v>2059</v>
      </c>
      <c r="AC242" s="21">
        <v>12.0</v>
      </c>
      <c r="AD242" s="22" t="s">
        <v>2197</v>
      </c>
      <c r="AE242" s="25"/>
      <c r="AF242" s="12"/>
      <c r="AG242" s="12"/>
      <c r="AH242" s="12"/>
      <c r="AI242" s="12"/>
      <c r="AJ242" s="12"/>
      <c r="AK242" s="12"/>
    </row>
    <row r="243">
      <c r="A243" s="34">
        <v>45673.38756671296</v>
      </c>
      <c r="B243" s="14">
        <f t="shared" si="1"/>
        <v>45673</v>
      </c>
      <c r="C243" s="15" t="s">
        <v>31</v>
      </c>
      <c r="D243" s="15" t="s">
        <v>2198</v>
      </c>
      <c r="E243" s="15" t="str">
        <f t="shared" si="15"/>
        <v>Starling Browne</v>
      </c>
      <c r="F243" s="16" t="str">
        <f t="shared" si="16"/>
        <v>(202) 731-9915</v>
      </c>
      <c r="G243" s="15" t="s">
        <v>2199</v>
      </c>
      <c r="H243" s="40" t="s">
        <v>66</v>
      </c>
      <c r="I243" s="17" t="s">
        <v>67</v>
      </c>
      <c r="J243" s="18" t="s">
        <v>68</v>
      </c>
      <c r="K243" s="18" t="s">
        <v>69</v>
      </c>
      <c r="L243" s="26" t="s">
        <v>70</v>
      </c>
      <c r="M243" s="27" t="s">
        <v>39</v>
      </c>
      <c r="N243" s="21" t="s">
        <v>2200</v>
      </c>
      <c r="O243" s="21" t="s">
        <v>2201</v>
      </c>
      <c r="P243" s="21" t="s">
        <v>2202</v>
      </c>
      <c r="Q243" s="21">
        <v>104.0</v>
      </c>
      <c r="R243" s="21">
        <v>20020.0</v>
      </c>
      <c r="S243" s="21" t="s">
        <v>44</v>
      </c>
      <c r="T243" s="21" t="s">
        <v>2203</v>
      </c>
      <c r="U243" s="21">
        <v>1.0</v>
      </c>
      <c r="V243" s="21">
        <v>0.0</v>
      </c>
      <c r="W243" s="21">
        <f t="shared" si="4"/>
        <v>1</v>
      </c>
      <c r="X243" s="21" t="s">
        <v>84</v>
      </c>
      <c r="Y243" s="21" t="s">
        <v>85</v>
      </c>
      <c r="Z243" s="22" t="s">
        <v>756</v>
      </c>
      <c r="AA243" s="22" t="s">
        <v>2204</v>
      </c>
      <c r="AB243" s="21" t="s">
        <v>2069</v>
      </c>
      <c r="AC243" s="21">
        <v>12.0</v>
      </c>
      <c r="AD243" s="22" t="s">
        <v>2205</v>
      </c>
      <c r="AE243" s="25"/>
    </row>
    <row r="244">
      <c r="A244" s="34">
        <v>45673.41178359954</v>
      </c>
      <c r="B244" s="14">
        <f t="shared" si="1"/>
        <v>45673</v>
      </c>
      <c r="C244" s="15" t="s">
        <v>295</v>
      </c>
      <c r="D244" s="15" t="s">
        <v>2206</v>
      </c>
      <c r="E244" s="15" t="str">
        <f t="shared" si="15"/>
        <v>lawrence berry</v>
      </c>
      <c r="F244" s="16" t="str">
        <f t="shared" si="16"/>
        <v>(202) 931-2857</v>
      </c>
      <c r="G244" s="15" t="s">
        <v>2207</v>
      </c>
      <c r="H244" s="40" t="s">
        <v>66</v>
      </c>
      <c r="I244" s="17" t="s">
        <v>2208</v>
      </c>
      <c r="J244" s="18" t="s">
        <v>2209</v>
      </c>
      <c r="K244" s="18" t="s">
        <v>2210</v>
      </c>
      <c r="L244" s="26" t="s">
        <v>2211</v>
      </c>
      <c r="M244" s="27" t="s">
        <v>39</v>
      </c>
      <c r="N244" s="21" t="s">
        <v>2212</v>
      </c>
      <c r="O244" s="21" t="s">
        <v>2213</v>
      </c>
      <c r="P244" s="21" t="s">
        <v>2214</v>
      </c>
      <c r="Q244" s="21">
        <v>103.0</v>
      </c>
      <c r="R244" s="21">
        <v>20011.0</v>
      </c>
      <c r="S244" s="21" t="s">
        <v>74</v>
      </c>
      <c r="T244" s="21" t="s">
        <v>2215</v>
      </c>
      <c r="U244" s="21">
        <v>1.0</v>
      </c>
      <c r="V244" s="21">
        <v>0.0</v>
      </c>
      <c r="W244" s="21">
        <f t="shared" si="4"/>
        <v>1</v>
      </c>
      <c r="X244" s="21" t="s">
        <v>46</v>
      </c>
      <c r="Y244" s="21" t="s">
        <v>47</v>
      </c>
      <c r="Z244" s="22" t="s">
        <v>2216</v>
      </c>
      <c r="AA244" s="22" t="s">
        <v>2217</v>
      </c>
      <c r="AB244" s="21" t="s">
        <v>2069</v>
      </c>
      <c r="AC244" s="21">
        <v>3.0</v>
      </c>
      <c r="AD244" s="22" t="s">
        <v>2218</v>
      </c>
      <c r="AE244" s="25"/>
    </row>
    <row r="245">
      <c r="A245" s="34">
        <v>45673.41606481481</v>
      </c>
      <c r="B245" s="14">
        <f t="shared" si="1"/>
        <v>45673</v>
      </c>
      <c r="C245" s="15" t="s">
        <v>295</v>
      </c>
      <c r="D245" s="15" t="s">
        <v>2219</v>
      </c>
      <c r="E245" s="15" t="str">
        <f t="shared" si="15"/>
        <v>John Davall</v>
      </c>
      <c r="F245" s="16" t="str">
        <f t="shared" si="16"/>
        <v>(301) 882-1094</v>
      </c>
      <c r="G245" s="15" t="s">
        <v>2220</v>
      </c>
      <c r="H245" s="40" t="s">
        <v>66</v>
      </c>
      <c r="I245" s="17" t="s">
        <v>2208</v>
      </c>
      <c r="J245" s="18" t="s">
        <v>2209</v>
      </c>
      <c r="K245" s="18" t="s">
        <v>2221</v>
      </c>
      <c r="L245" s="26" t="s">
        <v>2211</v>
      </c>
      <c r="M245" s="27" t="s">
        <v>39</v>
      </c>
      <c r="N245" s="21" t="s">
        <v>553</v>
      </c>
      <c r="O245" s="21" t="s">
        <v>2222</v>
      </c>
      <c r="P245" s="21" t="s">
        <v>2223</v>
      </c>
      <c r="Q245" s="21">
        <v>702.0</v>
      </c>
      <c r="R245" s="21">
        <v>20037.0</v>
      </c>
      <c r="S245" s="21" t="s">
        <v>59</v>
      </c>
      <c r="T245" s="21" t="s">
        <v>2224</v>
      </c>
      <c r="U245" s="21">
        <v>1.0</v>
      </c>
      <c r="V245" s="21">
        <v>0.0</v>
      </c>
      <c r="W245" s="21">
        <f t="shared" si="4"/>
        <v>1</v>
      </c>
      <c r="X245" s="21" t="s">
        <v>46</v>
      </c>
      <c r="Y245" s="21" t="s">
        <v>47</v>
      </c>
      <c r="Z245" s="22" t="s">
        <v>61</v>
      </c>
      <c r="AA245" s="22" t="s">
        <v>2225</v>
      </c>
      <c r="AB245" s="21" t="s">
        <v>2069</v>
      </c>
      <c r="AC245" s="21">
        <v>3.0</v>
      </c>
      <c r="AD245" s="22" t="s">
        <v>2226</v>
      </c>
      <c r="AE245" s="25"/>
    </row>
    <row r="246">
      <c r="A246" s="34">
        <v>45673.679469016206</v>
      </c>
      <c r="B246" s="14">
        <f t="shared" si="1"/>
        <v>45673</v>
      </c>
      <c r="C246" s="15" t="s">
        <v>295</v>
      </c>
      <c r="D246" s="15" t="s">
        <v>2227</v>
      </c>
      <c r="E246" s="15" t="str">
        <f t="shared" si="15"/>
        <v>Larry Clay</v>
      </c>
      <c r="F246" s="16" t="str">
        <f t="shared" si="16"/>
        <v>(202) 717-4918</v>
      </c>
      <c r="G246" s="15" t="s">
        <v>2220</v>
      </c>
      <c r="H246" s="40" t="s">
        <v>66</v>
      </c>
      <c r="I246" s="17" t="s">
        <v>1869</v>
      </c>
      <c r="J246" s="18" t="s">
        <v>1870</v>
      </c>
      <c r="K246" s="18" t="s">
        <v>2228</v>
      </c>
      <c r="L246" s="26" t="s">
        <v>2229</v>
      </c>
      <c r="M246" s="27" t="s">
        <v>39</v>
      </c>
      <c r="N246" s="21" t="s">
        <v>1450</v>
      </c>
      <c r="O246" s="21" t="s">
        <v>2230</v>
      </c>
      <c r="P246" s="21" t="s">
        <v>2231</v>
      </c>
      <c r="Q246" s="21">
        <v>212.0</v>
      </c>
      <c r="R246" s="21">
        <v>20002.0</v>
      </c>
      <c r="S246" s="21" t="s">
        <v>74</v>
      </c>
      <c r="T246" s="21" t="s">
        <v>2232</v>
      </c>
      <c r="U246" s="21">
        <v>1.0</v>
      </c>
      <c r="V246" s="21">
        <v>0.0</v>
      </c>
      <c r="W246" s="21">
        <f t="shared" si="4"/>
        <v>1</v>
      </c>
      <c r="X246" s="21" t="s">
        <v>84</v>
      </c>
      <c r="Y246" s="21" t="s">
        <v>85</v>
      </c>
      <c r="Z246" s="22" t="s">
        <v>144</v>
      </c>
      <c r="AA246" s="22" t="s">
        <v>2233</v>
      </c>
      <c r="AB246" s="21" t="s">
        <v>2069</v>
      </c>
      <c r="AC246" s="21">
        <v>12.0</v>
      </c>
      <c r="AD246" s="22" t="s">
        <v>2234</v>
      </c>
      <c r="AE246" s="25"/>
      <c r="AF246" s="12"/>
      <c r="AG246" s="12"/>
      <c r="AH246" s="12"/>
      <c r="AI246" s="12"/>
      <c r="AJ246" s="12"/>
      <c r="AK246" s="12"/>
    </row>
    <row r="247">
      <c r="A247" s="34">
        <v>45674.64973680556</v>
      </c>
      <c r="B247" s="14">
        <f t="shared" si="1"/>
        <v>45674</v>
      </c>
      <c r="C247" s="15" t="s">
        <v>295</v>
      </c>
      <c r="D247" s="15" t="s">
        <v>2235</v>
      </c>
      <c r="E247" s="15" t="str">
        <f t="shared" si="15"/>
        <v>Branden Garnett</v>
      </c>
      <c r="F247" s="16" t="str">
        <f t="shared" si="16"/>
        <v>(202) 733-7069</v>
      </c>
      <c r="G247" s="15" t="s">
        <v>2236</v>
      </c>
      <c r="H247" s="40" t="s">
        <v>66</v>
      </c>
      <c r="I247" s="17" t="s">
        <v>2237</v>
      </c>
      <c r="J247" s="18" t="s">
        <v>2238</v>
      </c>
      <c r="K247" s="18" t="s">
        <v>2239</v>
      </c>
      <c r="L247" s="26" t="s">
        <v>2240</v>
      </c>
      <c r="M247" s="27" t="s">
        <v>39</v>
      </c>
      <c r="N247" s="21" t="s">
        <v>2241</v>
      </c>
      <c r="O247" s="21" t="s">
        <v>2242</v>
      </c>
      <c r="P247" s="21" t="s">
        <v>2243</v>
      </c>
      <c r="Q247" s="21" t="s">
        <v>2244</v>
      </c>
      <c r="R247" s="21">
        <v>20010.0</v>
      </c>
      <c r="S247" s="21" t="s">
        <v>59</v>
      </c>
      <c r="T247" s="21" t="s">
        <v>2245</v>
      </c>
      <c r="U247" s="21">
        <v>1.0</v>
      </c>
      <c r="V247" s="21">
        <v>0.0</v>
      </c>
      <c r="W247" s="21">
        <f t="shared" si="4"/>
        <v>1</v>
      </c>
      <c r="X247" s="21" t="s">
        <v>46</v>
      </c>
      <c r="Y247" s="21" t="s">
        <v>47</v>
      </c>
      <c r="Z247" s="22" t="s">
        <v>2246</v>
      </c>
      <c r="AA247" s="22" t="s">
        <v>2247</v>
      </c>
      <c r="AB247" s="21" t="s">
        <v>2069</v>
      </c>
      <c r="AC247" s="21">
        <v>6.0</v>
      </c>
      <c r="AD247" s="22" t="s">
        <v>2248</v>
      </c>
      <c r="AE247" s="25"/>
      <c r="AF247" s="12"/>
      <c r="AG247" s="12"/>
      <c r="AH247" s="12"/>
      <c r="AI247" s="12"/>
      <c r="AJ247" s="12"/>
      <c r="AK247" s="12"/>
    </row>
    <row r="248">
      <c r="A248" s="34">
        <v>45677.59622020833</v>
      </c>
      <c r="B248" s="14">
        <f t="shared" si="1"/>
        <v>45677</v>
      </c>
      <c r="C248" s="15" t="s">
        <v>295</v>
      </c>
      <c r="D248" s="15" t="s">
        <v>271</v>
      </c>
      <c r="E248" s="15" t="str">
        <f t="shared" si="15"/>
        <v>David Smith</v>
      </c>
      <c r="F248" s="16" t="str">
        <f t="shared" si="16"/>
        <v>(202) 451-1504</v>
      </c>
      <c r="G248" s="15" t="s">
        <v>2249</v>
      </c>
      <c r="H248" s="40" t="s">
        <v>66</v>
      </c>
      <c r="I248" s="17" t="s">
        <v>273</v>
      </c>
      <c r="J248" s="18" t="s">
        <v>274</v>
      </c>
      <c r="K248" s="18" t="s">
        <v>275</v>
      </c>
      <c r="L248" s="18" t="s">
        <v>2250</v>
      </c>
      <c r="M248" s="27" t="s">
        <v>39</v>
      </c>
      <c r="N248" s="21" t="s">
        <v>276</v>
      </c>
      <c r="O248" s="21" t="s">
        <v>1062</v>
      </c>
      <c r="P248" s="21" t="s">
        <v>2251</v>
      </c>
      <c r="Q248" s="21">
        <v>158.0</v>
      </c>
      <c r="R248" s="21">
        <v>20002.0</v>
      </c>
      <c r="S248" s="21" t="s">
        <v>74</v>
      </c>
      <c r="T248" s="21" t="s">
        <v>2252</v>
      </c>
      <c r="U248" s="21">
        <v>4.0</v>
      </c>
      <c r="V248" s="21">
        <v>0.0</v>
      </c>
      <c r="W248" s="21">
        <f t="shared" si="4"/>
        <v>4</v>
      </c>
      <c r="X248" s="21" t="s">
        <v>46</v>
      </c>
      <c r="Y248" s="21" t="s">
        <v>47</v>
      </c>
      <c r="Z248" s="22" t="s">
        <v>236</v>
      </c>
      <c r="AA248" s="22" t="s">
        <v>2253</v>
      </c>
      <c r="AB248" s="21" t="s">
        <v>2069</v>
      </c>
      <c r="AC248" s="21">
        <v>12.0</v>
      </c>
      <c r="AD248" s="22" t="s">
        <v>2254</v>
      </c>
      <c r="AE248" s="25"/>
      <c r="AF248" s="12"/>
      <c r="AG248" s="12"/>
      <c r="AH248" s="12"/>
      <c r="AI248" s="12"/>
      <c r="AJ248" s="12"/>
      <c r="AK248" s="12"/>
    </row>
    <row r="249">
      <c r="A249" s="34">
        <v>45777.96471509259</v>
      </c>
      <c r="B249" s="14">
        <f t="shared" si="1"/>
        <v>45777</v>
      </c>
      <c r="C249" s="15" t="s">
        <v>31</v>
      </c>
      <c r="D249" s="15" t="s">
        <v>2255</v>
      </c>
      <c r="E249" s="15" t="s">
        <v>2256</v>
      </c>
      <c r="F249" s="16" t="str">
        <f t="shared" si="16"/>
        <v>(202) 889-8707</v>
      </c>
      <c r="G249" s="15" t="s">
        <v>2257</v>
      </c>
      <c r="H249" s="40" t="s">
        <v>66</v>
      </c>
      <c r="I249" s="17" t="s">
        <v>273</v>
      </c>
      <c r="J249" s="18" t="s">
        <v>274</v>
      </c>
      <c r="K249" s="18" t="s">
        <v>275</v>
      </c>
      <c r="L249" s="18" t="s">
        <v>2250</v>
      </c>
      <c r="M249" s="27" t="s">
        <v>39</v>
      </c>
      <c r="N249" s="21" t="s">
        <v>2258</v>
      </c>
      <c r="O249" s="21" t="s">
        <v>537</v>
      </c>
      <c r="P249" s="21" t="s">
        <v>2259</v>
      </c>
      <c r="Q249" s="21">
        <v>203.0</v>
      </c>
      <c r="R249" s="21">
        <v>20020.0</v>
      </c>
      <c r="S249" s="21" t="s">
        <v>44</v>
      </c>
      <c r="T249" s="21" t="s">
        <v>2260</v>
      </c>
      <c r="U249" s="21">
        <v>3.0</v>
      </c>
      <c r="V249" s="21">
        <v>2.0</v>
      </c>
      <c r="W249" s="21">
        <f t="shared" si="4"/>
        <v>5</v>
      </c>
      <c r="X249" s="21" t="s">
        <v>2261</v>
      </c>
      <c r="Y249" s="21" t="s">
        <v>85</v>
      </c>
      <c r="Z249" s="22" t="s">
        <v>236</v>
      </c>
      <c r="AA249" s="22" t="s">
        <v>2262</v>
      </c>
      <c r="AB249" s="21" t="s">
        <v>2069</v>
      </c>
      <c r="AC249" s="21">
        <v>12.0</v>
      </c>
      <c r="AD249" s="22" t="s">
        <v>2263</v>
      </c>
      <c r="AE249" s="25"/>
      <c r="AF249" s="12"/>
      <c r="AG249" s="12"/>
      <c r="AH249" s="12"/>
      <c r="AI249" s="12"/>
      <c r="AJ249" s="12"/>
      <c r="AK249" s="12"/>
    </row>
    <row r="250">
      <c r="A250" s="34">
        <v>45677.65221748843</v>
      </c>
      <c r="B250" s="14">
        <f t="shared" si="1"/>
        <v>45677</v>
      </c>
      <c r="C250" s="15" t="s">
        <v>31</v>
      </c>
      <c r="D250" s="15" t="s">
        <v>2264</v>
      </c>
      <c r="E250" s="15" t="str">
        <f t="shared" ref="E250:E264" si="17">N250&amp;" "&amp;O250</f>
        <v>Ashleigh  Palmer </v>
      </c>
      <c r="F250" s="16" t="s">
        <v>2265</v>
      </c>
      <c r="G250" s="15" t="s">
        <v>422</v>
      </c>
      <c r="H250" s="40" t="s">
        <v>103</v>
      </c>
      <c r="I250" s="17" t="s">
        <v>273</v>
      </c>
      <c r="J250" s="18" t="s">
        <v>274</v>
      </c>
      <c r="K250" s="18" t="s">
        <v>275</v>
      </c>
      <c r="L250" s="18" t="s">
        <v>2250</v>
      </c>
      <c r="M250" s="27" t="s">
        <v>39</v>
      </c>
      <c r="N250" s="21" t="s">
        <v>2266</v>
      </c>
      <c r="O250" s="21" t="s">
        <v>2267</v>
      </c>
      <c r="P250" s="21" t="s">
        <v>2268</v>
      </c>
      <c r="Q250" s="21">
        <v>103.0</v>
      </c>
      <c r="R250" s="21">
        <v>20020.0</v>
      </c>
      <c r="S250" s="21" t="s">
        <v>44</v>
      </c>
      <c r="T250" s="21" t="s">
        <v>2269</v>
      </c>
      <c r="U250" s="21">
        <v>1.0</v>
      </c>
      <c r="V250" s="21">
        <v>3.0</v>
      </c>
      <c r="W250" s="21">
        <f t="shared" si="4"/>
        <v>4</v>
      </c>
      <c r="X250" s="21" t="s">
        <v>46</v>
      </c>
      <c r="Y250" s="21" t="s">
        <v>85</v>
      </c>
      <c r="Z250" s="22" t="s">
        <v>236</v>
      </c>
      <c r="AA250" s="22" t="s">
        <v>2270</v>
      </c>
      <c r="AB250" s="21" t="s">
        <v>2069</v>
      </c>
      <c r="AC250" s="21">
        <v>12.0</v>
      </c>
      <c r="AD250" s="22" t="s">
        <v>2271</v>
      </c>
      <c r="AE250" s="25"/>
      <c r="AF250" s="12"/>
      <c r="AG250" s="12"/>
      <c r="AH250" s="12"/>
      <c r="AI250" s="12"/>
      <c r="AJ250" s="12"/>
      <c r="AK250" s="12"/>
    </row>
    <row r="251">
      <c r="A251" s="34">
        <v>45677.691742118055</v>
      </c>
      <c r="B251" s="14">
        <f t="shared" si="1"/>
        <v>45677</v>
      </c>
      <c r="C251" s="15" t="s">
        <v>31</v>
      </c>
      <c r="D251" s="15" t="s">
        <v>2272</v>
      </c>
      <c r="E251" s="15" t="str">
        <f t="shared" si="17"/>
        <v>Nakita Baylor</v>
      </c>
      <c r="F251" s="16" t="str">
        <f t="shared" ref="F251:F377" si="18">T251</f>
        <v>(202) 489-8580</v>
      </c>
      <c r="G251" s="15" t="s">
        <v>2273</v>
      </c>
      <c r="H251" s="40" t="s">
        <v>103</v>
      </c>
      <c r="I251" s="17" t="s">
        <v>273</v>
      </c>
      <c r="J251" s="18" t="s">
        <v>274</v>
      </c>
      <c r="K251" s="18" t="s">
        <v>2274</v>
      </c>
      <c r="L251" s="18" t="s">
        <v>2250</v>
      </c>
      <c r="M251" s="27" t="s">
        <v>39</v>
      </c>
      <c r="N251" s="21" t="s">
        <v>2275</v>
      </c>
      <c r="O251" s="21" t="s">
        <v>2276</v>
      </c>
      <c r="P251" s="21" t="s">
        <v>2277</v>
      </c>
      <c r="Q251" s="21">
        <v>102.0</v>
      </c>
      <c r="R251" s="21">
        <v>20032.0</v>
      </c>
      <c r="S251" s="21" t="s">
        <v>562</v>
      </c>
      <c r="T251" s="21" t="s">
        <v>2278</v>
      </c>
      <c r="U251" s="21">
        <v>1.0</v>
      </c>
      <c r="V251" s="21">
        <v>4.0</v>
      </c>
      <c r="W251" s="21">
        <f t="shared" si="4"/>
        <v>5</v>
      </c>
      <c r="X251" s="21" t="s">
        <v>46</v>
      </c>
      <c r="Y251" s="21" t="s">
        <v>85</v>
      </c>
      <c r="Z251" s="22" t="s">
        <v>166</v>
      </c>
      <c r="AA251" s="22" t="s">
        <v>2279</v>
      </c>
      <c r="AB251" s="21" t="s">
        <v>2059</v>
      </c>
      <c r="AC251" s="21">
        <v>12.0</v>
      </c>
      <c r="AD251" s="22" t="s">
        <v>2280</v>
      </c>
      <c r="AE251" s="25"/>
      <c r="AF251" s="12"/>
      <c r="AG251" s="12"/>
      <c r="AH251" s="12"/>
      <c r="AI251" s="12"/>
      <c r="AJ251" s="12"/>
      <c r="AK251" s="12"/>
    </row>
    <row r="252">
      <c r="A252" s="34">
        <v>45678.404517731484</v>
      </c>
      <c r="B252" s="14">
        <f t="shared" si="1"/>
        <v>45678</v>
      </c>
      <c r="C252" s="15" t="s">
        <v>295</v>
      </c>
      <c r="D252" s="15" t="s">
        <v>2281</v>
      </c>
      <c r="E252" s="15" t="str">
        <f t="shared" si="17"/>
        <v>Marquita Coleman-Scales</v>
      </c>
      <c r="F252" s="16" t="str">
        <f t="shared" si="18"/>
        <v>(301) 357-2494</v>
      </c>
      <c r="G252" s="15" t="s">
        <v>2282</v>
      </c>
      <c r="H252" s="40" t="s">
        <v>66</v>
      </c>
      <c r="I252" s="17" t="s">
        <v>2283</v>
      </c>
      <c r="J252" s="18" t="s">
        <v>2284</v>
      </c>
      <c r="K252" s="18" t="s">
        <v>2285</v>
      </c>
      <c r="L252" s="18" t="s">
        <v>2286</v>
      </c>
      <c r="M252" s="27" t="s">
        <v>39</v>
      </c>
      <c r="N252" s="21" t="s">
        <v>2287</v>
      </c>
      <c r="O252" s="21" t="s">
        <v>2288</v>
      </c>
      <c r="P252" s="21" t="s">
        <v>2289</v>
      </c>
      <c r="Q252" s="21">
        <v>204.0</v>
      </c>
      <c r="R252" s="21">
        <v>20032.0</v>
      </c>
      <c r="S252" s="21" t="s">
        <v>44</v>
      </c>
      <c r="T252" s="21" t="s">
        <v>2290</v>
      </c>
      <c r="U252" s="21">
        <v>2.0</v>
      </c>
      <c r="V252" s="21">
        <v>1.0</v>
      </c>
      <c r="W252" s="21">
        <f t="shared" si="4"/>
        <v>3</v>
      </c>
      <c r="X252" s="21" t="s">
        <v>46</v>
      </c>
      <c r="Y252" s="21" t="s">
        <v>85</v>
      </c>
      <c r="Z252" s="22" t="s">
        <v>166</v>
      </c>
      <c r="AA252" s="22" t="s">
        <v>2291</v>
      </c>
      <c r="AB252" s="21" t="s">
        <v>2069</v>
      </c>
      <c r="AC252" s="21">
        <v>12.0</v>
      </c>
      <c r="AD252" s="22" t="s">
        <v>2292</v>
      </c>
      <c r="AE252" s="25"/>
      <c r="AF252" s="12"/>
      <c r="AG252" s="12"/>
      <c r="AH252" s="12"/>
      <c r="AI252" s="12"/>
      <c r="AJ252" s="12"/>
      <c r="AK252" s="12"/>
    </row>
    <row r="253">
      <c r="A253" s="34">
        <v>45678.55605461806</v>
      </c>
      <c r="B253" s="14">
        <f t="shared" si="1"/>
        <v>45678</v>
      </c>
      <c r="C253" s="15" t="s">
        <v>295</v>
      </c>
      <c r="D253" s="15" t="s">
        <v>2293</v>
      </c>
      <c r="E253" s="15" t="str">
        <f t="shared" si="17"/>
        <v>Denise Jackson</v>
      </c>
      <c r="F253" s="16" t="str">
        <f t="shared" si="18"/>
        <v>(301) 388-6011</v>
      </c>
      <c r="G253" s="15" t="s">
        <v>2249</v>
      </c>
      <c r="H253" s="40" t="s">
        <v>34</v>
      </c>
      <c r="I253" s="17" t="s">
        <v>213</v>
      </c>
      <c r="J253" s="18" t="s">
        <v>214</v>
      </c>
      <c r="K253" s="18" t="s">
        <v>116</v>
      </c>
      <c r="L253" s="18" t="s">
        <v>2294</v>
      </c>
      <c r="M253" s="27" t="s">
        <v>39</v>
      </c>
      <c r="N253" s="21" t="s">
        <v>2295</v>
      </c>
      <c r="O253" s="21" t="s">
        <v>610</v>
      </c>
      <c r="P253" s="21" t="s">
        <v>2296</v>
      </c>
      <c r="Q253" s="28"/>
      <c r="R253" s="21">
        <v>20020.0</v>
      </c>
      <c r="S253" s="21" t="s">
        <v>44</v>
      </c>
      <c r="T253" s="21" t="s">
        <v>2297</v>
      </c>
      <c r="U253" s="21">
        <v>2.0</v>
      </c>
      <c r="V253" s="21">
        <v>0.0</v>
      </c>
      <c r="W253" s="21">
        <f t="shared" si="4"/>
        <v>2</v>
      </c>
      <c r="X253" s="21" t="s">
        <v>46</v>
      </c>
      <c r="Y253" s="21" t="s">
        <v>47</v>
      </c>
      <c r="Z253" s="22" t="s">
        <v>2298</v>
      </c>
      <c r="AA253" s="22" t="s">
        <v>2299</v>
      </c>
      <c r="AB253" s="21" t="s">
        <v>2069</v>
      </c>
      <c r="AC253" s="21">
        <v>3.0</v>
      </c>
      <c r="AD253" s="22" t="s">
        <v>2300</v>
      </c>
      <c r="AE253" s="25"/>
      <c r="AF253" s="12"/>
      <c r="AG253" s="12"/>
      <c r="AH253" s="12"/>
      <c r="AI253" s="12"/>
      <c r="AJ253" s="12"/>
      <c r="AK253" s="12"/>
    </row>
    <row r="254">
      <c r="A254" s="34">
        <v>45678.69877192129</v>
      </c>
      <c r="B254" s="14">
        <f t="shared" si="1"/>
        <v>45678</v>
      </c>
      <c r="C254" s="15" t="s">
        <v>643</v>
      </c>
      <c r="D254" s="15" t="s">
        <v>2301</v>
      </c>
      <c r="E254" s="15" t="str">
        <f t="shared" si="17"/>
        <v>Jojan Aldonate</v>
      </c>
      <c r="F254" s="16" t="str">
        <f t="shared" si="18"/>
        <v>(202) 840-5243</v>
      </c>
      <c r="G254" s="15" t="s">
        <v>2302</v>
      </c>
      <c r="H254" s="40" t="s">
        <v>66</v>
      </c>
      <c r="I254" s="17" t="s">
        <v>1953</v>
      </c>
      <c r="J254" s="18" t="s">
        <v>841</v>
      </c>
      <c r="K254" s="18" t="s">
        <v>2303</v>
      </c>
      <c r="L254" s="18" t="s">
        <v>2304</v>
      </c>
      <c r="M254" s="27" t="s">
        <v>39</v>
      </c>
      <c r="N254" s="21" t="s">
        <v>2305</v>
      </c>
      <c r="O254" s="21" t="s">
        <v>2306</v>
      </c>
      <c r="P254" s="21" t="s">
        <v>2307</v>
      </c>
      <c r="Q254" s="28"/>
      <c r="R254" s="21">
        <v>20019.0</v>
      </c>
      <c r="S254" s="21" t="s">
        <v>44</v>
      </c>
      <c r="T254" s="21" t="s">
        <v>2308</v>
      </c>
      <c r="U254" s="21">
        <v>2.0</v>
      </c>
      <c r="V254" s="21">
        <v>1.0</v>
      </c>
      <c r="W254" s="21">
        <f t="shared" si="4"/>
        <v>3</v>
      </c>
      <c r="X254" s="21" t="s">
        <v>46</v>
      </c>
      <c r="Y254" s="21" t="s">
        <v>47</v>
      </c>
      <c r="Z254" s="22" t="s">
        <v>2309</v>
      </c>
      <c r="AA254" s="22" t="s">
        <v>2310</v>
      </c>
      <c r="AB254" s="21" t="s">
        <v>2059</v>
      </c>
      <c r="AC254" s="21">
        <v>2.0</v>
      </c>
      <c r="AD254" s="22" t="s">
        <v>2311</v>
      </c>
      <c r="AE254" s="25"/>
    </row>
    <row r="255">
      <c r="A255" s="34">
        <v>45678.70146708333</v>
      </c>
      <c r="B255" s="14">
        <f t="shared" si="1"/>
        <v>45678</v>
      </c>
      <c r="C255" s="15" t="s">
        <v>295</v>
      </c>
      <c r="D255" s="15" t="s">
        <v>2312</v>
      </c>
      <c r="E255" s="15" t="str">
        <f t="shared" si="17"/>
        <v>John  Roberts</v>
      </c>
      <c r="F255" s="16" t="str">
        <f t="shared" si="18"/>
        <v>(202) 655-9716</v>
      </c>
      <c r="G255" s="15" t="s">
        <v>2313</v>
      </c>
      <c r="H255" s="40" t="s">
        <v>103</v>
      </c>
      <c r="I255" s="17" t="s">
        <v>2314</v>
      </c>
      <c r="J255" s="18" t="s">
        <v>2315</v>
      </c>
      <c r="K255" s="18" t="s">
        <v>2316</v>
      </c>
      <c r="L255" s="18" t="s">
        <v>2317</v>
      </c>
      <c r="M255" s="27" t="s">
        <v>39</v>
      </c>
      <c r="N255" s="21" t="s">
        <v>2318</v>
      </c>
      <c r="O255" s="21" t="s">
        <v>2319</v>
      </c>
      <c r="P255" s="21" t="s">
        <v>2320</v>
      </c>
      <c r="Q255" s="21" t="s">
        <v>2321</v>
      </c>
      <c r="R255" s="21">
        <v>20012.0</v>
      </c>
      <c r="S255" s="21" t="s">
        <v>59</v>
      </c>
      <c r="T255" s="21" t="s">
        <v>2322</v>
      </c>
      <c r="U255" s="21">
        <v>1.0</v>
      </c>
      <c r="V255" s="21">
        <v>0.0</v>
      </c>
      <c r="W255" s="21">
        <f t="shared" si="4"/>
        <v>1</v>
      </c>
      <c r="X255" s="21" t="s">
        <v>46</v>
      </c>
      <c r="Y255" s="21" t="s">
        <v>47</v>
      </c>
      <c r="Z255" s="22" t="s">
        <v>361</v>
      </c>
      <c r="AA255" s="22" t="s">
        <v>2323</v>
      </c>
      <c r="AB255" s="21" t="s">
        <v>2059</v>
      </c>
      <c r="AC255" s="21">
        <v>12.0</v>
      </c>
      <c r="AD255" s="22" t="s">
        <v>2324</v>
      </c>
      <c r="AE255" s="25"/>
    </row>
    <row r="256">
      <c r="A256" s="34">
        <v>45679.39300548611</v>
      </c>
      <c r="B256" s="14">
        <f t="shared" si="1"/>
        <v>45679</v>
      </c>
      <c r="C256" s="15" t="s">
        <v>295</v>
      </c>
      <c r="D256" s="15" t="s">
        <v>2325</v>
      </c>
      <c r="E256" s="15" t="str">
        <f t="shared" si="17"/>
        <v>Gloria  Johnson</v>
      </c>
      <c r="F256" s="16" t="str">
        <f t="shared" si="18"/>
        <v>(202) 299-8992</v>
      </c>
      <c r="G256" s="15" t="s">
        <v>2326</v>
      </c>
      <c r="H256" s="40" t="s">
        <v>66</v>
      </c>
      <c r="I256" s="17" t="s">
        <v>1153</v>
      </c>
      <c r="J256" s="18" t="s">
        <v>1425</v>
      </c>
      <c r="K256" s="18" t="s">
        <v>1155</v>
      </c>
      <c r="L256" s="18" t="s">
        <v>2327</v>
      </c>
      <c r="M256" s="27" t="s">
        <v>39</v>
      </c>
      <c r="N256" s="21" t="s">
        <v>2328</v>
      </c>
      <c r="O256" s="21" t="s">
        <v>388</v>
      </c>
      <c r="P256" s="21" t="s">
        <v>2329</v>
      </c>
      <c r="Q256" s="21">
        <v>202.0</v>
      </c>
      <c r="R256" s="21">
        <v>20010.0</v>
      </c>
      <c r="S256" s="21" t="s">
        <v>59</v>
      </c>
      <c r="T256" s="21" t="s">
        <v>2330</v>
      </c>
      <c r="U256" s="21">
        <v>1.0</v>
      </c>
      <c r="V256" s="21">
        <v>0.0</v>
      </c>
      <c r="W256" s="21">
        <f t="shared" si="4"/>
        <v>1</v>
      </c>
      <c r="X256" s="21" t="s">
        <v>84</v>
      </c>
      <c r="Y256" s="21" t="s">
        <v>47</v>
      </c>
      <c r="Z256" s="22" t="s">
        <v>144</v>
      </c>
      <c r="AA256" s="22" t="s">
        <v>2331</v>
      </c>
      <c r="AB256" s="21" t="s">
        <v>2069</v>
      </c>
      <c r="AC256" s="21">
        <v>2.0</v>
      </c>
      <c r="AD256" s="22" t="s">
        <v>2332</v>
      </c>
      <c r="AE256" s="25"/>
      <c r="AF256" s="12"/>
      <c r="AG256" s="12"/>
      <c r="AH256" s="12"/>
      <c r="AI256" s="12"/>
      <c r="AJ256" s="12"/>
      <c r="AK256" s="12"/>
    </row>
    <row r="257">
      <c r="A257" s="34">
        <v>45679.44865118056</v>
      </c>
      <c r="B257" s="14">
        <f t="shared" si="1"/>
        <v>45679</v>
      </c>
      <c r="C257" s="15" t="s">
        <v>327</v>
      </c>
      <c r="D257" s="15" t="s">
        <v>2333</v>
      </c>
      <c r="E257" s="15" t="str">
        <f t="shared" si="17"/>
        <v>LUCILLE TILLMAN</v>
      </c>
      <c r="F257" s="16" t="str">
        <f t="shared" si="18"/>
        <v>(202) 413-5159</v>
      </c>
      <c r="G257" s="15" t="s">
        <v>2334</v>
      </c>
      <c r="H257" s="40" t="s">
        <v>66</v>
      </c>
      <c r="I257" s="17" t="s">
        <v>1135</v>
      </c>
      <c r="J257" s="18" t="s">
        <v>1136</v>
      </c>
      <c r="K257" s="18" t="s">
        <v>116</v>
      </c>
      <c r="L257" s="18" t="s">
        <v>2335</v>
      </c>
      <c r="M257" s="27" t="s">
        <v>39</v>
      </c>
      <c r="N257" s="21" t="s">
        <v>2336</v>
      </c>
      <c r="O257" s="21" t="s">
        <v>2337</v>
      </c>
      <c r="P257" s="21" t="s">
        <v>2338</v>
      </c>
      <c r="Q257" s="28"/>
      <c r="R257" s="21">
        <v>20032.0</v>
      </c>
      <c r="S257" s="21" t="s">
        <v>44</v>
      </c>
      <c r="T257" s="21" t="s">
        <v>2339</v>
      </c>
      <c r="U257" s="21">
        <v>1.0</v>
      </c>
      <c r="V257" s="21">
        <v>0.0</v>
      </c>
      <c r="W257" s="21">
        <f t="shared" si="4"/>
        <v>1</v>
      </c>
      <c r="X257" s="21" t="s">
        <v>84</v>
      </c>
      <c r="Y257" s="21" t="s">
        <v>85</v>
      </c>
      <c r="Z257" s="22" t="s">
        <v>259</v>
      </c>
      <c r="AA257" s="22" t="s">
        <v>2340</v>
      </c>
      <c r="AB257" s="21" t="s">
        <v>2069</v>
      </c>
      <c r="AC257" s="21">
        <v>12.0</v>
      </c>
      <c r="AD257" s="22" t="s">
        <v>2341</v>
      </c>
      <c r="AE257" s="25"/>
    </row>
    <row r="258">
      <c r="A258" s="34">
        <v>45681.596670983796</v>
      </c>
      <c r="B258" s="14">
        <f t="shared" si="1"/>
        <v>45681</v>
      </c>
      <c r="C258" s="15" t="s">
        <v>295</v>
      </c>
      <c r="D258" s="15" t="s">
        <v>2342</v>
      </c>
      <c r="E258" s="15" t="str">
        <f t="shared" si="17"/>
        <v>Luther Bullock</v>
      </c>
      <c r="F258" s="16" t="str">
        <f t="shared" si="18"/>
        <v>(202) 850-9858</v>
      </c>
      <c r="G258" s="15" t="s">
        <v>2343</v>
      </c>
      <c r="H258" s="40" t="s">
        <v>103</v>
      </c>
      <c r="I258" s="17" t="s">
        <v>2314</v>
      </c>
      <c r="J258" s="18" t="s">
        <v>2315</v>
      </c>
      <c r="K258" s="18" t="s">
        <v>2316</v>
      </c>
      <c r="L258" s="18" t="s">
        <v>2317</v>
      </c>
      <c r="M258" s="27" t="s">
        <v>39</v>
      </c>
      <c r="N258" s="21" t="s">
        <v>2344</v>
      </c>
      <c r="O258" s="21" t="s">
        <v>2345</v>
      </c>
      <c r="P258" s="21" t="s">
        <v>2346</v>
      </c>
      <c r="Q258" s="21" t="s">
        <v>2347</v>
      </c>
      <c r="R258" s="21">
        <v>20002.0</v>
      </c>
      <c r="S258" s="21" t="s">
        <v>74</v>
      </c>
      <c r="T258" s="21" t="s">
        <v>2348</v>
      </c>
      <c r="U258" s="21">
        <v>1.0</v>
      </c>
      <c r="V258" s="21">
        <v>0.0</v>
      </c>
      <c r="W258" s="21">
        <f t="shared" si="4"/>
        <v>1</v>
      </c>
      <c r="X258" s="21" t="s">
        <v>46</v>
      </c>
      <c r="Y258" s="21" t="s">
        <v>47</v>
      </c>
      <c r="Z258" s="22" t="s">
        <v>48</v>
      </c>
      <c r="AA258" s="22" t="s">
        <v>2349</v>
      </c>
      <c r="AB258" s="21" t="s">
        <v>2059</v>
      </c>
      <c r="AC258" s="21">
        <v>12.0</v>
      </c>
      <c r="AD258" s="22" t="s">
        <v>2350</v>
      </c>
      <c r="AE258" s="25"/>
      <c r="AF258" s="12"/>
      <c r="AG258" s="12"/>
      <c r="AH258" s="12"/>
      <c r="AI258" s="12"/>
      <c r="AJ258" s="12"/>
      <c r="AK258" s="12"/>
    </row>
    <row r="259">
      <c r="A259" s="34">
        <v>45684.56094333333</v>
      </c>
      <c r="B259" s="14">
        <f t="shared" si="1"/>
        <v>45684</v>
      </c>
      <c r="C259" s="15" t="s">
        <v>295</v>
      </c>
      <c r="D259" s="15" t="s">
        <v>2351</v>
      </c>
      <c r="E259" s="15" t="str">
        <f t="shared" si="17"/>
        <v>Melvin  Brown</v>
      </c>
      <c r="F259" s="16" t="str">
        <f t="shared" si="18"/>
        <v>(202) 352-1067</v>
      </c>
      <c r="G259" s="15" t="s">
        <v>2352</v>
      </c>
      <c r="H259" s="40" t="s">
        <v>66</v>
      </c>
      <c r="I259" s="17" t="s">
        <v>2353</v>
      </c>
      <c r="J259" s="18" t="s">
        <v>2354</v>
      </c>
      <c r="K259" s="18" t="s">
        <v>2355</v>
      </c>
      <c r="L259" s="18" t="s">
        <v>2356</v>
      </c>
      <c r="M259" s="27" t="s">
        <v>39</v>
      </c>
      <c r="N259" s="21" t="s">
        <v>2357</v>
      </c>
      <c r="O259" s="21" t="s">
        <v>2358</v>
      </c>
      <c r="P259" s="21" t="s">
        <v>2359</v>
      </c>
      <c r="Q259" s="21">
        <v>215.0</v>
      </c>
      <c r="R259" s="21">
        <v>20005.0</v>
      </c>
      <c r="S259" s="21" t="s">
        <v>59</v>
      </c>
      <c r="T259" s="21" t="s">
        <v>2360</v>
      </c>
      <c r="U259" s="21">
        <v>1.0</v>
      </c>
      <c r="V259" s="21">
        <v>0.0</v>
      </c>
      <c r="W259" s="21">
        <f t="shared" si="4"/>
        <v>1</v>
      </c>
      <c r="X259" s="21" t="s">
        <v>46</v>
      </c>
      <c r="Y259" s="21" t="s">
        <v>47</v>
      </c>
      <c r="Z259" s="22" t="s">
        <v>48</v>
      </c>
      <c r="AA259" s="22" t="s">
        <v>2361</v>
      </c>
      <c r="AB259" s="21" t="s">
        <v>2059</v>
      </c>
      <c r="AC259" s="21">
        <v>12.0</v>
      </c>
      <c r="AD259" s="22" t="s">
        <v>2362</v>
      </c>
      <c r="AE259" s="25"/>
      <c r="AF259" s="12"/>
      <c r="AG259" s="12"/>
      <c r="AH259" s="12"/>
      <c r="AI259" s="12"/>
      <c r="AJ259" s="12"/>
      <c r="AK259" s="12"/>
    </row>
    <row r="260">
      <c r="A260" s="34">
        <v>45684.6842928588</v>
      </c>
      <c r="B260" s="14">
        <f t="shared" si="1"/>
        <v>45684</v>
      </c>
      <c r="C260" s="15" t="s">
        <v>31</v>
      </c>
      <c r="D260" s="15" t="s">
        <v>2363</v>
      </c>
      <c r="E260" s="15" t="str">
        <f t="shared" si="17"/>
        <v>Deborah Simms</v>
      </c>
      <c r="F260" s="16" t="str">
        <f t="shared" si="18"/>
        <v>(202) 910-6158</v>
      </c>
      <c r="G260" s="15" t="s">
        <v>2364</v>
      </c>
      <c r="H260" s="40" t="s">
        <v>103</v>
      </c>
      <c r="I260" s="17" t="s">
        <v>2365</v>
      </c>
      <c r="J260" s="18" t="s">
        <v>2366</v>
      </c>
      <c r="K260" s="18" t="s">
        <v>2367</v>
      </c>
      <c r="L260" s="18" t="s">
        <v>2368</v>
      </c>
      <c r="M260" s="27" t="s">
        <v>39</v>
      </c>
      <c r="N260" s="21" t="s">
        <v>2369</v>
      </c>
      <c r="O260" s="21" t="s">
        <v>2370</v>
      </c>
      <c r="P260" s="21" t="s">
        <v>2371</v>
      </c>
      <c r="Q260" s="21">
        <v>425.0</v>
      </c>
      <c r="R260" s="21">
        <v>20002.0</v>
      </c>
      <c r="S260" s="21" t="s">
        <v>74</v>
      </c>
      <c r="T260" s="21" t="s">
        <v>2372</v>
      </c>
      <c r="U260" s="21">
        <v>1.0</v>
      </c>
      <c r="V260" s="21">
        <v>0.0</v>
      </c>
      <c r="W260" s="21">
        <f t="shared" si="4"/>
        <v>1</v>
      </c>
      <c r="X260" s="21" t="s">
        <v>84</v>
      </c>
      <c r="Y260" s="21" t="s">
        <v>47</v>
      </c>
      <c r="Z260" s="22" t="s">
        <v>187</v>
      </c>
      <c r="AA260" s="22" t="s">
        <v>2373</v>
      </c>
      <c r="AB260" s="21" t="s">
        <v>2059</v>
      </c>
      <c r="AC260" s="21">
        <v>12.0</v>
      </c>
      <c r="AD260" s="22" t="s">
        <v>2374</v>
      </c>
      <c r="AE260" s="25"/>
      <c r="AF260" s="12"/>
      <c r="AG260" s="12"/>
      <c r="AH260" s="12"/>
      <c r="AI260" s="12"/>
      <c r="AJ260" s="12"/>
      <c r="AK260" s="12"/>
    </row>
    <row r="261">
      <c r="A261" s="34">
        <v>45685.64213384259</v>
      </c>
      <c r="B261" s="14">
        <f t="shared" si="1"/>
        <v>45685</v>
      </c>
      <c r="C261" s="15" t="s">
        <v>327</v>
      </c>
      <c r="D261" s="15" t="s">
        <v>2375</v>
      </c>
      <c r="E261" s="15" t="str">
        <f t="shared" si="17"/>
        <v>Paul  Copeland</v>
      </c>
      <c r="F261" s="16" t="str">
        <f t="shared" si="18"/>
        <v>(202) 525-8119</v>
      </c>
      <c r="G261" s="15" t="s">
        <v>2334</v>
      </c>
      <c r="H261" s="40" t="s">
        <v>66</v>
      </c>
      <c r="I261" s="17" t="s">
        <v>2376</v>
      </c>
      <c r="J261" s="18" t="s">
        <v>2377</v>
      </c>
      <c r="K261" s="18" t="s">
        <v>2378</v>
      </c>
      <c r="L261" s="18" t="s">
        <v>2379</v>
      </c>
      <c r="M261" s="27" t="s">
        <v>39</v>
      </c>
      <c r="N261" s="21" t="s">
        <v>2380</v>
      </c>
      <c r="O261" s="21" t="s">
        <v>1873</v>
      </c>
      <c r="P261" s="21" t="s">
        <v>2381</v>
      </c>
      <c r="Q261" s="21">
        <v>1020.0</v>
      </c>
      <c r="R261" s="21">
        <v>20009.0</v>
      </c>
      <c r="S261" s="21" t="s">
        <v>59</v>
      </c>
      <c r="T261" s="21" t="s">
        <v>2382</v>
      </c>
      <c r="U261" s="21">
        <v>1.0</v>
      </c>
      <c r="V261" s="21">
        <v>0.0</v>
      </c>
      <c r="W261" s="21">
        <f t="shared" si="4"/>
        <v>1</v>
      </c>
      <c r="X261" s="21" t="s">
        <v>46</v>
      </c>
      <c r="Y261" s="21" t="s">
        <v>85</v>
      </c>
      <c r="Z261" s="22" t="s">
        <v>166</v>
      </c>
      <c r="AA261" s="22" t="s">
        <v>2383</v>
      </c>
      <c r="AB261" s="21" t="s">
        <v>2059</v>
      </c>
      <c r="AC261" s="21">
        <v>12.0</v>
      </c>
      <c r="AD261" s="22" t="s">
        <v>2384</v>
      </c>
      <c r="AE261" s="25"/>
      <c r="AF261" s="12"/>
      <c r="AG261" s="12"/>
      <c r="AH261" s="12"/>
      <c r="AI261" s="12"/>
      <c r="AJ261" s="12"/>
      <c r="AK261" s="12"/>
    </row>
    <row r="262">
      <c r="A262" s="34">
        <v>45686.36834729167</v>
      </c>
      <c r="B262" s="14">
        <f t="shared" si="1"/>
        <v>45686</v>
      </c>
      <c r="C262" s="15" t="s">
        <v>327</v>
      </c>
      <c r="D262" s="15" t="s">
        <v>2385</v>
      </c>
      <c r="E262" s="15" t="str">
        <f t="shared" si="17"/>
        <v>Sharon Mason</v>
      </c>
      <c r="F262" s="16" t="str">
        <f t="shared" si="18"/>
        <v>(202) 571-0431</v>
      </c>
      <c r="G262" s="15" t="s">
        <v>1496</v>
      </c>
      <c r="H262" s="40" t="s">
        <v>66</v>
      </c>
      <c r="I262" s="17" t="s">
        <v>2386</v>
      </c>
      <c r="J262" s="18" t="s">
        <v>2387</v>
      </c>
      <c r="K262" s="17" t="s">
        <v>2388</v>
      </c>
      <c r="L262" s="19" t="s">
        <v>2389</v>
      </c>
      <c r="M262" s="20" t="s">
        <v>39</v>
      </c>
      <c r="N262" s="21" t="s">
        <v>2390</v>
      </c>
      <c r="O262" s="21" t="s">
        <v>2391</v>
      </c>
      <c r="P262" s="21" t="s">
        <v>2392</v>
      </c>
      <c r="Q262" s="21">
        <v>616.0</v>
      </c>
      <c r="R262" s="21">
        <v>20002.0</v>
      </c>
      <c r="S262" s="21" t="s">
        <v>74</v>
      </c>
      <c r="T262" s="29" t="s">
        <v>2393</v>
      </c>
      <c r="U262" s="21">
        <v>1.0</v>
      </c>
      <c r="V262" s="21">
        <v>0.0</v>
      </c>
      <c r="W262" s="21">
        <f t="shared" si="4"/>
        <v>1</v>
      </c>
      <c r="X262" s="21" t="s">
        <v>84</v>
      </c>
      <c r="Y262" s="21" t="s">
        <v>47</v>
      </c>
      <c r="Z262" s="22" t="s">
        <v>2394</v>
      </c>
      <c r="AA262" s="22" t="s">
        <v>2395</v>
      </c>
      <c r="AB262" s="21" t="s">
        <v>2059</v>
      </c>
      <c r="AC262" s="21">
        <v>6.0</v>
      </c>
      <c r="AD262" s="22" t="s">
        <v>2396</v>
      </c>
      <c r="AE262" s="25"/>
      <c r="AF262" s="12"/>
      <c r="AG262" s="12"/>
      <c r="AH262" s="12"/>
      <c r="AI262" s="12"/>
      <c r="AJ262" s="12"/>
      <c r="AK262" s="12"/>
    </row>
    <row r="263">
      <c r="A263" s="34">
        <v>45686.5193919213</v>
      </c>
      <c r="B263" s="14">
        <f t="shared" si="1"/>
        <v>45686</v>
      </c>
      <c r="C263" s="15" t="s">
        <v>643</v>
      </c>
      <c r="D263" s="15" t="s">
        <v>2397</v>
      </c>
      <c r="E263" s="15" t="str">
        <f t="shared" si="17"/>
        <v>Yolanda Penny</v>
      </c>
      <c r="F263" s="16" t="str">
        <f t="shared" si="18"/>
        <v>(240) 784-7798</v>
      </c>
      <c r="G263" s="15" t="s">
        <v>2398</v>
      </c>
      <c r="H263" s="40" t="s">
        <v>66</v>
      </c>
      <c r="I263" s="17" t="s">
        <v>2399</v>
      </c>
      <c r="J263" s="18" t="s">
        <v>68</v>
      </c>
      <c r="K263" s="18" t="s">
        <v>2400</v>
      </c>
      <c r="L263" s="18" t="s">
        <v>70</v>
      </c>
      <c r="M263" s="27" t="s">
        <v>39</v>
      </c>
      <c r="N263" s="21" t="s">
        <v>2401</v>
      </c>
      <c r="O263" s="21" t="s">
        <v>2402</v>
      </c>
      <c r="P263" s="21" t="s">
        <v>2403</v>
      </c>
      <c r="Q263" s="21">
        <v>414.0</v>
      </c>
      <c r="R263" s="21">
        <v>20009.0</v>
      </c>
      <c r="S263" s="21" t="s">
        <v>59</v>
      </c>
      <c r="T263" s="21" t="s">
        <v>2404</v>
      </c>
      <c r="U263" s="21">
        <v>1.0</v>
      </c>
      <c r="V263" s="21">
        <v>0.0</v>
      </c>
      <c r="W263" s="21">
        <f t="shared" si="4"/>
        <v>1</v>
      </c>
      <c r="X263" s="21" t="s">
        <v>46</v>
      </c>
      <c r="Y263" s="21" t="s">
        <v>85</v>
      </c>
      <c r="Z263" s="22" t="s">
        <v>2405</v>
      </c>
      <c r="AA263" s="22" t="s">
        <v>2406</v>
      </c>
      <c r="AB263" s="21" t="s">
        <v>2059</v>
      </c>
      <c r="AC263" s="21">
        <v>12.0</v>
      </c>
      <c r="AD263" s="22" t="s">
        <v>2407</v>
      </c>
      <c r="AE263" s="25"/>
      <c r="AF263" s="12"/>
      <c r="AG263" s="12"/>
      <c r="AH263" s="12"/>
      <c r="AI263" s="12"/>
      <c r="AJ263" s="12"/>
      <c r="AK263" s="12"/>
    </row>
    <row r="264">
      <c r="A264" s="34">
        <v>45686.64598119213</v>
      </c>
      <c r="B264" s="14">
        <f t="shared" si="1"/>
        <v>45686</v>
      </c>
      <c r="C264" s="15" t="s">
        <v>643</v>
      </c>
      <c r="D264" s="15" t="s">
        <v>2408</v>
      </c>
      <c r="E264" s="15" t="str">
        <f t="shared" si="17"/>
        <v>Sondra Battle</v>
      </c>
      <c r="F264" s="16" t="str">
        <f t="shared" si="18"/>
        <v>(202) 713-4638</v>
      </c>
      <c r="G264" s="15" t="s">
        <v>2409</v>
      </c>
      <c r="H264" s="40" t="s">
        <v>103</v>
      </c>
      <c r="I264" s="17" t="s">
        <v>2410</v>
      </c>
      <c r="J264" s="18" t="s">
        <v>2411</v>
      </c>
      <c r="K264" s="17" t="s">
        <v>2412</v>
      </c>
      <c r="L264" s="19" t="s">
        <v>2413</v>
      </c>
      <c r="M264" s="20" t="s">
        <v>39</v>
      </c>
      <c r="N264" s="21" t="s">
        <v>2414</v>
      </c>
      <c r="O264" s="21" t="s">
        <v>2415</v>
      </c>
      <c r="P264" s="21" t="s">
        <v>2416</v>
      </c>
      <c r="Q264" s="21" t="s">
        <v>2417</v>
      </c>
      <c r="R264" s="21">
        <v>20019.0</v>
      </c>
      <c r="S264" s="21" t="s">
        <v>44</v>
      </c>
      <c r="T264" s="29" t="s">
        <v>2418</v>
      </c>
      <c r="U264" s="21">
        <v>2.0</v>
      </c>
      <c r="V264" s="21">
        <v>1.0</v>
      </c>
      <c r="W264" s="21">
        <f t="shared" si="4"/>
        <v>3</v>
      </c>
      <c r="X264" s="21" t="s">
        <v>46</v>
      </c>
      <c r="Y264" s="21" t="s">
        <v>85</v>
      </c>
      <c r="Z264" s="22" t="s">
        <v>76</v>
      </c>
      <c r="AA264" s="22" t="s">
        <v>2419</v>
      </c>
      <c r="AB264" s="21" t="s">
        <v>2069</v>
      </c>
      <c r="AC264" s="21">
        <v>12.0</v>
      </c>
      <c r="AD264" s="22" t="s">
        <v>2420</v>
      </c>
      <c r="AE264" s="25"/>
      <c r="AF264" s="12"/>
      <c r="AG264" s="12"/>
      <c r="AH264" s="12"/>
      <c r="AI264" s="12"/>
      <c r="AJ264" s="12"/>
      <c r="AK264" s="12"/>
    </row>
    <row r="265">
      <c r="A265" s="34">
        <v>45687.61628793982</v>
      </c>
      <c r="B265" s="14">
        <f t="shared" si="1"/>
        <v>45687</v>
      </c>
      <c r="C265" s="15" t="s">
        <v>31</v>
      </c>
      <c r="D265" s="15" t="s">
        <v>2421</v>
      </c>
      <c r="E265" s="15" t="s">
        <v>2422</v>
      </c>
      <c r="F265" s="16" t="str">
        <f t="shared" si="18"/>
        <v>(202) 421-7325</v>
      </c>
      <c r="G265" s="15" t="s">
        <v>2423</v>
      </c>
      <c r="H265" s="40" t="s">
        <v>103</v>
      </c>
      <c r="I265" s="17" t="s">
        <v>2424</v>
      </c>
      <c r="J265" s="18" t="s">
        <v>2425</v>
      </c>
      <c r="K265" s="17" t="s">
        <v>2426</v>
      </c>
      <c r="L265" s="19" t="s">
        <v>2427</v>
      </c>
      <c r="M265" s="20" t="s">
        <v>39</v>
      </c>
      <c r="N265" s="21" t="s">
        <v>652</v>
      </c>
      <c r="O265" s="21" t="s">
        <v>2428</v>
      </c>
      <c r="P265" s="21" t="s">
        <v>2429</v>
      </c>
      <c r="Q265" s="21" t="s">
        <v>1663</v>
      </c>
      <c r="R265" s="21">
        <v>20009.0</v>
      </c>
      <c r="S265" s="21" t="s">
        <v>59</v>
      </c>
      <c r="T265" s="29" t="s">
        <v>2430</v>
      </c>
      <c r="U265" s="21">
        <v>1.0</v>
      </c>
      <c r="V265" s="21">
        <v>0.0</v>
      </c>
      <c r="W265" s="21">
        <f t="shared" si="4"/>
        <v>1</v>
      </c>
      <c r="X265" s="21" t="s">
        <v>46</v>
      </c>
      <c r="Y265" s="21" t="s">
        <v>85</v>
      </c>
      <c r="Z265" s="22" t="s">
        <v>2431</v>
      </c>
      <c r="AA265" s="22" t="s">
        <v>2432</v>
      </c>
      <c r="AB265" s="21" t="s">
        <v>2059</v>
      </c>
      <c r="AC265" s="21">
        <v>12.0</v>
      </c>
      <c r="AD265" s="22" t="s">
        <v>2433</v>
      </c>
      <c r="AE265" s="25"/>
      <c r="AF265" s="12"/>
      <c r="AG265" s="12"/>
      <c r="AH265" s="12"/>
      <c r="AI265" s="12"/>
      <c r="AJ265" s="12"/>
      <c r="AK265" s="12"/>
    </row>
    <row r="266">
      <c r="A266" s="47">
        <v>45892.0</v>
      </c>
      <c r="B266" s="14">
        <f t="shared" si="1"/>
        <v>45892</v>
      </c>
      <c r="C266" s="15" t="s">
        <v>282</v>
      </c>
      <c r="D266" s="15" t="s">
        <v>2434</v>
      </c>
      <c r="E266" s="15" t="str">
        <f t="shared" ref="E266:E321" si="19">N266&amp;" "&amp;O266</f>
        <v>cynthia crawford</v>
      </c>
      <c r="F266" s="16" t="str">
        <f t="shared" si="18"/>
        <v>(240) 305-9190</v>
      </c>
      <c r="G266" s="15" t="s">
        <v>2435</v>
      </c>
      <c r="H266" s="40" t="s">
        <v>66</v>
      </c>
      <c r="I266" s="17" t="s">
        <v>2436</v>
      </c>
      <c r="J266" s="18" t="s">
        <v>2209</v>
      </c>
      <c r="K266" s="17" t="s">
        <v>2437</v>
      </c>
      <c r="L266" s="19" t="s">
        <v>2211</v>
      </c>
      <c r="M266" s="20" t="s">
        <v>39</v>
      </c>
      <c r="N266" s="21" t="s">
        <v>2438</v>
      </c>
      <c r="O266" s="21" t="s">
        <v>2439</v>
      </c>
      <c r="P266" s="21" t="s">
        <v>2440</v>
      </c>
      <c r="Q266" s="21">
        <v>116.0</v>
      </c>
      <c r="R266" s="21">
        <v>20019.0</v>
      </c>
      <c r="S266" s="21" t="s">
        <v>74</v>
      </c>
      <c r="T266" s="29" t="s">
        <v>2441</v>
      </c>
      <c r="U266" s="21">
        <v>1.0</v>
      </c>
      <c r="V266" s="21">
        <v>0.0</v>
      </c>
      <c r="W266" s="21">
        <f t="shared" si="4"/>
        <v>1</v>
      </c>
      <c r="X266" s="21" t="s">
        <v>46</v>
      </c>
      <c r="Y266" s="21" t="s">
        <v>47</v>
      </c>
      <c r="Z266" s="22" t="s">
        <v>187</v>
      </c>
      <c r="AA266" s="22" t="s">
        <v>2442</v>
      </c>
      <c r="AB266" s="21" t="s">
        <v>2059</v>
      </c>
      <c r="AC266" s="21">
        <v>4.0</v>
      </c>
      <c r="AD266" s="22" t="s">
        <v>2443</v>
      </c>
      <c r="AE266" s="25"/>
      <c r="AF266" s="12"/>
      <c r="AG266" s="12"/>
      <c r="AH266" s="12"/>
      <c r="AI266" s="12"/>
      <c r="AJ266" s="12"/>
      <c r="AK266" s="12"/>
    </row>
    <row r="267">
      <c r="A267" s="34">
        <v>45688.277476585645</v>
      </c>
      <c r="B267" s="14">
        <f t="shared" si="1"/>
        <v>45688</v>
      </c>
      <c r="C267" s="15" t="s">
        <v>327</v>
      </c>
      <c r="D267" s="15" t="s">
        <v>2444</v>
      </c>
      <c r="E267" s="15" t="str">
        <f t="shared" si="19"/>
        <v>donnice tyler</v>
      </c>
      <c r="F267" s="16" t="str">
        <f t="shared" si="18"/>
        <v>‪(202) 351-7161‬</v>
      </c>
      <c r="G267" s="15" t="s">
        <v>2445</v>
      </c>
      <c r="H267" s="40" t="s">
        <v>66</v>
      </c>
      <c r="I267" s="17" t="s">
        <v>2436</v>
      </c>
      <c r="J267" s="18" t="s">
        <v>2209</v>
      </c>
      <c r="K267" s="17" t="s">
        <v>2446</v>
      </c>
      <c r="L267" s="19" t="s">
        <v>2211</v>
      </c>
      <c r="M267" s="20" t="s">
        <v>39</v>
      </c>
      <c r="N267" s="21" t="s">
        <v>2447</v>
      </c>
      <c r="O267" s="21" t="s">
        <v>2448</v>
      </c>
      <c r="P267" s="21" t="s">
        <v>2449</v>
      </c>
      <c r="Q267" s="21">
        <v>103.0</v>
      </c>
      <c r="R267" s="21">
        <v>20019.0</v>
      </c>
      <c r="S267" s="21" t="s">
        <v>74</v>
      </c>
      <c r="T267" s="29" t="s">
        <v>2450</v>
      </c>
      <c r="U267" s="21">
        <v>1.0</v>
      </c>
      <c r="V267" s="21">
        <v>0.0</v>
      </c>
      <c r="W267" s="21">
        <f t="shared" si="4"/>
        <v>1</v>
      </c>
      <c r="X267" s="21" t="s">
        <v>46</v>
      </c>
      <c r="Y267" s="21" t="s">
        <v>47</v>
      </c>
      <c r="Z267" s="22" t="s">
        <v>920</v>
      </c>
      <c r="AA267" s="22" t="s">
        <v>2451</v>
      </c>
      <c r="AB267" s="21" t="s">
        <v>2059</v>
      </c>
      <c r="AC267" s="21">
        <v>4.0</v>
      </c>
      <c r="AD267" s="22" t="s">
        <v>2452</v>
      </c>
      <c r="AE267" s="25"/>
      <c r="AF267" s="12"/>
      <c r="AG267" s="12"/>
      <c r="AH267" s="12"/>
      <c r="AI267" s="12"/>
      <c r="AJ267" s="12"/>
      <c r="AK267" s="12"/>
    </row>
    <row r="268">
      <c r="A268" s="34">
        <v>45688.51059208333</v>
      </c>
      <c r="B268" s="14">
        <f t="shared" si="1"/>
        <v>45688</v>
      </c>
      <c r="C268" s="15" t="s">
        <v>643</v>
      </c>
      <c r="D268" s="15" t="s">
        <v>2453</v>
      </c>
      <c r="E268" s="15" t="str">
        <f t="shared" si="19"/>
        <v>Norma Mancia De Peralta</v>
      </c>
      <c r="F268" s="16" t="str">
        <f t="shared" si="18"/>
        <v>(202) 300-4405</v>
      </c>
      <c r="G268" s="15" t="s">
        <v>2454</v>
      </c>
      <c r="H268" s="40" t="s">
        <v>66</v>
      </c>
      <c r="I268" s="17" t="s">
        <v>2455</v>
      </c>
      <c r="J268" s="18" t="s">
        <v>286</v>
      </c>
      <c r="K268" s="17" t="s">
        <v>2456</v>
      </c>
      <c r="L268" s="19" t="s">
        <v>2457</v>
      </c>
      <c r="M268" s="20" t="s">
        <v>39</v>
      </c>
      <c r="N268" s="21" t="s">
        <v>2458</v>
      </c>
      <c r="O268" s="21" t="s">
        <v>2459</v>
      </c>
      <c r="P268" s="21" t="s">
        <v>2460</v>
      </c>
      <c r="Q268" s="21" t="s">
        <v>1485</v>
      </c>
      <c r="R268" s="21">
        <v>20011.0</v>
      </c>
      <c r="S268" s="21" t="s">
        <v>74</v>
      </c>
      <c r="T268" s="29" t="s">
        <v>2461</v>
      </c>
      <c r="U268" s="21">
        <v>1.0</v>
      </c>
      <c r="V268" s="21">
        <v>1.0</v>
      </c>
      <c r="W268" s="21">
        <f t="shared" si="4"/>
        <v>2</v>
      </c>
      <c r="X268" s="21" t="s">
        <v>46</v>
      </c>
      <c r="Y268" s="21" t="s">
        <v>85</v>
      </c>
      <c r="Z268" s="22" t="s">
        <v>361</v>
      </c>
      <c r="AA268" s="23" t="s">
        <v>2462</v>
      </c>
      <c r="AB268" s="21" t="s">
        <v>2069</v>
      </c>
      <c r="AC268" s="21">
        <v>2.0</v>
      </c>
      <c r="AD268" s="24" t="s">
        <v>2463</v>
      </c>
      <c r="AE268" s="25"/>
      <c r="AF268" s="12"/>
      <c r="AG268" s="12"/>
      <c r="AH268" s="12"/>
      <c r="AI268" s="12"/>
      <c r="AJ268" s="12"/>
      <c r="AK268" s="12"/>
    </row>
    <row r="269">
      <c r="A269" s="34">
        <v>45688.599260787036</v>
      </c>
      <c r="B269" s="14">
        <f t="shared" si="1"/>
        <v>45688</v>
      </c>
      <c r="C269" s="15" t="s">
        <v>327</v>
      </c>
      <c r="D269" s="15" t="s">
        <v>2464</v>
      </c>
      <c r="E269" s="15" t="str">
        <f t="shared" si="19"/>
        <v>Luis Cambero</v>
      </c>
      <c r="F269" s="16" t="str">
        <f t="shared" si="18"/>
        <v>(202) 400-1115</v>
      </c>
      <c r="G269" s="15" t="s">
        <v>2409</v>
      </c>
      <c r="H269" s="40" t="s">
        <v>66</v>
      </c>
      <c r="I269" s="17" t="s">
        <v>2465</v>
      </c>
      <c r="J269" s="18" t="s">
        <v>2466</v>
      </c>
      <c r="K269" s="17" t="s">
        <v>2467</v>
      </c>
      <c r="L269" s="19" t="s">
        <v>2468</v>
      </c>
      <c r="M269" s="20" t="s">
        <v>39</v>
      </c>
      <c r="N269" s="21" t="s">
        <v>2469</v>
      </c>
      <c r="O269" s="21" t="s">
        <v>2470</v>
      </c>
      <c r="P269" s="21" t="s">
        <v>2471</v>
      </c>
      <c r="Q269" s="21"/>
      <c r="R269" s="21">
        <v>20007.0</v>
      </c>
      <c r="S269" s="21" t="s">
        <v>59</v>
      </c>
      <c r="T269" s="29" t="s">
        <v>2472</v>
      </c>
      <c r="U269" s="21">
        <v>3.0</v>
      </c>
      <c r="V269" s="21">
        <v>0.0</v>
      </c>
      <c r="W269" s="21">
        <f t="shared" si="4"/>
        <v>3</v>
      </c>
      <c r="X269" s="21" t="s">
        <v>46</v>
      </c>
      <c r="Y269" s="21" t="s">
        <v>85</v>
      </c>
      <c r="Z269" s="22" t="s">
        <v>48</v>
      </c>
      <c r="AA269" s="22" t="s">
        <v>2473</v>
      </c>
      <c r="AB269" s="21" t="s">
        <v>2069</v>
      </c>
      <c r="AC269" s="21">
        <v>6.0</v>
      </c>
      <c r="AD269" s="22" t="s">
        <v>2474</v>
      </c>
      <c r="AE269" s="25"/>
      <c r="AF269" s="12"/>
      <c r="AG269" s="12"/>
      <c r="AH269" s="12"/>
      <c r="AI269" s="12"/>
      <c r="AJ269" s="12"/>
      <c r="AK269" s="12"/>
    </row>
    <row r="270">
      <c r="A270" s="34">
        <v>45688.64860594907</v>
      </c>
      <c r="B270" s="14">
        <f t="shared" si="1"/>
        <v>45688</v>
      </c>
      <c r="C270" s="15" t="s">
        <v>31</v>
      </c>
      <c r="D270" s="15" t="s">
        <v>2475</v>
      </c>
      <c r="E270" s="15" t="str">
        <f t="shared" si="19"/>
        <v>Charlotte Baker</v>
      </c>
      <c r="F270" s="16" t="str">
        <f t="shared" si="18"/>
        <v>(240) 427-2133</v>
      </c>
      <c r="G270" s="15" t="s">
        <v>2476</v>
      </c>
      <c r="H270" s="40" t="s">
        <v>66</v>
      </c>
      <c r="I270" s="17" t="s">
        <v>2477</v>
      </c>
      <c r="J270" s="18" t="s">
        <v>2478</v>
      </c>
      <c r="K270" s="17" t="s">
        <v>2479</v>
      </c>
      <c r="L270" s="19" t="s">
        <v>2480</v>
      </c>
      <c r="M270" s="20" t="s">
        <v>39</v>
      </c>
      <c r="N270" s="21" t="s">
        <v>2481</v>
      </c>
      <c r="O270" s="21" t="s">
        <v>2482</v>
      </c>
      <c r="P270" s="21" t="s">
        <v>2483</v>
      </c>
      <c r="Q270" s="21">
        <v>510.0</v>
      </c>
      <c r="R270" s="21">
        <v>20002.0</v>
      </c>
      <c r="S270" s="21" t="s">
        <v>74</v>
      </c>
      <c r="T270" s="29" t="s">
        <v>2484</v>
      </c>
      <c r="U270" s="21">
        <v>2.0</v>
      </c>
      <c r="V270" s="21">
        <v>0.0</v>
      </c>
      <c r="W270" s="21">
        <f t="shared" si="4"/>
        <v>2</v>
      </c>
      <c r="X270" s="21" t="s">
        <v>46</v>
      </c>
      <c r="Y270" s="21" t="s">
        <v>47</v>
      </c>
      <c r="Z270" s="22" t="s">
        <v>48</v>
      </c>
      <c r="AA270" s="22" t="s">
        <v>2485</v>
      </c>
      <c r="AB270" s="21" t="s">
        <v>2069</v>
      </c>
      <c r="AC270" s="21">
        <v>12.0</v>
      </c>
      <c r="AD270" s="22" t="s">
        <v>2486</v>
      </c>
      <c r="AE270" s="25"/>
    </row>
    <row r="271">
      <c r="A271" s="34">
        <v>45691.37706238426</v>
      </c>
      <c r="B271" s="14">
        <f t="shared" si="1"/>
        <v>45691</v>
      </c>
      <c r="C271" s="15" t="s">
        <v>31</v>
      </c>
      <c r="D271" s="15" t="s">
        <v>2487</v>
      </c>
      <c r="E271" s="15" t="str">
        <f t="shared" si="19"/>
        <v>keith williams</v>
      </c>
      <c r="F271" s="16" t="str">
        <f t="shared" si="18"/>
        <v>(771) 474-8715</v>
      </c>
      <c r="G271" s="15" t="s">
        <v>2488</v>
      </c>
      <c r="H271" s="40" t="s">
        <v>66</v>
      </c>
      <c r="I271" s="17" t="s">
        <v>2208</v>
      </c>
      <c r="J271" s="18" t="s">
        <v>2209</v>
      </c>
      <c r="K271" s="17" t="s">
        <v>2489</v>
      </c>
      <c r="L271" s="19" t="s">
        <v>2211</v>
      </c>
      <c r="M271" s="20" t="s">
        <v>39</v>
      </c>
      <c r="N271" s="21" t="s">
        <v>2490</v>
      </c>
      <c r="O271" s="21" t="s">
        <v>2491</v>
      </c>
      <c r="P271" s="21" t="s">
        <v>2492</v>
      </c>
      <c r="Q271" s="21">
        <v>334.0</v>
      </c>
      <c r="R271" s="21">
        <v>20002.0</v>
      </c>
      <c r="S271" s="21" t="s">
        <v>74</v>
      </c>
      <c r="T271" s="29" t="s">
        <v>2493</v>
      </c>
      <c r="U271" s="21">
        <v>1.0</v>
      </c>
      <c r="V271" s="21">
        <v>3.0</v>
      </c>
      <c r="W271" s="21">
        <f t="shared" si="4"/>
        <v>4</v>
      </c>
      <c r="X271" s="21" t="s">
        <v>46</v>
      </c>
      <c r="Y271" s="21" t="s">
        <v>85</v>
      </c>
      <c r="Z271" s="22" t="s">
        <v>449</v>
      </c>
      <c r="AA271" s="22" t="s">
        <v>2494</v>
      </c>
      <c r="AB271" s="21" t="s">
        <v>2059</v>
      </c>
      <c r="AC271" s="21">
        <v>2.0</v>
      </c>
      <c r="AD271" s="22" t="s">
        <v>2495</v>
      </c>
      <c r="AE271" s="25"/>
      <c r="AF271" s="12"/>
      <c r="AG271" s="12"/>
      <c r="AH271" s="12"/>
      <c r="AI271" s="12"/>
      <c r="AJ271" s="12"/>
      <c r="AK271" s="12"/>
    </row>
    <row r="272">
      <c r="A272" s="34">
        <v>45691.37949857639</v>
      </c>
      <c r="B272" s="14">
        <f t="shared" si="1"/>
        <v>45691</v>
      </c>
      <c r="C272" s="15" t="s">
        <v>643</v>
      </c>
      <c r="D272" s="15" t="s">
        <v>2496</v>
      </c>
      <c r="E272" s="15" t="str">
        <f t="shared" si="19"/>
        <v>dean clark </v>
      </c>
      <c r="F272" s="16" t="str">
        <f t="shared" si="18"/>
        <v>(202) 306-3489</v>
      </c>
      <c r="G272" s="15" t="s">
        <v>2497</v>
      </c>
      <c r="H272" s="40" t="s">
        <v>34</v>
      </c>
      <c r="I272" s="17" t="s">
        <v>2208</v>
      </c>
      <c r="J272" s="18" t="s">
        <v>2209</v>
      </c>
      <c r="K272" s="17" t="s">
        <v>2498</v>
      </c>
      <c r="L272" s="19" t="s">
        <v>2211</v>
      </c>
      <c r="M272" s="20" t="s">
        <v>39</v>
      </c>
      <c r="N272" s="21" t="s">
        <v>2499</v>
      </c>
      <c r="O272" s="21" t="s">
        <v>2500</v>
      </c>
      <c r="P272" s="21" t="s">
        <v>2501</v>
      </c>
      <c r="Q272" s="21">
        <v>327.0</v>
      </c>
      <c r="R272" s="21">
        <v>20003.0</v>
      </c>
      <c r="S272" s="21" t="s">
        <v>44</v>
      </c>
      <c r="T272" s="29" t="s">
        <v>2502</v>
      </c>
      <c r="U272" s="21">
        <v>1.0</v>
      </c>
      <c r="V272" s="21">
        <v>0.0</v>
      </c>
      <c r="W272" s="21">
        <f t="shared" si="4"/>
        <v>1</v>
      </c>
      <c r="X272" s="21" t="s">
        <v>84</v>
      </c>
      <c r="Y272" s="21" t="s">
        <v>47</v>
      </c>
      <c r="Z272" s="22" t="s">
        <v>920</v>
      </c>
      <c r="AA272" s="22" t="s">
        <v>2503</v>
      </c>
      <c r="AB272" s="21" t="s">
        <v>2059</v>
      </c>
      <c r="AC272" s="21">
        <v>3.0</v>
      </c>
      <c r="AD272" s="22" t="s">
        <v>2504</v>
      </c>
      <c r="AE272" s="25"/>
      <c r="AF272" s="12"/>
      <c r="AG272" s="12"/>
      <c r="AH272" s="12"/>
      <c r="AI272" s="12"/>
      <c r="AJ272" s="12"/>
      <c r="AK272" s="12"/>
    </row>
    <row r="273">
      <c r="A273" s="34">
        <v>45691.382541666666</v>
      </c>
      <c r="B273" s="14">
        <f t="shared" si="1"/>
        <v>45691</v>
      </c>
      <c r="C273" s="15" t="s">
        <v>643</v>
      </c>
      <c r="D273" s="15" t="s">
        <v>2505</v>
      </c>
      <c r="E273" s="15" t="str">
        <f t="shared" si="19"/>
        <v>Arthur Shade</v>
      </c>
      <c r="F273" s="16" t="str">
        <f t="shared" si="18"/>
        <v>(202) 300-4102</v>
      </c>
      <c r="G273" s="15" t="s">
        <v>2506</v>
      </c>
      <c r="H273" s="40" t="s">
        <v>66</v>
      </c>
      <c r="I273" s="17" t="s">
        <v>2507</v>
      </c>
      <c r="J273" s="18" t="s">
        <v>2508</v>
      </c>
      <c r="K273" s="17" t="s">
        <v>2097</v>
      </c>
      <c r="L273" s="19" t="s">
        <v>2509</v>
      </c>
      <c r="M273" s="20" t="s">
        <v>39</v>
      </c>
      <c r="N273" s="21" t="s">
        <v>2510</v>
      </c>
      <c r="O273" s="21" t="s">
        <v>2511</v>
      </c>
      <c r="P273" s="21" t="s">
        <v>2512</v>
      </c>
      <c r="Q273" s="21">
        <v>302.0</v>
      </c>
      <c r="R273" s="21">
        <v>20003.0</v>
      </c>
      <c r="S273" s="21" t="s">
        <v>44</v>
      </c>
      <c r="T273" s="29" t="s">
        <v>2513</v>
      </c>
      <c r="U273" s="21">
        <v>1.0</v>
      </c>
      <c r="V273" s="21">
        <v>0.0</v>
      </c>
      <c r="W273" s="21">
        <f t="shared" si="4"/>
        <v>1</v>
      </c>
      <c r="X273" s="21" t="s">
        <v>46</v>
      </c>
      <c r="Y273" s="21" t="s">
        <v>47</v>
      </c>
      <c r="Z273" s="22" t="s">
        <v>2514</v>
      </c>
      <c r="AA273" s="22" t="s">
        <v>2515</v>
      </c>
      <c r="AB273" s="21" t="s">
        <v>2059</v>
      </c>
      <c r="AC273" s="21">
        <v>24.0</v>
      </c>
      <c r="AD273" s="22" t="s">
        <v>2516</v>
      </c>
      <c r="AE273" s="25"/>
    </row>
    <row r="274">
      <c r="A274" s="34">
        <v>45692.484870844906</v>
      </c>
      <c r="B274" s="14">
        <f t="shared" si="1"/>
        <v>45692</v>
      </c>
      <c r="C274" s="15" t="s">
        <v>327</v>
      </c>
      <c r="D274" s="15" t="s">
        <v>2517</v>
      </c>
      <c r="E274" s="15" t="str">
        <f t="shared" si="19"/>
        <v>St John TONYA</v>
      </c>
      <c r="F274" s="16" t="str">
        <f t="shared" si="18"/>
        <v>(202) 569-1444</v>
      </c>
      <c r="G274" s="15" t="s">
        <v>1424</v>
      </c>
      <c r="H274" s="40" t="s">
        <v>66</v>
      </c>
      <c r="I274" s="17" t="s">
        <v>2518</v>
      </c>
      <c r="J274" s="18" t="s">
        <v>1136</v>
      </c>
      <c r="K274" s="17" t="s">
        <v>116</v>
      </c>
      <c r="L274" s="19" t="s">
        <v>2519</v>
      </c>
      <c r="M274" s="20" t="s">
        <v>39</v>
      </c>
      <c r="N274" s="21" t="s">
        <v>2520</v>
      </c>
      <c r="O274" s="21" t="s">
        <v>2521</v>
      </c>
      <c r="P274" s="21" t="s">
        <v>2522</v>
      </c>
      <c r="Q274" s="21" t="s">
        <v>2523</v>
      </c>
      <c r="R274" s="21">
        <v>20032.0</v>
      </c>
      <c r="S274" s="21" t="s">
        <v>562</v>
      </c>
      <c r="T274" s="29" t="s">
        <v>2524</v>
      </c>
      <c r="U274" s="21">
        <v>1.0</v>
      </c>
      <c r="V274" s="21">
        <v>0.0</v>
      </c>
      <c r="W274" s="21">
        <f t="shared" si="4"/>
        <v>1</v>
      </c>
      <c r="X274" s="21" t="s">
        <v>46</v>
      </c>
      <c r="Y274" s="21" t="s">
        <v>85</v>
      </c>
      <c r="Z274" s="22" t="s">
        <v>48</v>
      </c>
      <c r="AA274" s="22" t="s">
        <v>2525</v>
      </c>
      <c r="AB274" s="21" t="s">
        <v>2069</v>
      </c>
      <c r="AC274" s="21">
        <v>12.0</v>
      </c>
      <c r="AD274" s="22" t="s">
        <v>2526</v>
      </c>
      <c r="AE274" s="25"/>
    </row>
    <row r="275">
      <c r="A275" s="34">
        <v>45693.41905805556</v>
      </c>
      <c r="B275" s="14">
        <f t="shared" si="1"/>
        <v>45693</v>
      </c>
      <c r="C275" s="15" t="s">
        <v>643</v>
      </c>
      <c r="D275" s="15" t="s">
        <v>2527</v>
      </c>
      <c r="E275" s="15" t="str">
        <f t="shared" si="19"/>
        <v>Tiandre Osborne</v>
      </c>
      <c r="F275" s="16" t="str">
        <f t="shared" si="18"/>
        <v>(202) 431-9519</v>
      </c>
      <c r="G275" s="15" t="s">
        <v>2506</v>
      </c>
      <c r="H275" s="40" t="s">
        <v>103</v>
      </c>
      <c r="I275" s="18" t="s">
        <v>620</v>
      </c>
      <c r="J275" s="18" t="s">
        <v>2528</v>
      </c>
      <c r="K275" s="18" t="s">
        <v>622</v>
      </c>
      <c r="L275" s="18" t="s">
        <v>2529</v>
      </c>
      <c r="M275" s="27" t="s">
        <v>39</v>
      </c>
      <c r="N275" s="21" t="s">
        <v>2530</v>
      </c>
      <c r="O275" s="21" t="s">
        <v>2531</v>
      </c>
      <c r="P275" s="21" t="s">
        <v>2532</v>
      </c>
      <c r="Q275" s="21">
        <v>719.0</v>
      </c>
      <c r="R275" s="21">
        <v>20003.0</v>
      </c>
      <c r="S275" s="21" t="s">
        <v>44</v>
      </c>
      <c r="T275" s="21" t="s">
        <v>2533</v>
      </c>
      <c r="U275" s="21">
        <v>1.0</v>
      </c>
      <c r="V275" s="21">
        <v>1.0</v>
      </c>
      <c r="W275" s="21">
        <v>2.0</v>
      </c>
      <c r="X275" s="21" t="s">
        <v>46</v>
      </c>
      <c r="Y275" s="21" t="s">
        <v>85</v>
      </c>
      <c r="Z275" s="22" t="s">
        <v>61</v>
      </c>
      <c r="AA275" s="22" t="s">
        <v>2534</v>
      </c>
      <c r="AB275" s="21" t="s">
        <v>2069</v>
      </c>
      <c r="AC275" s="21">
        <v>6.0</v>
      </c>
      <c r="AD275" s="22" t="s">
        <v>2535</v>
      </c>
      <c r="AE275" s="48"/>
      <c r="AF275" s="12"/>
      <c r="AG275" s="12"/>
      <c r="AH275" s="12"/>
      <c r="AI275" s="12"/>
      <c r="AJ275" s="12"/>
      <c r="AK275" s="12"/>
    </row>
    <row r="276">
      <c r="A276" s="34">
        <v>45694.41394804398</v>
      </c>
      <c r="B276" s="14">
        <f t="shared" si="1"/>
        <v>45694</v>
      </c>
      <c r="C276" s="15" t="s">
        <v>643</v>
      </c>
      <c r="D276" s="15" t="s">
        <v>2536</v>
      </c>
      <c r="E276" s="15" t="str">
        <f t="shared" si="19"/>
        <v>Janet Thomas</v>
      </c>
      <c r="F276" s="16" t="str">
        <f t="shared" si="18"/>
        <v>(240) 351-1489</v>
      </c>
      <c r="G276" s="15" t="s">
        <v>2537</v>
      </c>
      <c r="H276" s="40" t="s">
        <v>66</v>
      </c>
      <c r="I276" s="18" t="s">
        <v>2538</v>
      </c>
      <c r="J276" s="18" t="s">
        <v>2539</v>
      </c>
      <c r="K276" s="18" t="s">
        <v>586</v>
      </c>
      <c r="L276" s="18" t="s">
        <v>2540</v>
      </c>
      <c r="M276" s="27" t="s">
        <v>39</v>
      </c>
      <c r="N276" s="21" t="s">
        <v>2541</v>
      </c>
      <c r="O276" s="21" t="s">
        <v>241</v>
      </c>
      <c r="P276" s="21" t="s">
        <v>2542</v>
      </c>
      <c r="Q276" s="21">
        <v>422.0</v>
      </c>
      <c r="R276" s="21">
        <v>20002.0</v>
      </c>
      <c r="S276" s="21" t="s">
        <v>74</v>
      </c>
      <c r="T276" s="21" t="s">
        <v>2543</v>
      </c>
      <c r="U276" s="21">
        <v>1.0</v>
      </c>
      <c r="V276" s="21">
        <v>0.0</v>
      </c>
      <c r="W276" s="21">
        <v>1.0</v>
      </c>
      <c r="X276" s="21" t="s">
        <v>46</v>
      </c>
      <c r="Y276" s="21" t="s">
        <v>85</v>
      </c>
      <c r="Z276" s="22" t="s">
        <v>61</v>
      </c>
      <c r="AA276" s="22" t="s">
        <v>2544</v>
      </c>
      <c r="AB276" s="21" t="s">
        <v>2069</v>
      </c>
      <c r="AC276" s="21">
        <v>9.0</v>
      </c>
      <c r="AD276" s="22" t="s">
        <v>2545</v>
      </c>
      <c r="AE276" s="48"/>
      <c r="AF276" s="12"/>
      <c r="AG276" s="12"/>
      <c r="AH276" s="12"/>
      <c r="AI276" s="12"/>
      <c r="AJ276" s="12"/>
      <c r="AK276" s="12"/>
    </row>
    <row r="277">
      <c r="A277" s="34">
        <v>45694.55158701389</v>
      </c>
      <c r="B277" s="14">
        <f t="shared" si="1"/>
        <v>45694</v>
      </c>
      <c r="C277" s="15" t="s">
        <v>327</v>
      </c>
      <c r="D277" s="15" t="s">
        <v>2546</v>
      </c>
      <c r="E277" s="15" t="str">
        <f t="shared" si="19"/>
        <v>Stephanie Adams</v>
      </c>
      <c r="F277" s="16" t="str">
        <f t="shared" si="18"/>
        <v>(202) 527-5852</v>
      </c>
      <c r="G277" s="15" t="s">
        <v>2547</v>
      </c>
      <c r="H277" s="40" t="s">
        <v>66</v>
      </c>
      <c r="I277" s="18" t="s">
        <v>2548</v>
      </c>
      <c r="J277" s="18" t="s">
        <v>2549</v>
      </c>
      <c r="K277" s="18" t="s">
        <v>2550</v>
      </c>
      <c r="L277" s="18" t="s">
        <v>2551</v>
      </c>
      <c r="M277" s="27" t="s">
        <v>39</v>
      </c>
      <c r="N277" s="21" t="s">
        <v>2552</v>
      </c>
      <c r="O277" s="21" t="s">
        <v>118</v>
      </c>
      <c r="P277" s="21" t="s">
        <v>2553</v>
      </c>
      <c r="Q277" s="21" t="s">
        <v>2554</v>
      </c>
      <c r="R277" s="21">
        <v>20010.0</v>
      </c>
      <c r="S277" s="21" t="s">
        <v>59</v>
      </c>
      <c r="T277" s="21" t="s">
        <v>2555</v>
      </c>
      <c r="U277" s="21">
        <v>1.0</v>
      </c>
      <c r="V277" s="21">
        <v>0.0</v>
      </c>
      <c r="W277" s="21">
        <v>1.0</v>
      </c>
      <c r="X277" s="21" t="s">
        <v>46</v>
      </c>
      <c r="Y277" s="21" t="s">
        <v>85</v>
      </c>
      <c r="Z277" s="22" t="s">
        <v>48</v>
      </c>
      <c r="AA277" s="22" t="s">
        <v>2556</v>
      </c>
      <c r="AB277" s="21" t="s">
        <v>2069</v>
      </c>
      <c r="AC277" s="21">
        <v>12.0</v>
      </c>
      <c r="AD277" s="22" t="s">
        <v>2557</v>
      </c>
      <c r="AE277" s="48"/>
      <c r="AF277" s="12"/>
      <c r="AG277" s="12"/>
      <c r="AH277" s="12"/>
      <c r="AI277" s="12"/>
      <c r="AJ277" s="12"/>
      <c r="AK277" s="12"/>
    </row>
    <row r="278">
      <c r="A278" s="49">
        <v>45700.649970405095</v>
      </c>
      <c r="B278" s="14">
        <f t="shared" si="1"/>
        <v>45700</v>
      </c>
      <c r="C278" s="15" t="s">
        <v>643</v>
      </c>
      <c r="D278" s="15" t="s">
        <v>2558</v>
      </c>
      <c r="E278" s="15" t="str">
        <f t="shared" si="19"/>
        <v>STEPHANIE  ELLERBEE </v>
      </c>
      <c r="F278" s="16" t="str">
        <f t="shared" si="18"/>
        <v>(202) 601-5063</v>
      </c>
      <c r="G278" s="15" t="s">
        <v>2559</v>
      </c>
      <c r="H278" s="40" t="s">
        <v>66</v>
      </c>
      <c r="I278" s="50" t="s">
        <v>541</v>
      </c>
      <c r="J278" s="50" t="s">
        <v>542</v>
      </c>
      <c r="K278" s="50" t="s">
        <v>160</v>
      </c>
      <c r="L278" s="50" t="s">
        <v>2560</v>
      </c>
      <c r="M278" s="51" t="s">
        <v>39</v>
      </c>
      <c r="N278" s="52" t="s">
        <v>2561</v>
      </c>
      <c r="O278" s="52" t="s">
        <v>2562</v>
      </c>
      <c r="P278" s="52" t="s">
        <v>2563</v>
      </c>
      <c r="Q278" s="52" t="s">
        <v>2564</v>
      </c>
      <c r="R278" s="52">
        <v>20011.0</v>
      </c>
      <c r="S278" s="52" t="s">
        <v>59</v>
      </c>
      <c r="T278" s="52" t="s">
        <v>2565</v>
      </c>
      <c r="U278" s="52">
        <v>1.0</v>
      </c>
      <c r="V278" s="52">
        <v>1.0</v>
      </c>
      <c r="W278" s="52">
        <v>2.0</v>
      </c>
      <c r="X278" s="52" t="s">
        <v>2566</v>
      </c>
      <c r="Y278" s="52" t="s">
        <v>85</v>
      </c>
      <c r="Z278" s="53" t="s">
        <v>236</v>
      </c>
      <c r="AA278" s="53" t="s">
        <v>2567</v>
      </c>
      <c r="AB278" s="52" t="s">
        <v>2069</v>
      </c>
      <c r="AC278" s="52">
        <v>12.0</v>
      </c>
      <c r="AD278" s="53" t="s">
        <v>2568</v>
      </c>
    </row>
    <row r="279">
      <c r="A279" s="54">
        <v>45701.463614872686</v>
      </c>
      <c r="B279" s="14">
        <f t="shared" si="1"/>
        <v>45701</v>
      </c>
      <c r="C279" s="15" t="s">
        <v>643</v>
      </c>
      <c r="D279" s="15" t="s">
        <v>2569</v>
      </c>
      <c r="E279" s="15" t="str">
        <f t="shared" si="19"/>
        <v>Champagne  Rhodes</v>
      </c>
      <c r="F279" s="16" t="str">
        <f t="shared" si="18"/>
        <v>(202) 892-0765‬</v>
      </c>
      <c r="G279" s="15" t="s">
        <v>2570</v>
      </c>
      <c r="H279" s="40" t="s">
        <v>66</v>
      </c>
      <c r="I279" s="50" t="s">
        <v>2571</v>
      </c>
      <c r="J279" s="50" t="s">
        <v>2572</v>
      </c>
      <c r="K279" s="50" t="s">
        <v>2573</v>
      </c>
      <c r="L279" s="50" t="s">
        <v>2574</v>
      </c>
      <c r="M279" s="55" t="s">
        <v>39</v>
      </c>
      <c r="N279" s="56" t="s">
        <v>2575</v>
      </c>
      <c r="O279" s="52" t="s">
        <v>2576</v>
      </c>
      <c r="P279" s="52" t="s">
        <v>2577</v>
      </c>
      <c r="Q279" s="52" t="s">
        <v>2578</v>
      </c>
      <c r="R279" s="52">
        <v>20020.0</v>
      </c>
      <c r="S279" s="52" t="s">
        <v>44</v>
      </c>
      <c r="T279" s="52" t="s">
        <v>2579</v>
      </c>
      <c r="U279" s="52">
        <v>1.0</v>
      </c>
      <c r="V279" s="52">
        <v>4.0</v>
      </c>
      <c r="W279" s="52">
        <v>5.0</v>
      </c>
      <c r="X279" s="52" t="s">
        <v>2566</v>
      </c>
      <c r="Y279" s="52" t="s">
        <v>85</v>
      </c>
      <c r="Z279" s="53" t="s">
        <v>2580</v>
      </c>
      <c r="AA279" s="53" t="s">
        <v>2581</v>
      </c>
      <c r="AB279" s="52" t="s">
        <v>2069</v>
      </c>
      <c r="AC279" s="52">
        <v>6.0</v>
      </c>
      <c r="AD279" s="53" t="s">
        <v>2582</v>
      </c>
      <c r="AF279" s="12"/>
      <c r="AG279" s="12"/>
      <c r="AH279" s="12"/>
      <c r="AI279" s="12"/>
      <c r="AJ279" s="12"/>
      <c r="AK279" s="12"/>
    </row>
    <row r="280">
      <c r="A280" s="54">
        <v>45701.47373162037</v>
      </c>
      <c r="B280" s="14">
        <f t="shared" si="1"/>
        <v>45701</v>
      </c>
      <c r="C280" s="15" t="s">
        <v>643</v>
      </c>
      <c r="D280" s="15" t="s">
        <v>2583</v>
      </c>
      <c r="E280" s="15" t="str">
        <f t="shared" si="19"/>
        <v>Sidney Robertson</v>
      </c>
      <c r="F280" s="16" t="str">
        <f t="shared" si="18"/>
        <v>(202) 409-9541</v>
      </c>
      <c r="G280" s="15" t="s">
        <v>2584</v>
      </c>
      <c r="H280" s="40" t="s">
        <v>66</v>
      </c>
      <c r="I280" s="50" t="s">
        <v>2585</v>
      </c>
      <c r="J280" s="50" t="s">
        <v>2586</v>
      </c>
      <c r="K280" s="50" t="s">
        <v>2587</v>
      </c>
      <c r="L280" s="50" t="s">
        <v>2588</v>
      </c>
      <c r="M280" s="55" t="s">
        <v>39</v>
      </c>
      <c r="N280" s="56" t="s">
        <v>2589</v>
      </c>
      <c r="O280" s="52" t="s">
        <v>2590</v>
      </c>
      <c r="P280" s="52" t="s">
        <v>2591</v>
      </c>
      <c r="Q280" s="52" t="s">
        <v>2592</v>
      </c>
      <c r="R280" s="52">
        <v>20010.0</v>
      </c>
      <c r="S280" s="52" t="s">
        <v>59</v>
      </c>
      <c r="T280" s="52" t="s">
        <v>2593</v>
      </c>
      <c r="U280" s="52">
        <v>1.0</v>
      </c>
      <c r="V280" s="52">
        <v>0.0</v>
      </c>
      <c r="W280" s="52">
        <v>1.0</v>
      </c>
      <c r="X280" s="52" t="s">
        <v>2594</v>
      </c>
      <c r="Y280" s="52" t="s">
        <v>47</v>
      </c>
      <c r="Z280" s="53" t="s">
        <v>48</v>
      </c>
      <c r="AA280" s="53" t="s">
        <v>2595</v>
      </c>
      <c r="AB280" s="52" t="s">
        <v>2059</v>
      </c>
      <c r="AC280" s="52">
        <v>12.0</v>
      </c>
      <c r="AD280" s="53" t="s">
        <v>2596</v>
      </c>
      <c r="AF280" s="12"/>
      <c r="AG280" s="12"/>
      <c r="AH280" s="12"/>
      <c r="AI280" s="12"/>
      <c r="AJ280" s="12"/>
      <c r="AK280" s="12"/>
    </row>
    <row r="281">
      <c r="A281" s="54">
        <v>45701.48864909723</v>
      </c>
      <c r="B281" s="14">
        <f t="shared" si="1"/>
        <v>45701</v>
      </c>
      <c r="C281" s="15" t="s">
        <v>643</v>
      </c>
      <c r="D281" s="15" t="s">
        <v>2597</v>
      </c>
      <c r="E281" s="15" t="str">
        <f t="shared" si="19"/>
        <v>Suncerera Neal</v>
      </c>
      <c r="F281" s="16" t="str">
        <f t="shared" si="18"/>
        <v>(202) 389-9427</v>
      </c>
      <c r="G281" s="15" t="s">
        <v>2570</v>
      </c>
      <c r="H281" s="40" t="s">
        <v>66</v>
      </c>
      <c r="I281" s="50" t="s">
        <v>1935</v>
      </c>
      <c r="J281" s="50" t="s">
        <v>1936</v>
      </c>
      <c r="K281" s="50" t="s">
        <v>2598</v>
      </c>
      <c r="L281" s="50" t="s">
        <v>2599</v>
      </c>
      <c r="M281" s="55" t="s">
        <v>39</v>
      </c>
      <c r="N281" s="56" t="s">
        <v>2600</v>
      </c>
      <c r="O281" s="52" t="s">
        <v>2601</v>
      </c>
      <c r="P281" s="52" t="s">
        <v>2602</v>
      </c>
      <c r="Q281" s="52" t="s">
        <v>2603</v>
      </c>
      <c r="R281" s="52">
        <v>20011.0</v>
      </c>
      <c r="S281" s="52" t="s">
        <v>59</v>
      </c>
      <c r="T281" s="52" t="s">
        <v>2604</v>
      </c>
      <c r="U281" s="52">
        <v>1.0</v>
      </c>
      <c r="V281" s="52">
        <v>0.0</v>
      </c>
      <c r="W281" s="52">
        <v>1.0</v>
      </c>
      <c r="X281" s="52" t="s">
        <v>2605</v>
      </c>
      <c r="Y281" s="52" t="s">
        <v>47</v>
      </c>
      <c r="Z281" s="53" t="s">
        <v>166</v>
      </c>
      <c r="AA281" s="57" t="s">
        <v>2606</v>
      </c>
      <c r="AB281" s="52" t="s">
        <v>2069</v>
      </c>
      <c r="AC281" s="52">
        <v>3.0</v>
      </c>
      <c r="AD281" s="53" t="s">
        <v>2607</v>
      </c>
    </row>
    <row r="282">
      <c r="A282" s="54">
        <v>45706.39765665509</v>
      </c>
      <c r="B282" s="14">
        <f t="shared" si="1"/>
        <v>45706</v>
      </c>
      <c r="C282" s="15" t="s">
        <v>643</v>
      </c>
      <c r="D282" s="15" t="s">
        <v>2608</v>
      </c>
      <c r="E282" s="15" t="str">
        <f t="shared" si="19"/>
        <v>Hawa Mansaray</v>
      </c>
      <c r="F282" s="16" t="str">
        <f t="shared" si="18"/>
        <v>(202) 676-6264</v>
      </c>
      <c r="G282" s="15" t="s">
        <v>2609</v>
      </c>
      <c r="H282" s="40" t="s">
        <v>103</v>
      </c>
      <c r="I282" s="50" t="s">
        <v>2610</v>
      </c>
      <c r="J282" s="50" t="s">
        <v>2611</v>
      </c>
      <c r="K282" s="50" t="s">
        <v>2612</v>
      </c>
      <c r="L282" s="50" t="s">
        <v>2613</v>
      </c>
      <c r="M282" s="50" t="s">
        <v>39</v>
      </c>
      <c r="N282" s="52" t="s">
        <v>2614</v>
      </c>
      <c r="O282" s="52" t="s">
        <v>2615</v>
      </c>
      <c r="P282" s="52" t="s">
        <v>2616</v>
      </c>
      <c r="Q282" s="52" t="s">
        <v>2617</v>
      </c>
      <c r="R282" s="52">
        <v>20001.0</v>
      </c>
      <c r="S282" s="52" t="s">
        <v>59</v>
      </c>
      <c r="T282" s="52" t="s">
        <v>2618</v>
      </c>
      <c r="U282" s="52">
        <v>1.0</v>
      </c>
      <c r="V282" s="52">
        <v>2.0</v>
      </c>
      <c r="W282" s="52">
        <v>3.0</v>
      </c>
      <c r="X282" s="52" t="s">
        <v>2566</v>
      </c>
      <c r="Y282" s="52" t="s">
        <v>85</v>
      </c>
      <c r="Z282" s="53" t="s">
        <v>2619</v>
      </c>
      <c r="AA282" s="57" t="s">
        <v>2620</v>
      </c>
      <c r="AB282" s="52" t="s">
        <v>2059</v>
      </c>
      <c r="AC282" s="52">
        <v>6.0</v>
      </c>
      <c r="AD282" s="53" t="s">
        <v>2621</v>
      </c>
      <c r="AF282" s="12"/>
      <c r="AG282" s="12"/>
      <c r="AH282" s="12"/>
      <c r="AI282" s="12"/>
      <c r="AJ282" s="12"/>
      <c r="AK282" s="12"/>
    </row>
    <row r="283">
      <c r="A283" s="54">
        <v>45707.448205787034</v>
      </c>
      <c r="B283" s="14">
        <f t="shared" si="1"/>
        <v>45707</v>
      </c>
      <c r="C283" s="15" t="s">
        <v>643</v>
      </c>
      <c r="D283" s="15" t="s">
        <v>2622</v>
      </c>
      <c r="E283" s="58" t="str">
        <f t="shared" si="19"/>
        <v>Sabrina  DeVine</v>
      </c>
      <c r="F283" s="16" t="str">
        <f t="shared" si="18"/>
        <v>(771) 216-2888</v>
      </c>
      <c r="G283" s="15" t="s">
        <v>2623</v>
      </c>
      <c r="H283" s="40" t="s">
        <v>103</v>
      </c>
      <c r="I283" s="50" t="s">
        <v>2624</v>
      </c>
      <c r="J283" s="50" t="s">
        <v>2625</v>
      </c>
      <c r="K283" s="50" t="s">
        <v>2626</v>
      </c>
      <c r="L283" s="50" t="s">
        <v>2627</v>
      </c>
      <c r="M283" s="50" t="s">
        <v>39</v>
      </c>
      <c r="N283" s="52" t="s">
        <v>2628</v>
      </c>
      <c r="O283" s="52" t="s">
        <v>2629</v>
      </c>
      <c r="P283" s="52" t="s">
        <v>2630</v>
      </c>
      <c r="Q283" s="59"/>
      <c r="R283" s="52">
        <v>20019.0</v>
      </c>
      <c r="S283" s="52" t="s">
        <v>74</v>
      </c>
      <c r="T283" s="52" t="s">
        <v>2631</v>
      </c>
      <c r="U283" s="52">
        <v>1.0</v>
      </c>
      <c r="V283" s="52">
        <v>5.0</v>
      </c>
      <c r="W283" s="52">
        <v>6.0</v>
      </c>
      <c r="X283" s="52" t="s">
        <v>2632</v>
      </c>
      <c r="Y283" s="52" t="s">
        <v>85</v>
      </c>
      <c r="Z283" s="53" t="s">
        <v>61</v>
      </c>
      <c r="AA283" s="60" t="s">
        <v>2633</v>
      </c>
      <c r="AB283" s="52" t="s">
        <v>2069</v>
      </c>
      <c r="AC283" s="52">
        <v>12.0</v>
      </c>
      <c r="AD283" s="53" t="s">
        <v>2634</v>
      </c>
      <c r="AF283" s="12"/>
      <c r="AG283" s="12"/>
      <c r="AH283" s="12"/>
      <c r="AI283" s="12"/>
      <c r="AJ283" s="12"/>
      <c r="AK283" s="12"/>
    </row>
    <row r="284">
      <c r="A284" s="54">
        <v>45707.582970601856</v>
      </c>
      <c r="B284" s="14">
        <f t="shared" si="1"/>
        <v>45707</v>
      </c>
      <c r="C284" s="15" t="s">
        <v>643</v>
      </c>
      <c r="D284" s="15" t="s">
        <v>2635</v>
      </c>
      <c r="E284" s="15" t="str">
        <f t="shared" si="19"/>
        <v>Angela Vessels</v>
      </c>
      <c r="F284" s="16" t="str">
        <f t="shared" si="18"/>
        <v>(202) 212-9484</v>
      </c>
      <c r="G284" s="15" t="s">
        <v>2636</v>
      </c>
      <c r="H284" s="40" t="s">
        <v>103</v>
      </c>
      <c r="I284" s="50" t="s">
        <v>704</v>
      </c>
      <c r="J284" s="50" t="s">
        <v>705</v>
      </c>
      <c r="K284" s="50" t="s">
        <v>706</v>
      </c>
      <c r="L284" s="50" t="s">
        <v>2637</v>
      </c>
      <c r="M284" s="50" t="s">
        <v>39</v>
      </c>
      <c r="N284" s="52" t="s">
        <v>1925</v>
      </c>
      <c r="O284" s="52" t="s">
        <v>2638</v>
      </c>
      <c r="P284" s="52" t="s">
        <v>2639</v>
      </c>
      <c r="Q284" s="52">
        <v>612.0</v>
      </c>
      <c r="R284" s="52">
        <v>20019.0</v>
      </c>
      <c r="S284" s="52" t="s">
        <v>74</v>
      </c>
      <c r="T284" s="52" t="s">
        <v>2640</v>
      </c>
      <c r="U284" s="52">
        <v>1.0</v>
      </c>
      <c r="V284" s="52">
        <v>0.0</v>
      </c>
      <c r="W284" s="52">
        <v>1.0</v>
      </c>
      <c r="X284" s="52" t="s">
        <v>2641</v>
      </c>
      <c r="Y284" s="52" t="s">
        <v>47</v>
      </c>
      <c r="Z284" s="53" t="s">
        <v>48</v>
      </c>
      <c r="AA284" s="57" t="s">
        <v>2642</v>
      </c>
      <c r="AB284" s="52" t="s">
        <v>2059</v>
      </c>
      <c r="AC284" s="52">
        <v>12.0</v>
      </c>
      <c r="AD284" s="53" t="s">
        <v>2643</v>
      </c>
      <c r="AF284" s="12"/>
      <c r="AG284" s="12"/>
      <c r="AH284" s="12"/>
      <c r="AI284" s="12"/>
      <c r="AJ284" s="12"/>
      <c r="AK284" s="12"/>
    </row>
    <row r="285">
      <c r="A285" s="54">
        <v>45707.65733717593</v>
      </c>
      <c r="B285" s="14">
        <f t="shared" si="1"/>
        <v>45707</v>
      </c>
      <c r="C285" s="15" t="s">
        <v>643</v>
      </c>
      <c r="D285" s="15" t="s">
        <v>2644</v>
      </c>
      <c r="E285" s="15" t="str">
        <f t="shared" si="19"/>
        <v>Patrice  Brown</v>
      </c>
      <c r="F285" s="16" t="str">
        <f t="shared" si="18"/>
        <v>(202) 470-7661</v>
      </c>
      <c r="G285" s="15" t="s">
        <v>2645</v>
      </c>
      <c r="H285" s="40" t="s">
        <v>66</v>
      </c>
      <c r="I285" s="50" t="s">
        <v>2538</v>
      </c>
      <c r="J285" s="50" t="s">
        <v>2539</v>
      </c>
      <c r="K285" s="50" t="s">
        <v>2646</v>
      </c>
      <c r="L285" s="50" t="s">
        <v>2540</v>
      </c>
      <c r="M285" s="50" t="s">
        <v>39</v>
      </c>
      <c r="N285" s="52" t="s">
        <v>2647</v>
      </c>
      <c r="O285" s="52" t="s">
        <v>2358</v>
      </c>
      <c r="P285" s="52" t="s">
        <v>2648</v>
      </c>
      <c r="Q285" s="59"/>
      <c r="R285" s="52">
        <v>20019.0</v>
      </c>
      <c r="S285" s="52" t="s">
        <v>74</v>
      </c>
      <c r="T285" s="52" t="s">
        <v>2649</v>
      </c>
      <c r="U285" s="52">
        <v>1.0</v>
      </c>
      <c r="V285" s="52">
        <v>0.0</v>
      </c>
      <c r="W285" s="52">
        <v>1.0</v>
      </c>
      <c r="X285" s="52" t="s">
        <v>2605</v>
      </c>
      <c r="Y285" s="52" t="s">
        <v>47</v>
      </c>
      <c r="Z285" s="53" t="s">
        <v>61</v>
      </c>
      <c r="AA285" s="57" t="s">
        <v>2650</v>
      </c>
      <c r="AB285" s="52" t="s">
        <v>2069</v>
      </c>
      <c r="AC285" s="52">
        <v>6.0</v>
      </c>
      <c r="AD285" s="53" t="s">
        <v>2651</v>
      </c>
      <c r="AF285" s="12"/>
      <c r="AG285" s="12"/>
      <c r="AH285" s="12"/>
      <c r="AI285" s="12"/>
      <c r="AJ285" s="12"/>
      <c r="AK285" s="12"/>
    </row>
    <row r="286">
      <c r="A286" s="54">
        <v>45707.780814328704</v>
      </c>
      <c r="B286" s="14">
        <f t="shared" si="1"/>
        <v>45707</v>
      </c>
      <c r="C286" s="15" t="s">
        <v>643</v>
      </c>
      <c r="D286" s="15" t="s">
        <v>2652</v>
      </c>
      <c r="E286" s="15" t="str">
        <f t="shared" si="19"/>
        <v>RENEE GREEN</v>
      </c>
      <c r="F286" s="16" t="str">
        <f t="shared" si="18"/>
        <v>(202) 680-4426</v>
      </c>
      <c r="G286" s="15" t="s">
        <v>2653</v>
      </c>
      <c r="H286" s="40" t="s">
        <v>66</v>
      </c>
      <c r="I286" s="50" t="s">
        <v>2654</v>
      </c>
      <c r="J286" s="50" t="s">
        <v>2655</v>
      </c>
      <c r="K286" s="50" t="s">
        <v>2656</v>
      </c>
      <c r="L286" s="50" t="s">
        <v>2657</v>
      </c>
      <c r="M286" s="50" t="s">
        <v>39</v>
      </c>
      <c r="N286" s="52" t="s">
        <v>2658</v>
      </c>
      <c r="O286" s="52" t="s">
        <v>2659</v>
      </c>
      <c r="P286" s="52" t="s">
        <v>2660</v>
      </c>
      <c r="Q286" s="52">
        <v>103.0</v>
      </c>
      <c r="R286" s="52">
        <v>20001.0</v>
      </c>
      <c r="S286" s="52" t="s">
        <v>59</v>
      </c>
      <c r="T286" s="52" t="s">
        <v>2661</v>
      </c>
      <c r="U286" s="52">
        <v>1.0</v>
      </c>
      <c r="V286" s="52">
        <v>1.0</v>
      </c>
      <c r="W286" s="52">
        <v>2.0</v>
      </c>
      <c r="X286" s="52" t="s">
        <v>2641</v>
      </c>
      <c r="Y286" s="52" t="s">
        <v>85</v>
      </c>
      <c r="Z286" s="53" t="s">
        <v>48</v>
      </c>
      <c r="AA286" s="57" t="s">
        <v>2662</v>
      </c>
      <c r="AB286" s="52" t="s">
        <v>2069</v>
      </c>
      <c r="AC286" s="52">
        <v>6.0</v>
      </c>
      <c r="AD286" s="53" t="s">
        <v>2663</v>
      </c>
    </row>
    <row r="287">
      <c r="A287" s="54">
        <v>45708.4052824074</v>
      </c>
      <c r="B287" s="14">
        <f t="shared" si="1"/>
        <v>45708</v>
      </c>
      <c r="C287" s="15" t="s">
        <v>643</v>
      </c>
      <c r="D287" s="15" t="s">
        <v>2664</v>
      </c>
      <c r="E287" s="15" t="str">
        <f t="shared" si="19"/>
        <v>Angela Terrell</v>
      </c>
      <c r="F287" s="16" t="str">
        <f t="shared" si="18"/>
        <v>(202) 910-9167</v>
      </c>
      <c r="G287" s="15" t="s">
        <v>2665</v>
      </c>
      <c r="H287" s="40" t="s">
        <v>34</v>
      </c>
      <c r="I287" s="50" t="s">
        <v>2666</v>
      </c>
      <c r="J287" s="50" t="s">
        <v>2667</v>
      </c>
      <c r="K287" s="50" t="s">
        <v>2668</v>
      </c>
      <c r="L287" s="50" t="s">
        <v>2669</v>
      </c>
      <c r="M287" s="50" t="s">
        <v>39</v>
      </c>
      <c r="N287" s="52" t="s">
        <v>1925</v>
      </c>
      <c r="O287" s="52" t="s">
        <v>2670</v>
      </c>
      <c r="P287" s="52" t="s">
        <v>2671</v>
      </c>
      <c r="Q287" s="52">
        <v>220.0</v>
      </c>
      <c r="R287" s="52">
        <v>20001.0</v>
      </c>
      <c r="S287" s="52" t="s">
        <v>59</v>
      </c>
      <c r="T287" s="52" t="s">
        <v>2672</v>
      </c>
      <c r="U287" s="52">
        <v>1.0</v>
      </c>
      <c r="V287" s="52">
        <v>0.0</v>
      </c>
      <c r="W287" s="52">
        <v>1.0</v>
      </c>
      <c r="X287" s="52" t="s">
        <v>2605</v>
      </c>
      <c r="Y287" s="52" t="s">
        <v>47</v>
      </c>
      <c r="Z287" s="53" t="s">
        <v>61</v>
      </c>
      <c r="AA287" s="57" t="s">
        <v>2673</v>
      </c>
      <c r="AB287" s="52" t="s">
        <v>2069</v>
      </c>
      <c r="AC287" s="52">
        <v>6.0</v>
      </c>
      <c r="AD287" s="53" t="s">
        <v>2674</v>
      </c>
      <c r="AF287" s="12"/>
      <c r="AG287" s="12"/>
      <c r="AH287" s="12"/>
      <c r="AI287" s="12"/>
      <c r="AJ287" s="12"/>
      <c r="AK287" s="12"/>
    </row>
    <row r="288">
      <c r="A288" s="54">
        <v>45708.501518414356</v>
      </c>
      <c r="B288" s="14">
        <f t="shared" si="1"/>
        <v>45708</v>
      </c>
      <c r="C288" s="15" t="s">
        <v>643</v>
      </c>
      <c r="D288" s="15" t="s">
        <v>2675</v>
      </c>
      <c r="E288" s="15" t="str">
        <f t="shared" si="19"/>
        <v>ALICIA TOLLIVER</v>
      </c>
      <c r="F288" s="16" t="str">
        <f t="shared" si="18"/>
        <v>(202) 251-9917</v>
      </c>
      <c r="G288" s="15" t="s">
        <v>2665</v>
      </c>
      <c r="H288" s="40" t="s">
        <v>66</v>
      </c>
      <c r="I288" s="50" t="s">
        <v>1135</v>
      </c>
      <c r="J288" s="50" t="s">
        <v>1136</v>
      </c>
      <c r="K288" s="50" t="s">
        <v>116</v>
      </c>
      <c r="L288" s="50" t="s">
        <v>2519</v>
      </c>
      <c r="M288" s="50" t="s">
        <v>39</v>
      </c>
      <c r="N288" s="52" t="s">
        <v>2676</v>
      </c>
      <c r="O288" s="52" t="s">
        <v>2677</v>
      </c>
      <c r="P288" s="52" t="s">
        <v>2678</v>
      </c>
      <c r="Q288" s="52" t="s">
        <v>889</v>
      </c>
      <c r="R288" s="52">
        <v>20032.0</v>
      </c>
      <c r="S288" s="52" t="s">
        <v>562</v>
      </c>
      <c r="T288" s="52" t="s">
        <v>2679</v>
      </c>
      <c r="U288" s="52">
        <v>1.0</v>
      </c>
      <c r="V288" s="52">
        <v>2.0</v>
      </c>
      <c r="W288" s="52">
        <v>3.0</v>
      </c>
      <c r="X288" s="52" t="s">
        <v>2632</v>
      </c>
      <c r="Y288" s="52" t="s">
        <v>85</v>
      </c>
      <c r="Z288" s="53" t="s">
        <v>458</v>
      </c>
      <c r="AA288" s="57" t="s">
        <v>2680</v>
      </c>
      <c r="AB288" s="52" t="s">
        <v>2069</v>
      </c>
      <c r="AC288" s="52">
        <v>12.0</v>
      </c>
      <c r="AD288" s="53" t="s">
        <v>2681</v>
      </c>
      <c r="AE288" s="61" t="s">
        <v>2682</v>
      </c>
      <c r="AF288" s="12"/>
      <c r="AG288" s="12"/>
      <c r="AH288" s="12"/>
      <c r="AI288" s="12"/>
      <c r="AJ288" s="12"/>
      <c r="AK288" s="12"/>
    </row>
    <row r="289">
      <c r="A289" s="54">
        <v>45709.441747731486</v>
      </c>
      <c r="B289" s="14">
        <f t="shared" si="1"/>
        <v>45709</v>
      </c>
      <c r="C289" s="15" t="s">
        <v>31</v>
      </c>
      <c r="D289" s="15" t="s">
        <v>2683</v>
      </c>
      <c r="E289" s="15" t="str">
        <f t="shared" si="19"/>
        <v>William  Hemphill</v>
      </c>
      <c r="F289" s="16" t="str">
        <f t="shared" si="18"/>
        <v>(202) 834-0174</v>
      </c>
      <c r="G289" s="15" t="s">
        <v>2684</v>
      </c>
      <c r="H289" s="40" t="s">
        <v>66</v>
      </c>
      <c r="I289" s="50" t="s">
        <v>2477</v>
      </c>
      <c r="J289" s="50" t="s">
        <v>2478</v>
      </c>
      <c r="K289" s="50" t="s">
        <v>2479</v>
      </c>
      <c r="L289" s="50" t="s">
        <v>2480</v>
      </c>
      <c r="M289" s="50" t="s">
        <v>39</v>
      </c>
      <c r="N289" s="52" t="s">
        <v>2685</v>
      </c>
      <c r="O289" s="52" t="s">
        <v>2686</v>
      </c>
      <c r="P289" s="52" t="s">
        <v>2687</v>
      </c>
      <c r="Q289" s="52">
        <v>301.0</v>
      </c>
      <c r="R289" s="52">
        <v>20020.0</v>
      </c>
      <c r="S289" s="52" t="s">
        <v>44</v>
      </c>
      <c r="T289" s="52" t="s">
        <v>2688</v>
      </c>
      <c r="U289" s="52">
        <v>1.0</v>
      </c>
      <c r="V289" s="52">
        <v>0.0</v>
      </c>
      <c r="W289" s="52">
        <v>1.0</v>
      </c>
      <c r="X289" s="52" t="s">
        <v>2594</v>
      </c>
      <c r="Y289" s="52" t="s">
        <v>47</v>
      </c>
      <c r="Z289" s="53" t="s">
        <v>166</v>
      </c>
      <c r="AA289" s="57" t="s">
        <v>2689</v>
      </c>
      <c r="AB289" s="52" t="s">
        <v>2069</v>
      </c>
      <c r="AC289" s="52">
        <v>12.0</v>
      </c>
      <c r="AD289" s="53" t="s">
        <v>2690</v>
      </c>
      <c r="AF289" s="12"/>
      <c r="AG289" s="12"/>
      <c r="AH289" s="12"/>
      <c r="AI289" s="12"/>
      <c r="AJ289" s="12"/>
      <c r="AK289" s="12"/>
    </row>
    <row r="290">
      <c r="A290" s="54">
        <v>45712.5123213426</v>
      </c>
      <c r="B290" s="14">
        <f t="shared" si="1"/>
        <v>45712</v>
      </c>
      <c r="C290" s="15" t="s">
        <v>31</v>
      </c>
      <c r="D290" s="15" t="s">
        <v>2691</v>
      </c>
      <c r="E290" s="15" t="str">
        <f t="shared" si="19"/>
        <v>Virginia Nelson</v>
      </c>
      <c r="F290" s="16" t="str">
        <f t="shared" si="18"/>
        <v>(202) 669-1042</v>
      </c>
      <c r="G290" s="15" t="s">
        <v>2692</v>
      </c>
      <c r="H290" s="40" t="s">
        <v>103</v>
      </c>
      <c r="I290" s="50" t="s">
        <v>2693</v>
      </c>
      <c r="J290" s="50" t="s">
        <v>2694</v>
      </c>
      <c r="K290" s="50" t="s">
        <v>2695</v>
      </c>
      <c r="L290" s="50" t="s">
        <v>2696</v>
      </c>
      <c r="M290" s="50" t="s">
        <v>39</v>
      </c>
      <c r="N290" s="52" t="s">
        <v>2697</v>
      </c>
      <c r="O290" s="52" t="s">
        <v>1852</v>
      </c>
      <c r="P290" s="52" t="s">
        <v>2698</v>
      </c>
      <c r="Q290" s="59"/>
      <c r="R290" s="52">
        <v>20001.0</v>
      </c>
      <c r="S290" s="52" t="s">
        <v>59</v>
      </c>
      <c r="T290" s="52" t="s">
        <v>2699</v>
      </c>
      <c r="U290" s="52">
        <v>3.0</v>
      </c>
      <c r="V290" s="52">
        <v>1.0</v>
      </c>
      <c r="W290" s="52">
        <v>4.0</v>
      </c>
      <c r="X290" s="52" t="s">
        <v>2700</v>
      </c>
      <c r="Y290" s="52" t="s">
        <v>85</v>
      </c>
      <c r="Z290" s="53" t="s">
        <v>48</v>
      </c>
      <c r="AA290" s="57" t="s">
        <v>2701</v>
      </c>
      <c r="AB290" s="52" t="s">
        <v>2069</v>
      </c>
      <c r="AC290" s="52">
        <v>12.0</v>
      </c>
      <c r="AD290" s="53" t="s">
        <v>2702</v>
      </c>
      <c r="AF290" s="12"/>
      <c r="AG290" s="12"/>
      <c r="AH290" s="12"/>
      <c r="AI290" s="12"/>
      <c r="AJ290" s="12"/>
      <c r="AK290" s="12"/>
    </row>
    <row r="291">
      <c r="A291" s="62">
        <v>45712.609287037034</v>
      </c>
      <c r="B291" s="14">
        <f t="shared" si="1"/>
        <v>45712</v>
      </c>
      <c r="C291" s="15" t="s">
        <v>31</v>
      </c>
      <c r="D291" s="15" t="s">
        <v>2703</v>
      </c>
      <c r="E291" s="15" t="str">
        <f t="shared" si="19"/>
        <v>	ALPHONSO  Frye</v>
      </c>
      <c r="F291" s="16" t="str">
        <f t="shared" si="18"/>
        <v>(202) 914-6290</v>
      </c>
      <c r="G291" s="15" t="s">
        <v>2704</v>
      </c>
      <c r="H291" s="40" t="s">
        <v>103</v>
      </c>
      <c r="I291" s="50" t="s">
        <v>2705</v>
      </c>
      <c r="J291" s="50" t="s">
        <v>2154</v>
      </c>
      <c r="K291" s="50" t="s">
        <v>2706</v>
      </c>
      <c r="L291" s="50" t="s">
        <v>2156</v>
      </c>
      <c r="M291" s="50" t="s">
        <v>39</v>
      </c>
      <c r="N291" s="52" t="s">
        <v>2707</v>
      </c>
      <c r="O291" s="52" t="s">
        <v>2708</v>
      </c>
      <c r="P291" s="52" t="s">
        <v>2709</v>
      </c>
      <c r="Q291" s="52">
        <v>102.0</v>
      </c>
      <c r="R291" s="52">
        <v>20019.0</v>
      </c>
      <c r="S291" s="52" t="s">
        <v>59</v>
      </c>
      <c r="T291" s="52" t="s">
        <v>2710</v>
      </c>
      <c r="U291" s="52">
        <v>1.0</v>
      </c>
      <c r="V291" s="52">
        <v>0.0</v>
      </c>
      <c r="W291" s="52">
        <v>1.0</v>
      </c>
      <c r="X291" s="52" t="s">
        <v>2605</v>
      </c>
      <c r="Y291" s="52" t="s">
        <v>47</v>
      </c>
      <c r="Z291" s="53" t="s">
        <v>122</v>
      </c>
      <c r="AA291" s="57" t="s">
        <v>2711</v>
      </c>
      <c r="AB291" s="52" t="s">
        <v>2069</v>
      </c>
      <c r="AC291" s="52">
        <v>12.0</v>
      </c>
      <c r="AD291" s="53">
        <v>12.0</v>
      </c>
      <c r="AF291" s="12"/>
      <c r="AG291" s="12"/>
      <c r="AH291" s="12"/>
      <c r="AI291" s="12"/>
      <c r="AJ291" s="12"/>
      <c r="AK291" s="12"/>
    </row>
    <row r="292">
      <c r="A292" s="54">
        <v>45712.615230254625</v>
      </c>
      <c r="B292" s="14">
        <f t="shared" si="1"/>
        <v>45712</v>
      </c>
      <c r="C292" s="15" t="s">
        <v>230</v>
      </c>
      <c r="D292" s="15" t="s">
        <v>2712</v>
      </c>
      <c r="E292" s="15" t="str">
        <f t="shared" si="19"/>
        <v>Helen Smith</v>
      </c>
      <c r="F292" s="16" t="str">
        <f t="shared" si="18"/>
        <v>(202) 361-1078</v>
      </c>
      <c r="G292" s="15" t="s">
        <v>2713</v>
      </c>
      <c r="H292" s="40" t="s">
        <v>66</v>
      </c>
      <c r="I292" s="50" t="s">
        <v>2705</v>
      </c>
      <c r="J292" s="50" t="s">
        <v>2714</v>
      </c>
      <c r="K292" s="50" t="s">
        <v>2715</v>
      </c>
      <c r="L292" s="50" t="s">
        <v>2156</v>
      </c>
      <c r="M292" s="50" t="s">
        <v>39</v>
      </c>
      <c r="N292" s="52" t="s">
        <v>2716</v>
      </c>
      <c r="O292" s="52" t="s">
        <v>1062</v>
      </c>
      <c r="P292" s="52" t="s">
        <v>2717</v>
      </c>
      <c r="Q292" s="59"/>
      <c r="R292" s="52">
        <v>20019.0</v>
      </c>
      <c r="S292" s="52" t="s">
        <v>74</v>
      </c>
      <c r="T292" s="52" t="s">
        <v>2718</v>
      </c>
      <c r="U292" s="52">
        <v>3.0</v>
      </c>
      <c r="V292" s="52">
        <v>1.0</v>
      </c>
      <c r="W292" s="52">
        <v>4.0</v>
      </c>
      <c r="X292" s="52" t="s">
        <v>2641</v>
      </c>
      <c r="Y292" s="52" t="s">
        <v>85</v>
      </c>
      <c r="Z292" s="53" t="s">
        <v>361</v>
      </c>
      <c r="AA292" s="57" t="s">
        <v>2719</v>
      </c>
      <c r="AB292" s="52" t="s">
        <v>2069</v>
      </c>
      <c r="AC292" s="52">
        <v>12.0</v>
      </c>
      <c r="AD292" s="53">
        <v>12.0</v>
      </c>
      <c r="AF292" s="12"/>
      <c r="AG292" s="12"/>
      <c r="AH292" s="12"/>
      <c r="AI292" s="12"/>
      <c r="AJ292" s="12"/>
      <c r="AK292" s="12"/>
    </row>
    <row r="293">
      <c r="A293" s="63">
        <v>45892.0</v>
      </c>
      <c r="B293" s="14">
        <f t="shared" si="1"/>
        <v>45892</v>
      </c>
      <c r="C293" s="15" t="s">
        <v>2720</v>
      </c>
      <c r="D293" s="15" t="s">
        <v>2721</v>
      </c>
      <c r="E293" s="15" t="str">
        <f t="shared" si="19"/>
        <v>Tanesha  Abbott</v>
      </c>
      <c r="F293" s="16" t="str">
        <f t="shared" si="18"/>
        <v>(240) 761-9078</v>
      </c>
      <c r="G293" s="15" t="s">
        <v>2722</v>
      </c>
      <c r="H293" s="40" t="s">
        <v>103</v>
      </c>
      <c r="I293" s="50" t="s">
        <v>1153</v>
      </c>
      <c r="J293" s="50" t="s">
        <v>1744</v>
      </c>
      <c r="K293" s="50" t="s">
        <v>1745</v>
      </c>
      <c r="L293" s="50" t="s">
        <v>2327</v>
      </c>
      <c r="M293" s="50" t="s">
        <v>39</v>
      </c>
      <c r="N293" s="52" t="s">
        <v>2723</v>
      </c>
      <c r="O293" s="52" t="s">
        <v>2724</v>
      </c>
      <c r="P293" s="52" t="s">
        <v>2725</v>
      </c>
      <c r="Q293" s="52">
        <v>406.0</v>
      </c>
      <c r="R293" s="52">
        <v>20003.0</v>
      </c>
      <c r="S293" s="52" t="s">
        <v>44</v>
      </c>
      <c r="T293" s="52" t="s">
        <v>2726</v>
      </c>
      <c r="U293" s="52">
        <v>1.0</v>
      </c>
      <c r="V293" s="52">
        <v>0.0</v>
      </c>
      <c r="W293" s="52">
        <v>1.0</v>
      </c>
      <c r="X293" s="52" t="s">
        <v>2632</v>
      </c>
      <c r="Y293" s="52" t="s">
        <v>47</v>
      </c>
      <c r="Z293" s="53" t="s">
        <v>61</v>
      </c>
      <c r="AA293" s="57" t="s">
        <v>2727</v>
      </c>
      <c r="AB293" s="52" t="s">
        <v>2069</v>
      </c>
      <c r="AC293" s="52">
        <v>3.0</v>
      </c>
      <c r="AD293" s="53" t="s">
        <v>2728</v>
      </c>
      <c r="AF293" s="12"/>
      <c r="AG293" s="12"/>
      <c r="AH293" s="12"/>
      <c r="AI293" s="12"/>
      <c r="AJ293" s="12"/>
      <c r="AK293" s="12"/>
    </row>
    <row r="294">
      <c r="A294" s="54">
        <v>45714.70956476852</v>
      </c>
      <c r="B294" s="14">
        <f t="shared" si="1"/>
        <v>45714</v>
      </c>
      <c r="C294" s="15" t="s">
        <v>31</v>
      </c>
      <c r="D294" s="15" t="s">
        <v>2729</v>
      </c>
      <c r="E294" s="15" t="str">
        <f t="shared" si="19"/>
        <v>Diane Curtis</v>
      </c>
      <c r="F294" s="16" t="str">
        <f t="shared" si="18"/>
        <v>(202) 487-7334</v>
      </c>
      <c r="G294" s="15" t="s">
        <v>2730</v>
      </c>
      <c r="H294" s="40" t="s">
        <v>66</v>
      </c>
      <c r="I294" s="50" t="s">
        <v>2731</v>
      </c>
      <c r="J294" s="50" t="s">
        <v>2732</v>
      </c>
      <c r="K294" s="50" t="s">
        <v>2733</v>
      </c>
      <c r="L294" s="50" t="s">
        <v>2734</v>
      </c>
      <c r="M294" s="50" t="s">
        <v>39</v>
      </c>
      <c r="N294" s="52" t="s">
        <v>2735</v>
      </c>
      <c r="O294" s="52" t="s">
        <v>2137</v>
      </c>
      <c r="P294" s="52" t="s">
        <v>2736</v>
      </c>
      <c r="Q294" s="52" t="s">
        <v>207</v>
      </c>
      <c r="R294" s="52">
        <v>20002.0</v>
      </c>
      <c r="S294" s="52" t="s">
        <v>74</v>
      </c>
      <c r="T294" s="52" t="s">
        <v>2737</v>
      </c>
      <c r="U294" s="52">
        <v>1.0</v>
      </c>
      <c r="V294" s="52">
        <v>0.0</v>
      </c>
      <c r="W294" s="52">
        <v>1.0</v>
      </c>
      <c r="X294" s="52" t="s">
        <v>2605</v>
      </c>
      <c r="Y294" s="52" t="s">
        <v>47</v>
      </c>
      <c r="Z294" s="53" t="s">
        <v>122</v>
      </c>
      <c r="AA294" s="53" t="s">
        <v>2738</v>
      </c>
      <c r="AB294" s="52" t="s">
        <v>2059</v>
      </c>
      <c r="AC294" s="52">
        <v>12.0</v>
      </c>
      <c r="AD294" s="53" t="s">
        <v>2739</v>
      </c>
      <c r="AF294" s="12"/>
      <c r="AG294" s="12"/>
      <c r="AH294" s="12"/>
      <c r="AI294" s="12"/>
      <c r="AJ294" s="12"/>
      <c r="AK294" s="12"/>
    </row>
    <row r="295">
      <c r="A295" s="54">
        <v>45715.509245775465</v>
      </c>
      <c r="B295" s="14">
        <f t="shared" si="1"/>
        <v>45715</v>
      </c>
      <c r="C295" s="15" t="s">
        <v>31</v>
      </c>
      <c r="D295" s="15" t="s">
        <v>2740</v>
      </c>
      <c r="E295" s="15" t="str">
        <f t="shared" si="19"/>
        <v>Leigh  Monet</v>
      </c>
      <c r="F295" s="16" t="str">
        <f t="shared" si="18"/>
        <v>(202) 749-5333</v>
      </c>
      <c r="G295" s="15" t="s">
        <v>2741</v>
      </c>
      <c r="H295" s="40" t="s">
        <v>34</v>
      </c>
      <c r="I295" s="50" t="s">
        <v>2742</v>
      </c>
      <c r="J295" s="50" t="s">
        <v>2743</v>
      </c>
      <c r="K295" s="50" t="s">
        <v>2744</v>
      </c>
      <c r="L295" s="50" t="s">
        <v>2745</v>
      </c>
      <c r="M295" s="50" t="s">
        <v>39</v>
      </c>
      <c r="N295" s="52" t="s">
        <v>2746</v>
      </c>
      <c r="O295" s="52" t="s">
        <v>2747</v>
      </c>
      <c r="P295" s="52" t="s">
        <v>2748</v>
      </c>
      <c r="Q295" s="59"/>
      <c r="R295" s="52">
        <v>20011.0</v>
      </c>
      <c r="S295" s="52" t="s">
        <v>59</v>
      </c>
      <c r="T295" s="52" t="s">
        <v>2749</v>
      </c>
      <c r="U295" s="52">
        <v>1.0</v>
      </c>
      <c r="V295" s="52">
        <v>1.0</v>
      </c>
      <c r="W295" s="52">
        <v>2.0</v>
      </c>
      <c r="X295" s="52" t="s">
        <v>2566</v>
      </c>
      <c r="Y295" s="52" t="s">
        <v>47</v>
      </c>
      <c r="Z295" s="53" t="s">
        <v>61</v>
      </c>
      <c r="AA295" s="53" t="s">
        <v>2750</v>
      </c>
      <c r="AB295" s="52" t="s">
        <v>2751</v>
      </c>
      <c r="AC295" s="52">
        <v>3.0</v>
      </c>
      <c r="AD295" s="53" t="s">
        <v>2752</v>
      </c>
      <c r="AF295" s="12"/>
      <c r="AG295" s="12"/>
      <c r="AH295" s="12"/>
      <c r="AI295" s="12"/>
      <c r="AJ295" s="12"/>
      <c r="AK295" s="12"/>
    </row>
    <row r="296">
      <c r="A296" s="54">
        <v>45716.527542129625</v>
      </c>
      <c r="B296" s="14">
        <f t="shared" si="1"/>
        <v>45716</v>
      </c>
      <c r="C296" s="15" t="s">
        <v>31</v>
      </c>
      <c r="D296" s="15" t="s">
        <v>2753</v>
      </c>
      <c r="E296" s="15" t="str">
        <f t="shared" si="19"/>
        <v>Angelica  Johnson </v>
      </c>
      <c r="F296" s="16" t="str">
        <f t="shared" si="18"/>
        <v>(202) 704-0170</v>
      </c>
      <c r="G296" s="15" t="s">
        <v>2754</v>
      </c>
      <c r="H296" s="40" t="s">
        <v>103</v>
      </c>
      <c r="I296" s="50" t="s">
        <v>2755</v>
      </c>
      <c r="J296" s="50" t="s">
        <v>2756</v>
      </c>
      <c r="K296" s="50" t="s">
        <v>2757</v>
      </c>
      <c r="L296" s="50" t="s">
        <v>2758</v>
      </c>
      <c r="M296" s="50" t="s">
        <v>39</v>
      </c>
      <c r="N296" s="52" t="s">
        <v>2759</v>
      </c>
      <c r="O296" s="52" t="s">
        <v>2760</v>
      </c>
      <c r="P296" s="52" t="s">
        <v>2761</v>
      </c>
      <c r="Q296" s="52">
        <v>472.0</v>
      </c>
      <c r="R296" s="52">
        <v>20024.0</v>
      </c>
      <c r="S296" s="52" t="s">
        <v>562</v>
      </c>
      <c r="T296" s="52" t="s">
        <v>2762</v>
      </c>
      <c r="U296" s="52">
        <v>1.0</v>
      </c>
      <c r="V296" s="52">
        <v>1.0</v>
      </c>
      <c r="W296" s="52">
        <v>2.0</v>
      </c>
      <c r="X296" s="52" t="s">
        <v>2566</v>
      </c>
      <c r="Y296" s="52" t="s">
        <v>85</v>
      </c>
      <c r="Z296" s="53" t="s">
        <v>236</v>
      </c>
      <c r="AA296" s="53" t="s">
        <v>2763</v>
      </c>
      <c r="AB296" s="52" t="s">
        <v>2059</v>
      </c>
      <c r="AC296" s="52">
        <v>8.0</v>
      </c>
      <c r="AD296" s="53" t="s">
        <v>2764</v>
      </c>
      <c r="AF296" s="12"/>
      <c r="AG296" s="12"/>
      <c r="AH296" s="12"/>
      <c r="AI296" s="12"/>
      <c r="AJ296" s="12"/>
      <c r="AK296" s="12"/>
    </row>
    <row r="297">
      <c r="A297" s="54">
        <v>45716.56370629629</v>
      </c>
      <c r="B297" s="14">
        <f t="shared" si="1"/>
        <v>45716</v>
      </c>
      <c r="C297" s="15" t="s">
        <v>31</v>
      </c>
      <c r="D297" s="15" t="s">
        <v>2765</v>
      </c>
      <c r="E297" s="15" t="str">
        <f t="shared" si="19"/>
        <v>christine cole</v>
      </c>
      <c r="F297" s="16" t="str">
        <f t="shared" si="18"/>
        <v>(202) 200-5810</v>
      </c>
      <c r="G297" s="15" t="s">
        <v>2766</v>
      </c>
      <c r="H297" s="40" t="s">
        <v>103</v>
      </c>
      <c r="I297" s="50" t="s">
        <v>2208</v>
      </c>
      <c r="J297" s="50" t="s">
        <v>2209</v>
      </c>
      <c r="K297" s="50" t="s">
        <v>2498</v>
      </c>
      <c r="L297" s="50" t="s">
        <v>2211</v>
      </c>
      <c r="M297" s="50" t="s">
        <v>39</v>
      </c>
      <c r="N297" s="52" t="s">
        <v>2767</v>
      </c>
      <c r="O297" s="52" t="s">
        <v>2768</v>
      </c>
      <c r="P297" s="52" t="s">
        <v>2769</v>
      </c>
      <c r="Q297" s="52">
        <v>818.0</v>
      </c>
      <c r="R297" s="52">
        <v>20032.0</v>
      </c>
      <c r="S297" s="52" t="s">
        <v>44</v>
      </c>
      <c r="T297" s="52" t="s">
        <v>2770</v>
      </c>
      <c r="U297" s="52">
        <v>1.0</v>
      </c>
      <c r="V297" s="52">
        <v>1.0</v>
      </c>
      <c r="W297" s="52">
        <v>2.0</v>
      </c>
      <c r="X297" s="52" t="s">
        <v>2771</v>
      </c>
      <c r="Y297" s="52" t="s">
        <v>85</v>
      </c>
      <c r="Z297" s="53" t="s">
        <v>2772</v>
      </c>
      <c r="AA297" s="53" t="s">
        <v>2773</v>
      </c>
      <c r="AB297" s="52" t="s">
        <v>2059</v>
      </c>
      <c r="AC297" s="52">
        <v>3.0</v>
      </c>
      <c r="AD297" s="53" t="s">
        <v>2774</v>
      </c>
      <c r="AF297" s="12"/>
      <c r="AG297" s="12"/>
      <c r="AH297" s="12"/>
      <c r="AI297" s="12"/>
      <c r="AJ297" s="12"/>
      <c r="AK297" s="12"/>
    </row>
    <row r="298">
      <c r="A298" s="54">
        <v>45718.83021869213</v>
      </c>
      <c r="B298" s="14">
        <f t="shared" si="1"/>
        <v>45718</v>
      </c>
      <c r="C298" s="15" t="s">
        <v>282</v>
      </c>
      <c r="D298" s="15" t="s">
        <v>2775</v>
      </c>
      <c r="E298" s="15" t="str">
        <f t="shared" si="19"/>
        <v>Sanchino Hayes</v>
      </c>
      <c r="F298" s="16" t="str">
        <f t="shared" si="18"/>
        <v>(202) 602-8361</v>
      </c>
      <c r="G298" s="15" t="s">
        <v>2776</v>
      </c>
      <c r="H298" s="40" t="s">
        <v>34</v>
      </c>
      <c r="I298" s="50" t="s">
        <v>224</v>
      </c>
      <c r="J298" s="50" t="s">
        <v>225</v>
      </c>
      <c r="K298" s="50" t="s">
        <v>2777</v>
      </c>
      <c r="L298" s="50" t="s">
        <v>2126</v>
      </c>
      <c r="M298" s="50" t="s">
        <v>39</v>
      </c>
      <c r="N298" s="52" t="s">
        <v>2778</v>
      </c>
      <c r="O298" s="52" t="s">
        <v>2779</v>
      </c>
      <c r="P298" s="52" t="s">
        <v>2780</v>
      </c>
      <c r="Q298" s="59"/>
      <c r="R298" s="52">
        <v>20002.0</v>
      </c>
      <c r="S298" s="52" t="s">
        <v>74</v>
      </c>
      <c r="T298" s="52" t="s">
        <v>2781</v>
      </c>
      <c r="U298" s="52">
        <v>2.0</v>
      </c>
      <c r="V298" s="52">
        <v>2.0</v>
      </c>
      <c r="W298" s="52">
        <v>4.0</v>
      </c>
      <c r="X298" s="52" t="s">
        <v>2771</v>
      </c>
      <c r="Y298" s="53" t="s">
        <v>85</v>
      </c>
      <c r="Z298" s="53" t="s">
        <v>236</v>
      </c>
      <c r="AA298" s="53" t="s">
        <v>2782</v>
      </c>
      <c r="AB298" s="53" t="s">
        <v>2059</v>
      </c>
      <c r="AC298" s="53">
        <v>6.0</v>
      </c>
      <c r="AD298" s="53" t="s">
        <v>2783</v>
      </c>
      <c r="AE298" s="61" t="s">
        <v>2784</v>
      </c>
      <c r="AF298" s="12"/>
      <c r="AG298" s="12"/>
      <c r="AH298" s="12"/>
      <c r="AI298" s="12"/>
      <c r="AJ298" s="12"/>
      <c r="AK298" s="12"/>
    </row>
    <row r="299">
      <c r="A299" s="54">
        <v>45721.53036820602</v>
      </c>
      <c r="B299" s="14">
        <f t="shared" si="1"/>
        <v>45721</v>
      </c>
      <c r="C299" s="15" t="s">
        <v>31</v>
      </c>
      <c r="D299" s="15" t="s">
        <v>2740</v>
      </c>
      <c r="E299" s="15" t="str">
        <f t="shared" si="19"/>
        <v>Anna Mason</v>
      </c>
      <c r="F299" s="16" t="str">
        <f t="shared" si="18"/>
        <v>(202) 892-0897</v>
      </c>
      <c r="G299" s="15" t="s">
        <v>2785</v>
      </c>
      <c r="H299" s="40" t="s">
        <v>66</v>
      </c>
      <c r="I299" s="50" t="s">
        <v>2610</v>
      </c>
      <c r="J299" s="50" t="s">
        <v>2786</v>
      </c>
      <c r="K299" s="50" t="s">
        <v>2612</v>
      </c>
      <c r="L299" s="50" t="s">
        <v>2613</v>
      </c>
      <c r="M299" s="50" t="s">
        <v>39</v>
      </c>
      <c r="N299" s="52" t="s">
        <v>2787</v>
      </c>
      <c r="O299" s="52" t="s">
        <v>2391</v>
      </c>
      <c r="P299" s="52" t="s">
        <v>2788</v>
      </c>
      <c r="Q299" s="59"/>
      <c r="R299" s="52">
        <v>20002.0</v>
      </c>
      <c r="S299" s="52" t="s">
        <v>74</v>
      </c>
      <c r="T299" s="52" t="s">
        <v>2789</v>
      </c>
      <c r="U299" s="52">
        <v>1.0</v>
      </c>
      <c r="V299" s="52">
        <v>5.0</v>
      </c>
      <c r="W299" s="52">
        <v>6.0</v>
      </c>
      <c r="X299" s="52" t="s">
        <v>2771</v>
      </c>
      <c r="Y299" s="53" t="s">
        <v>85</v>
      </c>
      <c r="Z299" s="53" t="s">
        <v>2790</v>
      </c>
      <c r="AA299" s="53" t="s">
        <v>2791</v>
      </c>
      <c r="AB299" s="53" t="s">
        <v>2069</v>
      </c>
      <c r="AC299" s="53">
        <v>4.0</v>
      </c>
      <c r="AD299" s="53" t="s">
        <v>2792</v>
      </c>
      <c r="AE299" s="61" t="s">
        <v>2793</v>
      </c>
      <c r="AF299" s="12"/>
      <c r="AG299" s="12"/>
      <c r="AH299" s="12"/>
      <c r="AI299" s="12"/>
      <c r="AJ299" s="12"/>
      <c r="AK299" s="12"/>
    </row>
    <row r="300">
      <c r="A300" s="54">
        <v>45722.663738055555</v>
      </c>
      <c r="B300" s="14">
        <f t="shared" si="1"/>
        <v>45722</v>
      </c>
      <c r="C300" s="15" t="s">
        <v>2794</v>
      </c>
      <c r="D300" s="15" t="s">
        <v>2795</v>
      </c>
      <c r="E300" s="15" t="str">
        <f t="shared" si="19"/>
        <v>Coby Jones</v>
      </c>
      <c r="F300" s="16" t="str">
        <f t="shared" si="18"/>
        <v>(202) 584-5709</v>
      </c>
      <c r="G300" s="15" t="s">
        <v>2796</v>
      </c>
      <c r="H300" s="40" t="s">
        <v>66</v>
      </c>
      <c r="I300" s="50" t="s">
        <v>2797</v>
      </c>
      <c r="J300" s="50" t="s">
        <v>2798</v>
      </c>
      <c r="K300" s="50" t="s">
        <v>2799</v>
      </c>
      <c r="L300" s="50" t="s">
        <v>2800</v>
      </c>
      <c r="M300" s="50" t="s">
        <v>39</v>
      </c>
      <c r="N300" s="52" t="s">
        <v>2801</v>
      </c>
      <c r="O300" s="52" t="s">
        <v>1087</v>
      </c>
      <c r="P300" s="52" t="s">
        <v>2802</v>
      </c>
      <c r="Q300" s="59"/>
      <c r="R300" s="52">
        <v>20019.0</v>
      </c>
      <c r="S300" s="52" t="s">
        <v>44</v>
      </c>
      <c r="T300" s="52" t="s">
        <v>2803</v>
      </c>
      <c r="U300" s="52">
        <v>1.0</v>
      </c>
      <c r="V300" s="52">
        <v>0.0</v>
      </c>
      <c r="W300" s="52">
        <v>2.0</v>
      </c>
      <c r="X300" s="52" t="s">
        <v>2700</v>
      </c>
      <c r="Y300" s="53" t="s">
        <v>47</v>
      </c>
      <c r="Z300" s="53" t="s">
        <v>48</v>
      </c>
      <c r="AA300" s="53" t="s">
        <v>2804</v>
      </c>
      <c r="AB300" s="53" t="s">
        <v>2069</v>
      </c>
      <c r="AC300" s="53">
        <v>12.0</v>
      </c>
      <c r="AD300" s="53" t="s">
        <v>2805</v>
      </c>
      <c r="AF300" s="12"/>
      <c r="AG300" s="12"/>
      <c r="AH300" s="12"/>
      <c r="AI300" s="12"/>
      <c r="AJ300" s="12"/>
      <c r="AK300" s="12"/>
    </row>
    <row r="301">
      <c r="A301" s="54">
        <v>45726.537243425926</v>
      </c>
      <c r="B301" s="14">
        <f t="shared" si="1"/>
        <v>45726</v>
      </c>
      <c r="C301" s="15" t="s">
        <v>327</v>
      </c>
      <c r="D301" s="15" t="s">
        <v>2806</v>
      </c>
      <c r="E301" s="15" t="str">
        <f t="shared" si="19"/>
        <v>Lillimae  Bonilla</v>
      </c>
      <c r="F301" s="16" t="str">
        <f t="shared" si="18"/>
        <v>(202) 421-8834</v>
      </c>
      <c r="G301" s="15" t="s">
        <v>2807</v>
      </c>
      <c r="H301" s="40" t="s">
        <v>66</v>
      </c>
      <c r="I301" s="50" t="s">
        <v>2808</v>
      </c>
      <c r="J301" s="50" t="s">
        <v>2809</v>
      </c>
      <c r="K301" s="50" t="s">
        <v>2810</v>
      </c>
      <c r="L301" s="50" t="s">
        <v>2811</v>
      </c>
      <c r="M301" s="50" t="s">
        <v>39</v>
      </c>
      <c r="N301" s="52" t="s">
        <v>2812</v>
      </c>
      <c r="O301" s="52" t="s">
        <v>2813</v>
      </c>
      <c r="P301" s="52" t="s">
        <v>2814</v>
      </c>
      <c r="Q301" s="59"/>
      <c r="R301" s="52">
        <v>20011.0</v>
      </c>
      <c r="S301" s="52" t="s">
        <v>59</v>
      </c>
      <c r="T301" s="52" t="s">
        <v>2815</v>
      </c>
      <c r="U301" s="52">
        <v>2.0</v>
      </c>
      <c r="V301" s="52">
        <v>6.0</v>
      </c>
      <c r="W301" s="52">
        <v>8.0</v>
      </c>
      <c r="X301" s="52" t="s">
        <v>2632</v>
      </c>
      <c r="Y301" s="53" t="s">
        <v>85</v>
      </c>
      <c r="Z301" s="53" t="s">
        <v>2816</v>
      </c>
      <c r="AA301" s="53" t="s">
        <v>2817</v>
      </c>
      <c r="AB301" s="53" t="s">
        <v>2069</v>
      </c>
      <c r="AC301" s="53">
        <v>6.0</v>
      </c>
      <c r="AD301" s="53" t="s">
        <v>2818</v>
      </c>
      <c r="AF301" s="12"/>
      <c r="AG301" s="12"/>
      <c r="AH301" s="12"/>
      <c r="AI301" s="12"/>
      <c r="AJ301" s="12"/>
      <c r="AK301" s="12"/>
    </row>
    <row r="302">
      <c r="A302" s="54">
        <v>45726.66283555556</v>
      </c>
      <c r="B302" s="14">
        <f t="shared" si="1"/>
        <v>45726</v>
      </c>
      <c r="C302" s="15" t="s">
        <v>2794</v>
      </c>
      <c r="D302" s="15" t="s">
        <v>2819</v>
      </c>
      <c r="E302" s="15" t="str">
        <f t="shared" si="19"/>
        <v>Marquita Howards</v>
      </c>
      <c r="F302" s="16" t="str">
        <f t="shared" si="18"/>
        <v>(771) 233-0258</v>
      </c>
      <c r="G302" s="15" t="s">
        <v>2820</v>
      </c>
      <c r="H302" s="40" t="s">
        <v>356</v>
      </c>
      <c r="I302" s="50" t="s">
        <v>67</v>
      </c>
      <c r="J302" s="50" t="s">
        <v>126</v>
      </c>
      <c r="K302" s="50" t="s">
        <v>2821</v>
      </c>
      <c r="L302" s="50" t="s">
        <v>70</v>
      </c>
      <c r="M302" s="50" t="s">
        <v>39</v>
      </c>
      <c r="N302" s="52" t="s">
        <v>2287</v>
      </c>
      <c r="O302" s="52" t="s">
        <v>2822</v>
      </c>
      <c r="P302" s="52" t="s">
        <v>2823</v>
      </c>
      <c r="Q302" s="59"/>
      <c r="R302" s="52">
        <v>20032.0</v>
      </c>
      <c r="S302" s="52" t="s">
        <v>44</v>
      </c>
      <c r="T302" s="52" t="s">
        <v>2824</v>
      </c>
      <c r="U302" s="52">
        <v>2.0</v>
      </c>
      <c r="V302" s="52">
        <v>0.0</v>
      </c>
      <c r="W302" s="52">
        <v>2.0</v>
      </c>
      <c r="X302" s="52" t="s">
        <v>2566</v>
      </c>
      <c r="Y302" s="53" t="s">
        <v>47</v>
      </c>
      <c r="Z302" s="53" t="s">
        <v>236</v>
      </c>
      <c r="AA302" s="53" t="s">
        <v>2825</v>
      </c>
      <c r="AB302" s="53" t="s">
        <v>2069</v>
      </c>
      <c r="AC302" s="53">
        <v>12.0</v>
      </c>
      <c r="AD302" s="53">
        <v>12.0</v>
      </c>
      <c r="AF302" s="12"/>
      <c r="AG302" s="12"/>
      <c r="AH302" s="12"/>
      <c r="AI302" s="12"/>
      <c r="AJ302" s="12"/>
      <c r="AK302" s="12"/>
    </row>
    <row r="303">
      <c r="A303" s="54">
        <v>45729.441391712964</v>
      </c>
      <c r="B303" s="14">
        <f t="shared" si="1"/>
        <v>45729</v>
      </c>
      <c r="C303" s="15" t="s">
        <v>2794</v>
      </c>
      <c r="D303" s="15" t="s">
        <v>2826</v>
      </c>
      <c r="E303" s="15" t="str">
        <f t="shared" si="19"/>
        <v>JANICE JENNINGS</v>
      </c>
      <c r="F303" s="16" t="str">
        <f t="shared" si="18"/>
        <v>(202) 749-1712</v>
      </c>
      <c r="G303" s="15" t="s">
        <v>2820</v>
      </c>
      <c r="H303" s="40" t="s">
        <v>356</v>
      </c>
      <c r="I303" s="50" t="s">
        <v>1135</v>
      </c>
      <c r="J303" s="50" t="s">
        <v>1136</v>
      </c>
      <c r="K303" s="50" t="s">
        <v>116</v>
      </c>
      <c r="L303" s="50" t="s">
        <v>2519</v>
      </c>
      <c r="M303" s="50" t="s">
        <v>39</v>
      </c>
      <c r="N303" s="52" t="s">
        <v>2827</v>
      </c>
      <c r="O303" s="52" t="s">
        <v>2828</v>
      </c>
      <c r="P303" s="52" t="s">
        <v>2829</v>
      </c>
      <c r="Q303" s="52" t="s">
        <v>2830</v>
      </c>
      <c r="R303" s="52">
        <v>20032.0</v>
      </c>
      <c r="S303" s="52" t="s">
        <v>44</v>
      </c>
      <c r="T303" s="52" t="s">
        <v>2831</v>
      </c>
      <c r="U303" s="52">
        <v>2.0</v>
      </c>
      <c r="V303" s="52">
        <v>0.0</v>
      </c>
      <c r="W303" s="52">
        <v>2.0</v>
      </c>
      <c r="X303" s="52" t="s">
        <v>2641</v>
      </c>
      <c r="Y303" s="53" t="s">
        <v>47</v>
      </c>
      <c r="Z303" s="53" t="s">
        <v>48</v>
      </c>
      <c r="AA303" s="53" t="s">
        <v>2832</v>
      </c>
      <c r="AB303" s="53" t="s">
        <v>2069</v>
      </c>
      <c r="AC303" s="53">
        <v>12.0</v>
      </c>
      <c r="AD303" s="53" t="s">
        <v>2833</v>
      </c>
      <c r="AF303" s="12"/>
      <c r="AG303" s="12"/>
      <c r="AH303" s="12"/>
      <c r="AI303" s="12"/>
      <c r="AJ303" s="12"/>
      <c r="AK303" s="12"/>
    </row>
    <row r="304">
      <c r="A304" s="54">
        <v>45729.4730793287</v>
      </c>
      <c r="B304" s="14">
        <f t="shared" si="1"/>
        <v>45729</v>
      </c>
      <c r="C304" s="15" t="s">
        <v>643</v>
      </c>
      <c r="D304" s="15" t="s">
        <v>2834</v>
      </c>
      <c r="E304" s="15" t="str">
        <f t="shared" si="19"/>
        <v>DONNA BAXTER</v>
      </c>
      <c r="F304" s="16" t="str">
        <f t="shared" si="18"/>
        <v>(771) 241-0202</v>
      </c>
      <c r="G304" s="15" t="s">
        <v>2835</v>
      </c>
      <c r="H304" s="40" t="s">
        <v>66</v>
      </c>
      <c r="I304" s="50" t="s">
        <v>2386</v>
      </c>
      <c r="J304" s="50" t="s">
        <v>2836</v>
      </c>
      <c r="K304" s="50" t="s">
        <v>2837</v>
      </c>
      <c r="L304" s="50" t="s">
        <v>2838</v>
      </c>
      <c r="M304" s="50" t="s">
        <v>39</v>
      </c>
      <c r="N304" s="52" t="s">
        <v>2839</v>
      </c>
      <c r="O304" s="52" t="s">
        <v>2840</v>
      </c>
      <c r="P304" s="52" t="s">
        <v>2841</v>
      </c>
      <c r="Q304" s="52">
        <v>309.0</v>
      </c>
      <c r="R304" s="52">
        <v>20019.0</v>
      </c>
      <c r="S304" s="52" t="s">
        <v>44</v>
      </c>
      <c r="T304" s="52" t="s">
        <v>2842</v>
      </c>
      <c r="U304" s="52">
        <v>1.0</v>
      </c>
      <c r="V304" s="52">
        <v>0.0</v>
      </c>
      <c r="W304" s="52">
        <v>1.0</v>
      </c>
      <c r="X304" s="52" t="s">
        <v>2261</v>
      </c>
      <c r="Y304" s="53" t="s">
        <v>47</v>
      </c>
      <c r="Z304" s="53" t="s">
        <v>166</v>
      </c>
      <c r="AA304" s="53" t="s">
        <v>2843</v>
      </c>
      <c r="AB304" s="53" t="s">
        <v>2069</v>
      </c>
      <c r="AC304" s="53">
        <v>12.0</v>
      </c>
      <c r="AD304" s="53" t="s">
        <v>2844</v>
      </c>
      <c r="AF304" s="12"/>
      <c r="AG304" s="12"/>
      <c r="AH304" s="12"/>
      <c r="AI304" s="12"/>
      <c r="AJ304" s="12"/>
      <c r="AK304" s="12"/>
    </row>
    <row r="305">
      <c r="A305" s="54">
        <v>45729.53178440972</v>
      </c>
      <c r="B305" s="14">
        <f t="shared" si="1"/>
        <v>45729</v>
      </c>
      <c r="C305" s="15" t="s">
        <v>643</v>
      </c>
      <c r="D305" s="15" t="s">
        <v>1867</v>
      </c>
      <c r="E305" s="15" t="str">
        <f t="shared" si="19"/>
        <v>Eric Copeland</v>
      </c>
      <c r="F305" s="16" t="str">
        <f t="shared" si="18"/>
        <v>(202) 503-4214</v>
      </c>
      <c r="G305" s="15" t="s">
        <v>2835</v>
      </c>
      <c r="H305" s="40" t="s">
        <v>66</v>
      </c>
      <c r="I305" s="50" t="s">
        <v>2845</v>
      </c>
      <c r="J305" s="50" t="s">
        <v>2846</v>
      </c>
      <c r="K305" s="50" t="s">
        <v>543</v>
      </c>
      <c r="L305" s="50" t="s">
        <v>1875</v>
      </c>
      <c r="M305" s="50" t="s">
        <v>39</v>
      </c>
      <c r="N305" s="52" t="s">
        <v>1061</v>
      </c>
      <c r="O305" s="52" t="s">
        <v>1873</v>
      </c>
      <c r="P305" s="52" t="s">
        <v>2847</v>
      </c>
      <c r="Q305" s="52">
        <v>104.0</v>
      </c>
      <c r="R305" s="52">
        <v>20003.0</v>
      </c>
      <c r="S305" s="52" t="s">
        <v>44</v>
      </c>
      <c r="T305" s="52" t="s">
        <v>1875</v>
      </c>
      <c r="U305" s="52">
        <v>1.0</v>
      </c>
      <c r="V305" s="52">
        <v>0.0</v>
      </c>
      <c r="W305" s="52">
        <v>1.0</v>
      </c>
      <c r="X305" s="52" t="s">
        <v>2641</v>
      </c>
      <c r="Y305" s="53" t="s">
        <v>47</v>
      </c>
      <c r="Z305" s="53" t="s">
        <v>361</v>
      </c>
      <c r="AA305" s="53" t="s">
        <v>2848</v>
      </c>
      <c r="AB305" s="53" t="s">
        <v>2069</v>
      </c>
      <c r="AC305" s="53">
        <v>12.0</v>
      </c>
      <c r="AD305" s="53" t="s">
        <v>2849</v>
      </c>
      <c r="AF305" s="12"/>
      <c r="AG305" s="12"/>
      <c r="AH305" s="12"/>
      <c r="AI305" s="12"/>
      <c r="AJ305" s="12"/>
      <c r="AK305" s="12"/>
    </row>
    <row r="306">
      <c r="A306" s="54">
        <v>45729.585368252316</v>
      </c>
      <c r="B306" s="14">
        <f t="shared" si="1"/>
        <v>45729</v>
      </c>
      <c r="C306" s="15" t="s">
        <v>643</v>
      </c>
      <c r="D306" s="15" t="s">
        <v>2850</v>
      </c>
      <c r="E306" s="15" t="str">
        <f t="shared" si="19"/>
        <v>Melissa McCrea</v>
      </c>
      <c r="F306" s="16" t="str">
        <f t="shared" si="18"/>
        <v>(240) 435-9100</v>
      </c>
      <c r="G306" s="15" t="s">
        <v>2835</v>
      </c>
      <c r="H306" s="40" t="s">
        <v>66</v>
      </c>
      <c r="I306" s="50" t="s">
        <v>2845</v>
      </c>
      <c r="J306" s="50" t="s">
        <v>2851</v>
      </c>
      <c r="K306" s="50" t="s">
        <v>543</v>
      </c>
      <c r="L306" s="50" t="s">
        <v>2852</v>
      </c>
      <c r="M306" s="50" t="s">
        <v>39</v>
      </c>
      <c r="N306" s="52" t="s">
        <v>2853</v>
      </c>
      <c r="O306" s="52" t="s">
        <v>2854</v>
      </c>
      <c r="P306" s="52" t="s">
        <v>2855</v>
      </c>
      <c r="Q306" s="52">
        <v>420.0</v>
      </c>
      <c r="R306" s="52">
        <v>20003.0</v>
      </c>
      <c r="S306" s="52" t="s">
        <v>44</v>
      </c>
      <c r="T306" s="52" t="s">
        <v>2856</v>
      </c>
      <c r="U306" s="52">
        <v>1.0</v>
      </c>
      <c r="V306" s="52">
        <v>0.0</v>
      </c>
      <c r="W306" s="52">
        <v>1.0</v>
      </c>
      <c r="X306" s="52" t="s">
        <v>2641</v>
      </c>
      <c r="Y306" s="53" t="s">
        <v>47</v>
      </c>
      <c r="Z306" s="53" t="s">
        <v>2857</v>
      </c>
      <c r="AA306" s="53" t="s">
        <v>2858</v>
      </c>
      <c r="AB306" s="53" t="s">
        <v>2069</v>
      </c>
      <c r="AC306" s="53">
        <v>12.0</v>
      </c>
      <c r="AD306" s="53" t="s">
        <v>2859</v>
      </c>
      <c r="AF306" s="12"/>
      <c r="AG306" s="12"/>
      <c r="AH306" s="12"/>
      <c r="AI306" s="12"/>
      <c r="AJ306" s="12"/>
      <c r="AK306" s="12"/>
    </row>
    <row r="307">
      <c r="A307" s="54">
        <v>45729.58807625</v>
      </c>
      <c r="B307" s="14">
        <f t="shared" si="1"/>
        <v>45729</v>
      </c>
      <c r="C307" s="15" t="s">
        <v>643</v>
      </c>
      <c r="D307" s="15" t="s">
        <v>2860</v>
      </c>
      <c r="E307" s="15" t="str">
        <f t="shared" si="19"/>
        <v>Robin Collins</v>
      </c>
      <c r="F307" s="16" t="str">
        <f t="shared" si="18"/>
        <v>(202) 790-8042</v>
      </c>
      <c r="G307" s="15" t="s">
        <v>2861</v>
      </c>
      <c r="H307" s="40" t="s">
        <v>66</v>
      </c>
      <c r="I307" s="50" t="s">
        <v>2845</v>
      </c>
      <c r="J307" s="50" t="s">
        <v>2846</v>
      </c>
      <c r="K307" s="50" t="s">
        <v>543</v>
      </c>
      <c r="L307" s="50" t="s">
        <v>1875</v>
      </c>
      <c r="M307" s="50" t="s">
        <v>39</v>
      </c>
      <c r="N307" s="52" t="s">
        <v>2862</v>
      </c>
      <c r="O307" s="52" t="s">
        <v>2863</v>
      </c>
      <c r="P307" s="52" t="s">
        <v>1874</v>
      </c>
      <c r="Q307" s="52">
        <v>408.0</v>
      </c>
      <c r="R307" s="52">
        <v>20003.0</v>
      </c>
      <c r="S307" s="52" t="s">
        <v>44</v>
      </c>
      <c r="T307" s="52" t="s">
        <v>2864</v>
      </c>
      <c r="U307" s="52">
        <v>1.0</v>
      </c>
      <c r="V307" s="52">
        <v>0.0</v>
      </c>
      <c r="W307" s="52">
        <v>1.0</v>
      </c>
      <c r="X307" s="52" t="s">
        <v>2605</v>
      </c>
      <c r="Y307" s="53" t="s">
        <v>47</v>
      </c>
      <c r="Z307" s="53" t="s">
        <v>166</v>
      </c>
      <c r="AA307" s="53" t="s">
        <v>2865</v>
      </c>
      <c r="AB307" s="53" t="s">
        <v>2069</v>
      </c>
      <c r="AC307" s="53">
        <v>12.0</v>
      </c>
      <c r="AD307" s="53" t="s">
        <v>2866</v>
      </c>
      <c r="AF307" s="12"/>
      <c r="AG307" s="12"/>
      <c r="AH307" s="12"/>
      <c r="AI307" s="12"/>
      <c r="AJ307" s="12"/>
      <c r="AK307" s="12"/>
    </row>
    <row r="308">
      <c r="A308" s="54">
        <v>45729.59161122685</v>
      </c>
      <c r="B308" s="14">
        <f t="shared" si="1"/>
        <v>45729</v>
      </c>
      <c r="C308" s="15" t="s">
        <v>643</v>
      </c>
      <c r="D308" s="15" t="s">
        <v>2867</v>
      </c>
      <c r="E308" s="15" t="str">
        <f t="shared" si="19"/>
        <v>Janie  Underwood</v>
      </c>
      <c r="F308" s="16" t="str">
        <f t="shared" si="18"/>
        <v>(771) 216-6989</v>
      </c>
      <c r="G308" s="15" t="s">
        <v>2835</v>
      </c>
      <c r="H308" s="40" t="s">
        <v>66</v>
      </c>
      <c r="I308" s="50" t="s">
        <v>2845</v>
      </c>
      <c r="J308" s="50" t="s">
        <v>2868</v>
      </c>
      <c r="K308" s="50" t="s">
        <v>543</v>
      </c>
      <c r="L308" s="50" t="s">
        <v>1875</v>
      </c>
      <c r="M308" s="50" t="s">
        <v>39</v>
      </c>
      <c r="N308" s="52" t="s">
        <v>2869</v>
      </c>
      <c r="O308" s="52" t="s">
        <v>2870</v>
      </c>
      <c r="P308" s="52" t="s">
        <v>1874</v>
      </c>
      <c r="Q308" s="52">
        <v>323.0</v>
      </c>
      <c r="R308" s="52">
        <v>20003.0</v>
      </c>
      <c r="S308" s="52" t="s">
        <v>44</v>
      </c>
      <c r="T308" s="52" t="s">
        <v>2871</v>
      </c>
      <c r="U308" s="52">
        <v>1.0</v>
      </c>
      <c r="V308" s="52">
        <v>0.0</v>
      </c>
      <c r="W308" s="52">
        <v>1.0</v>
      </c>
      <c r="X308" s="52" t="s">
        <v>2605</v>
      </c>
      <c r="Y308" s="53" t="s">
        <v>47</v>
      </c>
      <c r="Z308" s="53" t="s">
        <v>361</v>
      </c>
      <c r="AA308" s="53" t="s">
        <v>2872</v>
      </c>
      <c r="AB308" s="53" t="s">
        <v>2069</v>
      </c>
      <c r="AC308" s="53">
        <v>12.0</v>
      </c>
      <c r="AD308" s="53" t="s">
        <v>2873</v>
      </c>
      <c r="AF308" s="12"/>
      <c r="AG308" s="12"/>
      <c r="AH308" s="12"/>
      <c r="AI308" s="12"/>
      <c r="AJ308" s="12"/>
      <c r="AK308" s="12"/>
    </row>
    <row r="309">
      <c r="A309" s="54">
        <v>45729.6181334838</v>
      </c>
      <c r="B309" s="14">
        <f t="shared" si="1"/>
        <v>45729</v>
      </c>
      <c r="C309" s="15" t="s">
        <v>643</v>
      </c>
      <c r="D309" s="15" t="s">
        <v>2874</v>
      </c>
      <c r="E309" s="15" t="str">
        <f t="shared" si="19"/>
        <v>Terry Kellem</v>
      </c>
      <c r="F309" s="16" t="str">
        <f t="shared" si="18"/>
        <v>(202) 580-3831</v>
      </c>
      <c r="G309" s="15" t="s">
        <v>2861</v>
      </c>
      <c r="H309" s="40" t="s">
        <v>66</v>
      </c>
      <c r="I309" s="50" t="s">
        <v>2845</v>
      </c>
      <c r="J309" s="50" t="s">
        <v>2846</v>
      </c>
      <c r="K309" s="50" t="s">
        <v>543</v>
      </c>
      <c r="L309" s="50" t="s">
        <v>1875</v>
      </c>
      <c r="M309" s="50" t="s">
        <v>39</v>
      </c>
      <c r="N309" s="52" t="s">
        <v>2875</v>
      </c>
      <c r="O309" s="52" t="s">
        <v>2876</v>
      </c>
      <c r="P309" s="52" t="s">
        <v>2855</v>
      </c>
      <c r="Q309" s="52">
        <v>428.0</v>
      </c>
      <c r="R309" s="52">
        <v>20003.0</v>
      </c>
      <c r="S309" s="52" t="s">
        <v>44</v>
      </c>
      <c r="T309" s="52" t="s">
        <v>2877</v>
      </c>
      <c r="U309" s="52">
        <v>1.0</v>
      </c>
      <c r="V309" s="52">
        <v>0.0</v>
      </c>
      <c r="W309" s="52">
        <v>1.0</v>
      </c>
      <c r="X309" s="52" t="s">
        <v>2641</v>
      </c>
      <c r="Y309" s="53" t="s">
        <v>47</v>
      </c>
      <c r="Z309" s="53" t="s">
        <v>236</v>
      </c>
      <c r="AA309" s="53" t="s">
        <v>2878</v>
      </c>
      <c r="AB309" s="53" t="s">
        <v>2069</v>
      </c>
      <c r="AC309" s="53">
        <v>12.0</v>
      </c>
      <c r="AD309" s="53" t="s">
        <v>2879</v>
      </c>
      <c r="AF309" s="12"/>
      <c r="AG309" s="12"/>
      <c r="AH309" s="12"/>
      <c r="AI309" s="12"/>
      <c r="AJ309" s="12"/>
      <c r="AK309" s="12"/>
    </row>
    <row r="310">
      <c r="A310" s="54">
        <v>45730.51172759259</v>
      </c>
      <c r="B310" s="14">
        <f t="shared" si="1"/>
        <v>45730</v>
      </c>
      <c r="C310" s="15" t="s">
        <v>2880</v>
      </c>
      <c r="D310" s="15" t="s">
        <v>2881</v>
      </c>
      <c r="E310" s="15" t="str">
        <f t="shared" si="19"/>
        <v>Ronald Johnson</v>
      </c>
      <c r="F310" s="16" t="str">
        <f t="shared" si="18"/>
        <v>(202) 779-2018</v>
      </c>
      <c r="G310" s="15" t="s">
        <v>2882</v>
      </c>
      <c r="H310" s="40" t="s">
        <v>34</v>
      </c>
      <c r="I310" s="50" t="s">
        <v>2883</v>
      </c>
      <c r="J310" s="50" t="s">
        <v>2884</v>
      </c>
      <c r="K310" s="50" t="s">
        <v>2316</v>
      </c>
      <c r="L310" s="50" t="s">
        <v>2885</v>
      </c>
      <c r="M310" s="50" t="s">
        <v>39</v>
      </c>
      <c r="N310" s="52" t="s">
        <v>937</v>
      </c>
      <c r="O310" s="52" t="s">
        <v>388</v>
      </c>
      <c r="P310" s="52" t="s">
        <v>2886</v>
      </c>
      <c r="Q310" s="52">
        <v>27.0</v>
      </c>
      <c r="R310" s="52">
        <v>20018.0</v>
      </c>
      <c r="S310" s="52" t="s">
        <v>74</v>
      </c>
      <c r="T310" s="52" t="s">
        <v>2887</v>
      </c>
      <c r="U310" s="52">
        <v>1.0</v>
      </c>
      <c r="V310" s="52">
        <v>0.0</v>
      </c>
      <c r="W310" s="52">
        <v>1.0</v>
      </c>
      <c r="X310" s="52" t="s">
        <v>2605</v>
      </c>
      <c r="Y310" s="53" t="s">
        <v>47</v>
      </c>
      <c r="Z310" s="53" t="s">
        <v>61</v>
      </c>
      <c r="AA310" s="53" t="s">
        <v>2888</v>
      </c>
      <c r="AB310" s="53" t="s">
        <v>2059</v>
      </c>
      <c r="AC310" s="53">
        <v>12.0</v>
      </c>
      <c r="AD310" s="53" t="s">
        <v>2889</v>
      </c>
      <c r="AF310" s="12"/>
      <c r="AG310" s="12"/>
      <c r="AH310" s="12"/>
      <c r="AI310" s="12"/>
      <c r="AJ310" s="12"/>
      <c r="AK310" s="12"/>
    </row>
    <row r="311">
      <c r="A311" s="54">
        <v>45730.51803923611</v>
      </c>
      <c r="B311" s="14">
        <f t="shared" si="1"/>
        <v>45730</v>
      </c>
      <c r="C311" s="15" t="s">
        <v>282</v>
      </c>
      <c r="D311" s="15" t="s">
        <v>2890</v>
      </c>
      <c r="E311" s="58" t="str">
        <f t="shared" si="19"/>
        <v>Annette Turner</v>
      </c>
      <c r="F311" s="16" t="str">
        <f t="shared" si="18"/>
        <v>(202) 588-8970</v>
      </c>
      <c r="G311" s="15" t="s">
        <v>2891</v>
      </c>
      <c r="H311" s="40" t="s">
        <v>103</v>
      </c>
      <c r="I311" s="50" t="s">
        <v>2892</v>
      </c>
      <c r="J311" s="50" t="s">
        <v>2893</v>
      </c>
      <c r="K311" s="50" t="s">
        <v>311</v>
      </c>
      <c r="L311" s="50" t="s">
        <v>2894</v>
      </c>
      <c r="M311" s="50" t="s">
        <v>39</v>
      </c>
      <c r="N311" s="52" t="s">
        <v>609</v>
      </c>
      <c r="O311" s="52" t="s">
        <v>246</v>
      </c>
      <c r="P311" s="52" t="s">
        <v>2895</v>
      </c>
      <c r="Q311" s="52">
        <v>316.0</v>
      </c>
      <c r="R311" s="52">
        <v>20001.0</v>
      </c>
      <c r="S311" s="52" t="s">
        <v>59</v>
      </c>
      <c r="T311" s="52" t="s">
        <v>2896</v>
      </c>
      <c r="U311" s="52">
        <v>1.0</v>
      </c>
      <c r="V311" s="52">
        <v>0.0</v>
      </c>
      <c r="W311" s="52">
        <v>1.0</v>
      </c>
      <c r="X311" s="52" t="s">
        <v>2605</v>
      </c>
      <c r="Y311" s="53" t="s">
        <v>47</v>
      </c>
      <c r="Z311" s="53" t="s">
        <v>61</v>
      </c>
      <c r="AA311" s="53" t="s">
        <v>2897</v>
      </c>
      <c r="AB311" s="53" t="s">
        <v>2059</v>
      </c>
      <c r="AC311" s="53">
        <v>12.0</v>
      </c>
      <c r="AD311" s="53" t="s">
        <v>2898</v>
      </c>
      <c r="AF311" s="12"/>
      <c r="AG311" s="12"/>
      <c r="AH311" s="12"/>
      <c r="AI311" s="12"/>
      <c r="AJ311" s="12"/>
      <c r="AK311" s="12"/>
    </row>
    <row r="312">
      <c r="A312" s="54">
        <v>45734.53613769676</v>
      </c>
      <c r="B312" s="14">
        <f t="shared" si="1"/>
        <v>45734</v>
      </c>
      <c r="C312" s="15" t="s">
        <v>643</v>
      </c>
      <c r="D312" s="15" t="s">
        <v>2899</v>
      </c>
      <c r="E312" s="15" t="str">
        <f t="shared" si="19"/>
        <v>Veronica Ambrose</v>
      </c>
      <c r="F312" s="16" t="str">
        <f t="shared" si="18"/>
        <v>(202) 744-4073</v>
      </c>
      <c r="G312" s="15" t="s">
        <v>2900</v>
      </c>
      <c r="H312" s="40" t="s">
        <v>66</v>
      </c>
      <c r="I312" s="50" t="s">
        <v>2538</v>
      </c>
      <c r="J312" s="50" t="s">
        <v>2539</v>
      </c>
      <c r="K312" s="50" t="s">
        <v>2646</v>
      </c>
      <c r="L312" s="50" t="s">
        <v>2540</v>
      </c>
      <c r="M312" s="50" t="s">
        <v>39</v>
      </c>
      <c r="N312" s="52" t="s">
        <v>2901</v>
      </c>
      <c r="O312" s="52" t="s">
        <v>723</v>
      </c>
      <c r="P312" s="52" t="s">
        <v>2902</v>
      </c>
      <c r="Q312" s="59"/>
      <c r="R312" s="52">
        <v>20020.0</v>
      </c>
      <c r="S312" s="52" t="s">
        <v>44</v>
      </c>
      <c r="T312" s="52" t="s">
        <v>2903</v>
      </c>
      <c r="U312" s="52">
        <v>2.0</v>
      </c>
      <c r="V312" s="52">
        <v>2.0</v>
      </c>
      <c r="W312" s="52">
        <v>4.0</v>
      </c>
      <c r="X312" s="52" t="s">
        <v>2605</v>
      </c>
      <c r="Y312" s="53" t="s">
        <v>47</v>
      </c>
      <c r="Z312" s="53" t="s">
        <v>61</v>
      </c>
      <c r="AA312" s="53" t="s">
        <v>2904</v>
      </c>
      <c r="AB312" s="53" t="s">
        <v>2069</v>
      </c>
      <c r="AC312" s="53">
        <v>3.0</v>
      </c>
      <c r="AD312" s="53" t="s">
        <v>2905</v>
      </c>
      <c r="AF312" s="12"/>
      <c r="AG312" s="12"/>
      <c r="AH312" s="12"/>
      <c r="AI312" s="12"/>
      <c r="AJ312" s="12"/>
      <c r="AK312" s="12"/>
    </row>
    <row r="313">
      <c r="A313" s="54">
        <v>45736.41160555556</v>
      </c>
      <c r="B313" s="14">
        <f t="shared" si="1"/>
        <v>45736</v>
      </c>
      <c r="C313" s="15" t="s">
        <v>643</v>
      </c>
      <c r="D313" s="15" t="s">
        <v>2906</v>
      </c>
      <c r="E313" s="15" t="str">
        <f t="shared" si="19"/>
        <v>Barbara Mclamore</v>
      </c>
      <c r="F313" s="16" t="str">
        <f t="shared" si="18"/>
        <v>(202) 317-0970</v>
      </c>
      <c r="G313" s="15" t="s">
        <v>2900</v>
      </c>
      <c r="H313" s="40" t="s">
        <v>66</v>
      </c>
      <c r="I313" s="50" t="s">
        <v>2907</v>
      </c>
      <c r="J313" s="50" t="s">
        <v>2908</v>
      </c>
      <c r="K313" s="50" t="s">
        <v>311</v>
      </c>
      <c r="L313" s="50" t="s">
        <v>2909</v>
      </c>
      <c r="M313" s="50" t="s">
        <v>39</v>
      </c>
      <c r="N313" s="52" t="s">
        <v>1638</v>
      </c>
      <c r="O313" s="52" t="s">
        <v>2910</v>
      </c>
      <c r="P313" s="52" t="s">
        <v>2911</v>
      </c>
      <c r="Q313" s="52" t="s">
        <v>569</v>
      </c>
      <c r="R313" s="52">
        <v>20020.0</v>
      </c>
      <c r="S313" s="52" t="s">
        <v>44</v>
      </c>
      <c r="T313" s="52" t="s">
        <v>2912</v>
      </c>
      <c r="U313" s="52">
        <v>1.0</v>
      </c>
      <c r="V313" s="52">
        <v>0.0</v>
      </c>
      <c r="W313" s="52">
        <v>1.0</v>
      </c>
      <c r="X313" s="52" t="s">
        <v>2261</v>
      </c>
      <c r="Y313" s="52" t="s">
        <v>47</v>
      </c>
      <c r="Z313" s="53" t="s">
        <v>48</v>
      </c>
      <c r="AA313" s="53" t="s">
        <v>2913</v>
      </c>
      <c r="AB313" s="52" t="s">
        <v>2059</v>
      </c>
      <c r="AC313" s="52">
        <v>12.0</v>
      </c>
      <c r="AD313" s="53" t="s">
        <v>2914</v>
      </c>
      <c r="AF313" s="12"/>
      <c r="AG313" s="12"/>
      <c r="AH313" s="12"/>
      <c r="AI313" s="12"/>
      <c r="AJ313" s="12"/>
      <c r="AK313" s="12"/>
    </row>
    <row r="314">
      <c r="A314" s="64">
        <v>45741.75389162037</v>
      </c>
      <c r="B314" s="14">
        <f t="shared" si="1"/>
        <v>45741</v>
      </c>
      <c r="C314" s="15" t="s">
        <v>327</v>
      </c>
      <c r="D314" s="15" t="s">
        <v>2915</v>
      </c>
      <c r="E314" s="15" t="str">
        <f t="shared" si="19"/>
        <v>Rosalind Ellington</v>
      </c>
      <c r="F314" s="16" t="str">
        <f t="shared" si="18"/>
        <v>(240) 815-2781</v>
      </c>
      <c r="G314" s="15" t="s">
        <v>2916</v>
      </c>
      <c r="H314" s="15" t="s">
        <v>66</v>
      </c>
      <c r="I314" s="17" t="s">
        <v>2917</v>
      </c>
      <c r="J314" s="18" t="s">
        <v>2918</v>
      </c>
      <c r="K314" s="17" t="s">
        <v>2919</v>
      </c>
      <c r="L314" s="17" t="s">
        <v>2920</v>
      </c>
      <c r="M314" s="20" t="s">
        <v>39</v>
      </c>
      <c r="N314" s="21" t="s">
        <v>2921</v>
      </c>
      <c r="O314" s="21" t="s">
        <v>2922</v>
      </c>
      <c r="P314" s="21" t="s">
        <v>2923</v>
      </c>
      <c r="Q314" s="21">
        <v>605.0</v>
      </c>
      <c r="R314" s="21">
        <v>20001.0</v>
      </c>
      <c r="S314" s="21" t="s">
        <v>59</v>
      </c>
      <c r="T314" s="21" t="s">
        <v>2924</v>
      </c>
      <c r="U314" s="21">
        <v>1.0</v>
      </c>
      <c r="V314" s="21">
        <v>0.0</v>
      </c>
      <c r="W314" s="21">
        <f>U314+V314</f>
        <v>1</v>
      </c>
      <c r="X314" s="21" t="s">
        <v>2641</v>
      </c>
      <c r="Y314" s="21" t="s">
        <v>47</v>
      </c>
      <c r="Z314" s="22" t="s">
        <v>61</v>
      </c>
      <c r="AA314" s="22" t="s">
        <v>2925</v>
      </c>
      <c r="AB314" s="21" t="s">
        <v>2069</v>
      </c>
      <c r="AC314" s="21">
        <v>12.0</v>
      </c>
      <c r="AD314" s="22" t="s">
        <v>2926</v>
      </c>
      <c r="AE314" s="25"/>
      <c r="AF314" s="12"/>
      <c r="AG314" s="12"/>
      <c r="AH314" s="12"/>
      <c r="AI314" s="12"/>
      <c r="AJ314" s="12"/>
      <c r="AK314" s="12"/>
    </row>
    <row r="315">
      <c r="A315" s="54">
        <v>45742.696858958334</v>
      </c>
      <c r="B315" s="14">
        <f t="shared" si="1"/>
        <v>45742</v>
      </c>
      <c r="C315" s="15" t="s">
        <v>2880</v>
      </c>
      <c r="D315" s="15" t="s">
        <v>2927</v>
      </c>
      <c r="E315" s="15" t="str">
        <f t="shared" si="19"/>
        <v>Shaquanna Randolph</v>
      </c>
      <c r="F315" s="16" t="str">
        <f t="shared" si="18"/>
        <v>(202) 900-5738</v>
      </c>
      <c r="G315" s="15" t="s">
        <v>2928</v>
      </c>
      <c r="H315" s="40" t="s">
        <v>66</v>
      </c>
      <c r="I315" s="50" t="s">
        <v>2929</v>
      </c>
      <c r="J315" s="50" t="s">
        <v>2930</v>
      </c>
      <c r="K315" s="50" t="s">
        <v>2931</v>
      </c>
      <c r="L315" s="50" t="s">
        <v>2932</v>
      </c>
      <c r="M315" s="50" t="s">
        <v>39</v>
      </c>
      <c r="N315" s="52" t="s">
        <v>2933</v>
      </c>
      <c r="O315" s="52" t="s">
        <v>2934</v>
      </c>
      <c r="P315" s="52" t="s">
        <v>2935</v>
      </c>
      <c r="Q315" s="52" t="s">
        <v>2147</v>
      </c>
      <c r="R315" s="52">
        <v>20032.0</v>
      </c>
      <c r="S315" s="52" t="s">
        <v>44</v>
      </c>
      <c r="T315" s="52" t="s">
        <v>2936</v>
      </c>
      <c r="U315" s="52">
        <v>2.0</v>
      </c>
      <c r="V315" s="52">
        <v>0.0</v>
      </c>
      <c r="W315" s="52">
        <v>2.0</v>
      </c>
      <c r="X315" s="52" t="s">
        <v>2632</v>
      </c>
      <c r="Y315" s="52" t="s">
        <v>47</v>
      </c>
      <c r="Z315" s="53" t="s">
        <v>236</v>
      </c>
      <c r="AA315" s="53" t="s">
        <v>2937</v>
      </c>
      <c r="AB315" s="52" t="s">
        <v>2069</v>
      </c>
      <c r="AC315" s="52">
        <v>12.0</v>
      </c>
      <c r="AD315" s="53" t="s">
        <v>2938</v>
      </c>
      <c r="AF315" s="12"/>
      <c r="AG315" s="12"/>
      <c r="AH315" s="12"/>
      <c r="AI315" s="12"/>
      <c r="AJ315" s="12"/>
      <c r="AK315" s="12"/>
    </row>
    <row r="316">
      <c r="A316" s="54">
        <v>45742.702756053244</v>
      </c>
      <c r="B316" s="14">
        <f t="shared" si="1"/>
        <v>45742</v>
      </c>
      <c r="C316" s="15" t="s">
        <v>643</v>
      </c>
      <c r="D316" s="15" t="s">
        <v>2939</v>
      </c>
      <c r="E316" s="15" t="str">
        <f t="shared" si="19"/>
        <v>Sarah Venable</v>
      </c>
      <c r="F316" s="16" t="str">
        <f t="shared" si="18"/>
        <v>(240) 392-9281</v>
      </c>
      <c r="G316" s="15" t="s">
        <v>2940</v>
      </c>
      <c r="H316" s="40" t="s">
        <v>66</v>
      </c>
      <c r="I316" s="50" t="s">
        <v>2929</v>
      </c>
      <c r="J316" s="50" t="s">
        <v>2930</v>
      </c>
      <c r="K316" s="50" t="s">
        <v>2931</v>
      </c>
      <c r="L316" s="50" t="s">
        <v>2932</v>
      </c>
      <c r="M316" s="50" t="s">
        <v>39</v>
      </c>
      <c r="N316" s="52" t="s">
        <v>2941</v>
      </c>
      <c r="O316" s="52" t="s">
        <v>2942</v>
      </c>
      <c r="P316" s="52" t="s">
        <v>2943</v>
      </c>
      <c r="Q316" s="52">
        <v>301.0</v>
      </c>
      <c r="R316" s="52">
        <v>20002.0</v>
      </c>
      <c r="S316" s="52" t="s">
        <v>74</v>
      </c>
      <c r="T316" s="52" t="s">
        <v>2944</v>
      </c>
      <c r="U316" s="52">
        <v>1.0</v>
      </c>
      <c r="V316" s="52">
        <v>1.0</v>
      </c>
      <c r="W316" s="52">
        <v>2.0</v>
      </c>
      <c r="X316" s="52" t="s">
        <v>2566</v>
      </c>
      <c r="Y316" s="52" t="s">
        <v>85</v>
      </c>
      <c r="Z316" s="53" t="s">
        <v>166</v>
      </c>
      <c r="AA316" s="53" t="s">
        <v>2945</v>
      </c>
      <c r="AB316" s="52" t="s">
        <v>2059</v>
      </c>
      <c r="AC316" s="52">
        <v>24.0</v>
      </c>
      <c r="AD316" s="53" t="s">
        <v>2946</v>
      </c>
      <c r="AF316" s="12"/>
      <c r="AG316" s="12"/>
      <c r="AH316" s="12"/>
      <c r="AI316" s="12"/>
      <c r="AJ316" s="12"/>
      <c r="AK316" s="12"/>
    </row>
    <row r="317">
      <c r="A317" s="54">
        <v>45743.445693773145</v>
      </c>
      <c r="B317" s="14">
        <f t="shared" si="1"/>
        <v>45743</v>
      </c>
      <c r="C317" s="15" t="s">
        <v>643</v>
      </c>
      <c r="D317" s="15" t="s">
        <v>2947</v>
      </c>
      <c r="E317" s="15" t="str">
        <f t="shared" si="19"/>
        <v>Megan Bandy</v>
      </c>
      <c r="F317" s="16" t="str">
        <f t="shared" si="18"/>
        <v>(479) 353-4134</v>
      </c>
      <c r="G317" s="15" t="s">
        <v>2940</v>
      </c>
      <c r="H317" s="40" t="s">
        <v>66</v>
      </c>
      <c r="I317" s="50" t="s">
        <v>2948</v>
      </c>
      <c r="J317" s="50" t="s">
        <v>2949</v>
      </c>
      <c r="K317" s="50" t="s">
        <v>2950</v>
      </c>
      <c r="L317" s="50" t="s">
        <v>2951</v>
      </c>
      <c r="M317" s="50" t="s">
        <v>39</v>
      </c>
      <c r="N317" s="52" t="s">
        <v>2952</v>
      </c>
      <c r="O317" s="52" t="s">
        <v>2953</v>
      </c>
      <c r="P317" s="52" t="s">
        <v>2954</v>
      </c>
      <c r="Q317" s="52">
        <v>4.0</v>
      </c>
      <c r="R317" s="52">
        <v>20009.0</v>
      </c>
      <c r="S317" s="52" t="s">
        <v>59</v>
      </c>
      <c r="T317" s="52" t="s">
        <v>2955</v>
      </c>
      <c r="U317" s="52">
        <v>2.0</v>
      </c>
      <c r="V317" s="52">
        <v>1.0</v>
      </c>
      <c r="W317" s="52">
        <v>3.0</v>
      </c>
      <c r="X317" s="52" t="s">
        <v>2566</v>
      </c>
      <c r="Y317" s="52" t="s">
        <v>85</v>
      </c>
      <c r="Z317" s="53" t="s">
        <v>48</v>
      </c>
      <c r="AA317" s="53" t="s">
        <v>2956</v>
      </c>
      <c r="AB317" s="52" t="s">
        <v>2069</v>
      </c>
      <c r="AC317" s="52">
        <v>12.0</v>
      </c>
      <c r="AD317" s="53" t="s">
        <v>2957</v>
      </c>
      <c r="AF317" s="12"/>
      <c r="AG317" s="12"/>
      <c r="AH317" s="12"/>
      <c r="AI317" s="12"/>
      <c r="AJ317" s="12"/>
      <c r="AK317" s="12"/>
    </row>
    <row r="318">
      <c r="A318" s="54">
        <v>45744.41093017361</v>
      </c>
      <c r="B318" s="14">
        <f t="shared" si="1"/>
        <v>45744</v>
      </c>
      <c r="C318" s="15" t="s">
        <v>643</v>
      </c>
      <c r="D318" s="15" t="s">
        <v>2958</v>
      </c>
      <c r="E318" s="15" t="str">
        <f t="shared" si="19"/>
        <v>Lataka Bell</v>
      </c>
      <c r="F318" s="16" t="str">
        <f t="shared" si="18"/>
        <v>(571) 418-1993</v>
      </c>
      <c r="G318" s="15" t="s">
        <v>2959</v>
      </c>
      <c r="H318" s="40" t="s">
        <v>103</v>
      </c>
      <c r="I318" s="50" t="s">
        <v>2960</v>
      </c>
      <c r="J318" s="50" t="s">
        <v>2961</v>
      </c>
      <c r="K318" s="50" t="s">
        <v>2962</v>
      </c>
      <c r="L318" s="50" t="s">
        <v>2963</v>
      </c>
      <c r="M318" s="50" t="s">
        <v>39</v>
      </c>
      <c r="N318" s="52" t="s">
        <v>2964</v>
      </c>
      <c r="O318" s="52" t="s">
        <v>2965</v>
      </c>
      <c r="P318" s="52" t="s">
        <v>2966</v>
      </c>
      <c r="Q318" s="52">
        <v>407.0</v>
      </c>
      <c r="R318" s="52">
        <v>20010.0</v>
      </c>
      <c r="S318" s="52" t="s">
        <v>59</v>
      </c>
      <c r="T318" s="52" t="s">
        <v>2967</v>
      </c>
      <c r="U318" s="52">
        <v>1.0</v>
      </c>
      <c r="V318" s="52">
        <v>0.0</v>
      </c>
      <c r="W318" s="52">
        <v>1.0</v>
      </c>
      <c r="X318" s="52" t="s">
        <v>2632</v>
      </c>
      <c r="Y318" s="52" t="s">
        <v>47</v>
      </c>
      <c r="Z318" s="53" t="s">
        <v>236</v>
      </c>
      <c r="AA318" s="53" t="s">
        <v>2968</v>
      </c>
      <c r="AB318" s="52" t="s">
        <v>2069</v>
      </c>
      <c r="AC318" s="52">
        <v>8.0</v>
      </c>
      <c r="AD318" s="53" t="s">
        <v>2969</v>
      </c>
    </row>
    <row r="319">
      <c r="A319" s="54">
        <v>45744.61712947917</v>
      </c>
      <c r="B319" s="14">
        <f t="shared" si="1"/>
        <v>45744</v>
      </c>
      <c r="C319" s="15" t="s">
        <v>2880</v>
      </c>
      <c r="D319" s="15" t="s">
        <v>2970</v>
      </c>
      <c r="E319" s="15" t="str">
        <f t="shared" si="19"/>
        <v>Lenwood Johnson</v>
      </c>
      <c r="F319" s="16" t="str">
        <f t="shared" si="18"/>
        <v>(202) 997-8891</v>
      </c>
      <c r="G319" s="15" t="s">
        <v>2971</v>
      </c>
      <c r="H319" s="40" t="s">
        <v>66</v>
      </c>
      <c r="I319" s="50" t="s">
        <v>2972</v>
      </c>
      <c r="J319" s="50" t="s">
        <v>2973</v>
      </c>
      <c r="K319" s="50" t="s">
        <v>2974</v>
      </c>
      <c r="L319" s="50" t="s">
        <v>2975</v>
      </c>
      <c r="M319" s="50" t="s">
        <v>39</v>
      </c>
      <c r="N319" s="52" t="s">
        <v>2976</v>
      </c>
      <c r="O319" s="52" t="s">
        <v>388</v>
      </c>
      <c r="P319" s="52" t="s">
        <v>2977</v>
      </c>
      <c r="Q319" s="52">
        <v>301.0</v>
      </c>
      <c r="R319" s="52">
        <v>20032.0</v>
      </c>
      <c r="S319" s="52" t="s">
        <v>44</v>
      </c>
      <c r="T319" s="52" t="s">
        <v>2978</v>
      </c>
      <c r="U319" s="52">
        <v>1.0</v>
      </c>
      <c r="V319" s="52">
        <v>0.0</v>
      </c>
      <c r="W319" s="52">
        <v>1.0</v>
      </c>
      <c r="X319" s="52" t="s">
        <v>2605</v>
      </c>
      <c r="Y319" s="52" t="s">
        <v>47</v>
      </c>
      <c r="Z319" s="53" t="s">
        <v>48</v>
      </c>
      <c r="AA319" s="53" t="s">
        <v>2979</v>
      </c>
      <c r="AB319" s="52" t="s">
        <v>2059</v>
      </c>
      <c r="AC319" s="52">
        <v>6.0</v>
      </c>
      <c r="AD319" s="53" t="s">
        <v>2980</v>
      </c>
      <c r="AF319" s="12"/>
      <c r="AG319" s="12"/>
      <c r="AH319" s="12"/>
      <c r="AI319" s="12"/>
      <c r="AJ319" s="12"/>
      <c r="AK319" s="12"/>
    </row>
    <row r="320">
      <c r="A320" s="54">
        <v>45744.62655381944</v>
      </c>
      <c r="B320" s="14">
        <f t="shared" si="1"/>
        <v>45744</v>
      </c>
      <c r="C320" s="15" t="s">
        <v>2981</v>
      </c>
      <c r="D320" s="15" t="s">
        <v>2982</v>
      </c>
      <c r="E320" s="15" t="str">
        <f t="shared" si="19"/>
        <v>Vernon Smith</v>
      </c>
      <c r="F320" s="16" t="str">
        <f t="shared" si="18"/>
        <v>(704) 756-3675</v>
      </c>
      <c r="G320" s="15" t="s">
        <v>2983</v>
      </c>
      <c r="H320" s="40" t="s">
        <v>66</v>
      </c>
      <c r="I320" s="50" t="s">
        <v>2972</v>
      </c>
      <c r="J320" s="50" t="s">
        <v>2973</v>
      </c>
      <c r="K320" s="50" t="s">
        <v>2974</v>
      </c>
      <c r="L320" s="50" t="s">
        <v>2975</v>
      </c>
      <c r="M320" s="50" t="s">
        <v>39</v>
      </c>
      <c r="N320" s="52" t="s">
        <v>2984</v>
      </c>
      <c r="O320" s="52" t="s">
        <v>1062</v>
      </c>
      <c r="P320" s="52" t="s">
        <v>2985</v>
      </c>
      <c r="Q320" s="52">
        <v>509.0</v>
      </c>
      <c r="R320" s="52">
        <v>20002.0</v>
      </c>
      <c r="S320" s="52" t="s">
        <v>74</v>
      </c>
      <c r="T320" s="52" t="s">
        <v>2986</v>
      </c>
      <c r="U320" s="52">
        <v>1.0</v>
      </c>
      <c r="V320" s="52">
        <v>0.0</v>
      </c>
      <c r="W320" s="52">
        <v>1.0</v>
      </c>
      <c r="X320" s="52" t="s">
        <v>2632</v>
      </c>
      <c r="Y320" s="52" t="s">
        <v>47</v>
      </c>
      <c r="Z320" s="53" t="s">
        <v>2987</v>
      </c>
      <c r="AA320" s="53" t="s">
        <v>2988</v>
      </c>
      <c r="AB320" s="52" t="s">
        <v>2059</v>
      </c>
      <c r="AC320" s="52">
        <v>12.0</v>
      </c>
      <c r="AD320" s="53" t="s">
        <v>2989</v>
      </c>
      <c r="AE320" s="61" t="s">
        <v>2161</v>
      </c>
      <c r="AF320" s="12"/>
      <c r="AG320" s="12"/>
      <c r="AH320" s="12"/>
      <c r="AI320" s="12"/>
      <c r="AJ320" s="12"/>
      <c r="AK320" s="12"/>
    </row>
    <row r="321">
      <c r="A321" s="54">
        <v>45747.52469731482</v>
      </c>
      <c r="B321" s="14">
        <f t="shared" si="1"/>
        <v>45747</v>
      </c>
      <c r="C321" s="15" t="s">
        <v>643</v>
      </c>
      <c r="D321" s="15" t="s">
        <v>2990</v>
      </c>
      <c r="E321" s="15" t="str">
        <f t="shared" si="19"/>
        <v>Deon Mack</v>
      </c>
      <c r="F321" s="16" t="str">
        <f t="shared" si="18"/>
        <v>(301) 875-1835</v>
      </c>
      <c r="G321" s="15" t="s">
        <v>2991</v>
      </c>
      <c r="H321" s="40" t="s">
        <v>66</v>
      </c>
      <c r="I321" s="50" t="s">
        <v>2386</v>
      </c>
      <c r="J321" s="50" t="s">
        <v>2387</v>
      </c>
      <c r="K321" s="50" t="s">
        <v>2992</v>
      </c>
      <c r="L321" s="50" t="s">
        <v>2838</v>
      </c>
      <c r="M321" s="50" t="s">
        <v>39</v>
      </c>
      <c r="N321" s="52" t="s">
        <v>2993</v>
      </c>
      <c r="O321" s="52" t="s">
        <v>2994</v>
      </c>
      <c r="P321" s="52" t="s">
        <v>2995</v>
      </c>
      <c r="Q321" s="52">
        <v>311.0</v>
      </c>
      <c r="R321" s="52">
        <v>20010.0</v>
      </c>
      <c r="S321" s="52" t="s">
        <v>59</v>
      </c>
      <c r="T321" s="52" t="s">
        <v>2996</v>
      </c>
      <c r="U321" s="52">
        <v>1.0</v>
      </c>
      <c r="V321" s="52">
        <v>0.0</v>
      </c>
      <c r="W321" s="52">
        <v>1.0</v>
      </c>
      <c r="X321" s="52" t="s">
        <v>2566</v>
      </c>
      <c r="Y321" s="52" t="s">
        <v>47</v>
      </c>
      <c r="Z321" s="53" t="s">
        <v>2997</v>
      </c>
      <c r="AA321" s="53" t="s">
        <v>2998</v>
      </c>
      <c r="AB321" s="52" t="s">
        <v>2751</v>
      </c>
      <c r="AC321" s="52">
        <v>6.0</v>
      </c>
      <c r="AD321" s="53" t="s">
        <v>2999</v>
      </c>
      <c r="AE321" s="61" t="s">
        <v>3000</v>
      </c>
      <c r="AF321" s="12"/>
      <c r="AG321" s="12"/>
      <c r="AH321" s="12"/>
      <c r="AI321" s="12"/>
      <c r="AJ321" s="12"/>
      <c r="AK321" s="12"/>
    </row>
    <row r="322">
      <c r="A322" s="54">
        <v>45747.56190366898</v>
      </c>
      <c r="B322" s="14">
        <f t="shared" si="1"/>
        <v>45747</v>
      </c>
      <c r="C322" s="15" t="s">
        <v>31</v>
      </c>
      <c r="D322" s="15" t="s">
        <v>1268</v>
      </c>
      <c r="E322" s="15" t="str">
        <f>N322&amp;" Fogle"</f>
        <v>Jooleta Fogle</v>
      </c>
      <c r="F322" s="16" t="str">
        <f t="shared" si="18"/>
        <v>(202) 749-1331</v>
      </c>
      <c r="G322" s="15" t="s">
        <v>3001</v>
      </c>
      <c r="H322" s="40" t="s">
        <v>66</v>
      </c>
      <c r="I322" s="50" t="s">
        <v>3002</v>
      </c>
      <c r="J322" s="50" t="s">
        <v>3003</v>
      </c>
      <c r="K322" s="50" t="s">
        <v>3004</v>
      </c>
      <c r="L322" s="50" t="s">
        <v>3005</v>
      </c>
      <c r="M322" s="50" t="s">
        <v>39</v>
      </c>
      <c r="N322" s="52" t="s">
        <v>3006</v>
      </c>
      <c r="O322" s="52" t="s">
        <v>3007</v>
      </c>
      <c r="P322" s="52" t="s">
        <v>3008</v>
      </c>
      <c r="Q322" s="52" t="s">
        <v>3009</v>
      </c>
      <c r="R322" s="52">
        <v>20011.0</v>
      </c>
      <c r="S322" s="52" t="s">
        <v>59</v>
      </c>
      <c r="T322" s="52" t="s">
        <v>3010</v>
      </c>
      <c r="U322" s="52">
        <v>2.0</v>
      </c>
      <c r="V322" s="52">
        <v>0.0</v>
      </c>
      <c r="W322" s="52">
        <v>2.0</v>
      </c>
      <c r="X322" s="52" t="s">
        <v>2632</v>
      </c>
      <c r="Y322" s="52" t="s">
        <v>47</v>
      </c>
      <c r="Z322" s="53" t="s">
        <v>236</v>
      </c>
      <c r="AA322" s="53" t="s">
        <v>3011</v>
      </c>
      <c r="AB322" s="52" t="s">
        <v>2069</v>
      </c>
      <c r="AC322" s="52">
        <v>12.0</v>
      </c>
      <c r="AD322" s="53" t="s">
        <v>3012</v>
      </c>
      <c r="AF322" s="12"/>
      <c r="AG322" s="12"/>
      <c r="AH322" s="12"/>
      <c r="AI322" s="12"/>
      <c r="AJ322" s="12"/>
      <c r="AK322" s="12"/>
    </row>
    <row r="323">
      <c r="A323" s="54">
        <v>45749.40115900463</v>
      </c>
      <c r="B323" s="14">
        <f t="shared" si="1"/>
        <v>45749</v>
      </c>
      <c r="C323" s="15" t="s">
        <v>643</v>
      </c>
      <c r="D323" s="15" t="s">
        <v>3013</v>
      </c>
      <c r="E323" s="15" t="str">
        <f t="shared" ref="E323:E368" si="20">N323&amp;" "&amp;O323</f>
        <v>Bernard  Brown</v>
      </c>
      <c r="F323" s="16" t="str">
        <f t="shared" si="18"/>
        <v>(202) 321-0221</v>
      </c>
      <c r="G323" s="15" t="s">
        <v>3014</v>
      </c>
      <c r="H323" s="40" t="s">
        <v>103</v>
      </c>
      <c r="I323" s="50" t="s">
        <v>3015</v>
      </c>
      <c r="J323" s="50" t="s">
        <v>3016</v>
      </c>
      <c r="K323" s="50" t="s">
        <v>3017</v>
      </c>
      <c r="L323" s="50" t="s">
        <v>3018</v>
      </c>
      <c r="M323" s="50" t="s">
        <v>39</v>
      </c>
      <c r="N323" s="52" t="s">
        <v>3019</v>
      </c>
      <c r="O323" s="52" t="s">
        <v>2358</v>
      </c>
      <c r="P323" s="52" t="s">
        <v>3020</v>
      </c>
      <c r="Q323" s="52">
        <v>276.0</v>
      </c>
      <c r="R323" s="52">
        <v>20020.0</v>
      </c>
      <c r="S323" s="52" t="s">
        <v>44</v>
      </c>
      <c r="T323" s="52" t="s">
        <v>3021</v>
      </c>
      <c r="U323" s="52">
        <v>1.0</v>
      </c>
      <c r="V323" s="52">
        <v>0.0</v>
      </c>
      <c r="W323" s="52">
        <v>1.0</v>
      </c>
      <c r="X323" s="52" t="s">
        <v>2594</v>
      </c>
      <c r="Y323" s="52" t="s">
        <v>47</v>
      </c>
      <c r="Z323" s="53" t="s">
        <v>48</v>
      </c>
      <c r="AA323" s="53" t="s">
        <v>3022</v>
      </c>
      <c r="AB323" s="52" t="s">
        <v>2069</v>
      </c>
      <c r="AC323" s="52">
        <v>36.0</v>
      </c>
      <c r="AD323" s="53" t="s">
        <v>3023</v>
      </c>
      <c r="AF323" s="12"/>
      <c r="AG323" s="12"/>
      <c r="AH323" s="12"/>
      <c r="AI323" s="12"/>
      <c r="AJ323" s="12"/>
      <c r="AK323" s="12"/>
    </row>
    <row r="324">
      <c r="A324" s="54">
        <v>45749.429369537036</v>
      </c>
      <c r="B324" s="14">
        <f t="shared" si="1"/>
        <v>45749</v>
      </c>
      <c r="C324" s="15" t="s">
        <v>31</v>
      </c>
      <c r="D324" s="15" t="s">
        <v>3024</v>
      </c>
      <c r="E324" s="15" t="str">
        <f t="shared" si="20"/>
        <v>Joseph Eccles</v>
      </c>
      <c r="F324" s="16" t="str">
        <f t="shared" si="18"/>
        <v>(240) 940-5776</v>
      </c>
      <c r="G324" s="15" t="s">
        <v>3025</v>
      </c>
      <c r="H324" s="40" t="s">
        <v>66</v>
      </c>
      <c r="I324" s="50" t="s">
        <v>1935</v>
      </c>
      <c r="J324" s="50" t="s">
        <v>1936</v>
      </c>
      <c r="K324" s="50" t="s">
        <v>2598</v>
      </c>
      <c r="L324" s="50" t="s">
        <v>2599</v>
      </c>
      <c r="M324" s="50" t="s">
        <v>39</v>
      </c>
      <c r="N324" s="52" t="s">
        <v>387</v>
      </c>
      <c r="O324" s="52" t="s">
        <v>3026</v>
      </c>
      <c r="P324" s="52" t="s">
        <v>3027</v>
      </c>
      <c r="Q324" s="52" t="s">
        <v>3028</v>
      </c>
      <c r="R324" s="52">
        <v>20002.0</v>
      </c>
      <c r="S324" s="52" t="s">
        <v>74</v>
      </c>
      <c r="T324" s="52" t="s">
        <v>3029</v>
      </c>
      <c r="U324" s="52">
        <v>1.0</v>
      </c>
      <c r="V324" s="52">
        <v>0.0</v>
      </c>
      <c r="W324" s="52">
        <v>1.0</v>
      </c>
      <c r="X324" s="52" t="s">
        <v>2261</v>
      </c>
      <c r="Y324" s="52" t="s">
        <v>47</v>
      </c>
      <c r="Z324" s="53" t="s">
        <v>61</v>
      </c>
      <c r="AA324" s="53" t="s">
        <v>3030</v>
      </c>
      <c r="AB324" s="52" t="s">
        <v>2069</v>
      </c>
      <c r="AC324" s="52">
        <v>3.0</v>
      </c>
      <c r="AD324" s="53" t="s">
        <v>3031</v>
      </c>
      <c r="AF324" s="12"/>
      <c r="AG324" s="12"/>
      <c r="AH324" s="12"/>
      <c r="AI324" s="12"/>
      <c r="AJ324" s="12"/>
      <c r="AK324" s="12"/>
    </row>
    <row r="325">
      <c r="A325" s="54">
        <v>45791.51341189815</v>
      </c>
      <c r="B325" s="14">
        <f t="shared" si="1"/>
        <v>45791</v>
      </c>
      <c r="C325" s="15" t="s">
        <v>31</v>
      </c>
      <c r="D325" s="15" t="s">
        <v>3032</v>
      </c>
      <c r="E325" s="15" t="str">
        <f t="shared" si="20"/>
        <v>Loutrice  Crowder</v>
      </c>
      <c r="F325" s="16" t="str">
        <f t="shared" si="18"/>
        <v>(240) 412-7575</v>
      </c>
      <c r="G325" s="15" t="s">
        <v>3033</v>
      </c>
      <c r="H325" s="40" t="s">
        <v>103</v>
      </c>
      <c r="I325" s="50" t="s">
        <v>2845</v>
      </c>
      <c r="J325" s="50" t="s">
        <v>2846</v>
      </c>
      <c r="K325" s="50" t="s">
        <v>543</v>
      </c>
      <c r="L325" s="50" t="s">
        <v>1875</v>
      </c>
      <c r="M325" s="50" t="s">
        <v>39</v>
      </c>
      <c r="N325" s="52" t="s">
        <v>3034</v>
      </c>
      <c r="O325" s="52" t="s">
        <v>3035</v>
      </c>
      <c r="P325" s="52" t="s">
        <v>3036</v>
      </c>
      <c r="Q325" s="52">
        <v>213.0</v>
      </c>
      <c r="R325" s="52">
        <v>20003.0</v>
      </c>
      <c r="S325" s="52" t="s">
        <v>44</v>
      </c>
      <c r="T325" s="52" t="s">
        <v>3037</v>
      </c>
      <c r="U325" s="52">
        <v>1.0</v>
      </c>
      <c r="V325" s="52">
        <v>0.0</v>
      </c>
      <c r="W325" s="59"/>
      <c r="X325" s="52" t="s">
        <v>2594</v>
      </c>
      <c r="Y325" s="52" t="s">
        <v>47</v>
      </c>
      <c r="Z325" s="53" t="s">
        <v>166</v>
      </c>
      <c r="AA325" s="53" t="s">
        <v>3038</v>
      </c>
      <c r="AB325" s="52" t="s">
        <v>2069</v>
      </c>
      <c r="AC325" s="52">
        <v>12.0</v>
      </c>
      <c r="AD325" s="53" t="s">
        <v>3039</v>
      </c>
      <c r="AF325" s="12"/>
      <c r="AG325" s="12"/>
      <c r="AH325" s="12"/>
      <c r="AI325" s="12"/>
      <c r="AJ325" s="12"/>
      <c r="AK325" s="12"/>
    </row>
    <row r="326">
      <c r="A326" s="54">
        <v>45754.6449316088</v>
      </c>
      <c r="B326" s="14">
        <f t="shared" si="1"/>
        <v>45754</v>
      </c>
      <c r="C326" s="15" t="s">
        <v>31</v>
      </c>
      <c r="D326" s="15" t="s">
        <v>3040</v>
      </c>
      <c r="E326" s="58" t="str">
        <f t="shared" si="20"/>
        <v>Sabrina Fraley</v>
      </c>
      <c r="F326" s="16" t="str">
        <f t="shared" si="18"/>
        <v>(202) 852-0529</v>
      </c>
      <c r="G326" s="15" t="s">
        <v>3041</v>
      </c>
      <c r="H326" s="40" t="s">
        <v>103</v>
      </c>
      <c r="I326" s="50" t="s">
        <v>2845</v>
      </c>
      <c r="J326" s="50" t="s">
        <v>2846</v>
      </c>
      <c r="K326" s="50" t="s">
        <v>543</v>
      </c>
      <c r="L326" s="50" t="s">
        <v>1875</v>
      </c>
      <c r="M326" s="50" t="s">
        <v>39</v>
      </c>
      <c r="N326" s="52" t="s">
        <v>3042</v>
      </c>
      <c r="O326" s="52" t="s">
        <v>3043</v>
      </c>
      <c r="P326" s="52" t="s">
        <v>3044</v>
      </c>
      <c r="Q326" s="52">
        <v>227.0</v>
      </c>
      <c r="R326" s="52">
        <v>20003.0</v>
      </c>
      <c r="S326" s="52" t="s">
        <v>44</v>
      </c>
      <c r="T326" s="52" t="s">
        <v>3045</v>
      </c>
      <c r="U326" s="52">
        <v>1.0</v>
      </c>
      <c r="V326" s="52">
        <v>0.0</v>
      </c>
      <c r="W326" s="52">
        <v>1.0</v>
      </c>
      <c r="X326" s="52" t="s">
        <v>2594</v>
      </c>
      <c r="Y326" s="52" t="s">
        <v>47</v>
      </c>
      <c r="Z326" s="53" t="s">
        <v>2857</v>
      </c>
      <c r="AA326" s="65" t="s">
        <v>3046</v>
      </c>
      <c r="AB326" s="52" t="s">
        <v>2069</v>
      </c>
      <c r="AC326" s="52">
        <v>12.0</v>
      </c>
      <c r="AD326" s="53" t="s">
        <v>3047</v>
      </c>
      <c r="AF326" s="12"/>
      <c r="AG326" s="12"/>
      <c r="AH326" s="12"/>
      <c r="AI326" s="12"/>
      <c r="AJ326" s="12"/>
      <c r="AK326" s="12"/>
    </row>
    <row r="327">
      <c r="A327" s="54">
        <v>45757.27430929398</v>
      </c>
      <c r="B327" s="14">
        <f t="shared" si="1"/>
        <v>45757</v>
      </c>
      <c r="C327" s="15" t="s">
        <v>643</v>
      </c>
      <c r="D327" s="15" t="s">
        <v>3048</v>
      </c>
      <c r="E327" s="58" t="str">
        <f t="shared" si="20"/>
        <v>Stephanie Carey</v>
      </c>
      <c r="F327" s="16" t="str">
        <f t="shared" si="18"/>
        <v>(202) 300-2284</v>
      </c>
      <c r="G327" s="15" t="s">
        <v>3049</v>
      </c>
      <c r="H327" s="40" t="s">
        <v>103</v>
      </c>
      <c r="I327" s="50" t="s">
        <v>3050</v>
      </c>
      <c r="J327" s="50" t="s">
        <v>2209</v>
      </c>
      <c r="K327" s="50" t="s">
        <v>3051</v>
      </c>
      <c r="L327" s="50" t="s">
        <v>2211</v>
      </c>
      <c r="M327" s="50" t="s">
        <v>39</v>
      </c>
      <c r="N327" s="52" t="s">
        <v>2552</v>
      </c>
      <c r="O327" s="52" t="s">
        <v>3052</v>
      </c>
      <c r="P327" s="52" t="s">
        <v>2769</v>
      </c>
      <c r="Q327" s="52">
        <v>1228.0</v>
      </c>
      <c r="R327" s="52">
        <v>20032.0</v>
      </c>
      <c r="S327" s="52" t="s">
        <v>44</v>
      </c>
      <c r="T327" s="52" t="s">
        <v>3053</v>
      </c>
      <c r="U327" s="52">
        <v>1.0</v>
      </c>
      <c r="V327" s="52">
        <v>0.0</v>
      </c>
      <c r="W327" s="52">
        <v>1.0</v>
      </c>
      <c r="X327" s="52" t="s">
        <v>2261</v>
      </c>
      <c r="Y327" s="52" t="s">
        <v>47</v>
      </c>
      <c r="Z327" s="53" t="s">
        <v>3054</v>
      </c>
      <c r="AA327" s="65" t="s">
        <v>3055</v>
      </c>
      <c r="AB327" s="52" t="s">
        <v>2059</v>
      </c>
      <c r="AC327" s="52">
        <v>3.0</v>
      </c>
      <c r="AD327" s="53" t="s">
        <v>3056</v>
      </c>
      <c r="AE327" s="61" t="s">
        <v>3057</v>
      </c>
      <c r="AF327" s="12"/>
      <c r="AG327" s="12"/>
      <c r="AH327" s="12"/>
      <c r="AI327" s="12"/>
      <c r="AJ327" s="12"/>
      <c r="AK327" s="12"/>
    </row>
    <row r="328">
      <c r="A328" s="54">
        <v>45757.708584803244</v>
      </c>
      <c r="B328" s="14">
        <f t="shared" si="1"/>
        <v>45757</v>
      </c>
      <c r="C328" s="15" t="s">
        <v>31</v>
      </c>
      <c r="D328" s="15" t="s">
        <v>3058</v>
      </c>
      <c r="E328" s="15" t="str">
        <f t="shared" si="20"/>
        <v>James Tymesha </v>
      </c>
      <c r="F328" s="16" t="str">
        <f t="shared" si="18"/>
        <v>(202) 570-5162</v>
      </c>
      <c r="G328" s="15" t="s">
        <v>3059</v>
      </c>
      <c r="H328" s="40" t="s">
        <v>356</v>
      </c>
      <c r="I328" s="50" t="s">
        <v>3060</v>
      </c>
      <c r="J328" s="50" t="s">
        <v>3061</v>
      </c>
      <c r="K328" s="50" t="s">
        <v>3062</v>
      </c>
      <c r="L328" s="50" t="s">
        <v>3063</v>
      </c>
      <c r="M328" s="50" t="s">
        <v>39</v>
      </c>
      <c r="N328" s="52" t="s">
        <v>442</v>
      </c>
      <c r="O328" s="52" t="s">
        <v>3064</v>
      </c>
      <c r="P328" s="52" t="s">
        <v>3065</v>
      </c>
      <c r="Q328" s="52" t="s">
        <v>3066</v>
      </c>
      <c r="R328" s="52">
        <v>20002.0</v>
      </c>
      <c r="S328" s="52" t="s">
        <v>74</v>
      </c>
      <c r="T328" s="52" t="s">
        <v>3067</v>
      </c>
      <c r="U328" s="52">
        <v>1.0</v>
      </c>
      <c r="V328" s="52">
        <v>3.0</v>
      </c>
      <c r="W328" s="52">
        <v>4.0</v>
      </c>
      <c r="X328" s="52" t="s">
        <v>2566</v>
      </c>
      <c r="Y328" s="52" t="s">
        <v>85</v>
      </c>
      <c r="Z328" s="53" t="s">
        <v>236</v>
      </c>
      <c r="AA328" s="53" t="s">
        <v>3068</v>
      </c>
      <c r="AB328" s="52" t="s">
        <v>2059</v>
      </c>
      <c r="AC328" s="52">
        <v>24.0</v>
      </c>
      <c r="AD328" s="53" t="s">
        <v>3069</v>
      </c>
      <c r="AF328" s="12"/>
      <c r="AG328" s="12"/>
      <c r="AH328" s="12"/>
      <c r="AI328" s="12"/>
      <c r="AJ328" s="12"/>
      <c r="AK328" s="12"/>
    </row>
    <row r="329">
      <c r="A329" s="54">
        <v>45763.409153333334</v>
      </c>
      <c r="B329" s="14">
        <f t="shared" si="1"/>
        <v>45763</v>
      </c>
      <c r="C329" s="15" t="s">
        <v>643</v>
      </c>
      <c r="D329" s="15" t="s">
        <v>3070</v>
      </c>
      <c r="E329" s="15" t="str">
        <f t="shared" si="20"/>
        <v>Stacy  Chatmon</v>
      </c>
      <c r="F329" s="16" t="str">
        <f t="shared" si="18"/>
        <v>(202) 389-8751</v>
      </c>
      <c r="G329" s="15" t="s">
        <v>3071</v>
      </c>
      <c r="H329" s="40" t="s">
        <v>66</v>
      </c>
      <c r="I329" s="50" t="s">
        <v>3072</v>
      </c>
      <c r="J329" s="50" t="s">
        <v>3073</v>
      </c>
      <c r="K329" s="50" t="s">
        <v>3074</v>
      </c>
      <c r="L329" s="50" t="s">
        <v>3075</v>
      </c>
      <c r="M329" s="50" t="s">
        <v>39</v>
      </c>
      <c r="N329" s="52" t="s">
        <v>3076</v>
      </c>
      <c r="O329" s="52" t="s">
        <v>3077</v>
      </c>
      <c r="P329" s="52" t="s">
        <v>3078</v>
      </c>
      <c r="Q329" s="59"/>
      <c r="R329" s="52">
        <v>20008.0</v>
      </c>
      <c r="S329" s="52" t="s">
        <v>59</v>
      </c>
      <c r="T329" s="52" t="s">
        <v>3079</v>
      </c>
      <c r="U329" s="52">
        <v>1.0</v>
      </c>
      <c r="V329" s="52">
        <v>0.0</v>
      </c>
      <c r="W329" s="52">
        <v>1.0</v>
      </c>
      <c r="X329" s="52" t="s">
        <v>2261</v>
      </c>
      <c r="Y329" s="52" t="s">
        <v>47</v>
      </c>
      <c r="Z329" s="53" t="s">
        <v>458</v>
      </c>
      <c r="AA329" s="53" t="s">
        <v>3080</v>
      </c>
      <c r="AB329" s="52" t="s">
        <v>2059</v>
      </c>
      <c r="AC329" s="52">
        <v>6.0</v>
      </c>
      <c r="AD329" s="53" t="s">
        <v>3081</v>
      </c>
    </row>
    <row r="330">
      <c r="A330" s="54">
        <v>45763.47284241898</v>
      </c>
      <c r="B330" s="14">
        <f t="shared" si="1"/>
        <v>45763</v>
      </c>
      <c r="C330" s="15" t="s">
        <v>643</v>
      </c>
      <c r="D330" s="15" t="s">
        <v>3082</v>
      </c>
      <c r="E330" s="15" t="str">
        <f t="shared" si="20"/>
        <v>Metrice Jones</v>
      </c>
      <c r="F330" s="16" t="str">
        <f t="shared" si="18"/>
        <v>(202) 300-8319</v>
      </c>
      <c r="G330" s="15" t="s">
        <v>3083</v>
      </c>
      <c r="H330" s="40" t="s">
        <v>103</v>
      </c>
      <c r="I330" s="50" t="s">
        <v>1850</v>
      </c>
      <c r="J330" s="50" t="s">
        <v>1689</v>
      </c>
      <c r="K330" s="50" t="s">
        <v>1691</v>
      </c>
      <c r="L330" s="50" t="s">
        <v>3084</v>
      </c>
      <c r="M330" s="50" t="s">
        <v>39</v>
      </c>
      <c r="N330" s="52" t="s">
        <v>3085</v>
      </c>
      <c r="O330" s="52" t="s">
        <v>1087</v>
      </c>
      <c r="P330" s="52" t="s">
        <v>3086</v>
      </c>
      <c r="Q330" s="52">
        <v>206.0</v>
      </c>
      <c r="R330" s="52">
        <v>20024.0</v>
      </c>
      <c r="S330" s="52" t="s">
        <v>562</v>
      </c>
      <c r="T330" s="52" t="s">
        <v>3087</v>
      </c>
      <c r="U330" s="52">
        <v>1.0</v>
      </c>
      <c r="V330" s="52">
        <v>0.0</v>
      </c>
      <c r="W330" s="52">
        <v>1.0</v>
      </c>
      <c r="X330" s="52" t="s">
        <v>2566</v>
      </c>
      <c r="Y330" s="52" t="s">
        <v>47</v>
      </c>
      <c r="Z330" s="53" t="s">
        <v>458</v>
      </c>
      <c r="AA330" s="53" t="s">
        <v>3088</v>
      </c>
      <c r="AB330" s="52" t="s">
        <v>2059</v>
      </c>
      <c r="AC330" s="52">
        <v>12.0</v>
      </c>
      <c r="AD330" s="53" t="s">
        <v>3089</v>
      </c>
    </row>
    <row r="331">
      <c r="A331" s="62">
        <v>45764.35323361111</v>
      </c>
      <c r="B331" s="14">
        <f t="shared" si="1"/>
        <v>45764</v>
      </c>
      <c r="C331" s="15" t="s">
        <v>31</v>
      </c>
      <c r="D331" s="15" t="s">
        <v>3090</v>
      </c>
      <c r="E331" s="15" t="str">
        <f t="shared" si="20"/>
        <v>Eleanor  Walker </v>
      </c>
      <c r="F331" s="16" t="str">
        <f t="shared" si="18"/>
        <v>(410) 921-5457</v>
      </c>
      <c r="G331" s="15" t="s">
        <v>3091</v>
      </c>
      <c r="H331" s="40" t="s">
        <v>66</v>
      </c>
      <c r="I331" s="50" t="s">
        <v>2283</v>
      </c>
      <c r="J331" s="27"/>
      <c r="K331" s="50" t="s">
        <v>2285</v>
      </c>
      <c r="L331" s="50" t="s">
        <v>2286</v>
      </c>
      <c r="M331" s="50" t="s">
        <v>39</v>
      </c>
      <c r="N331" s="52" t="s">
        <v>3092</v>
      </c>
      <c r="O331" s="52" t="s">
        <v>3093</v>
      </c>
      <c r="P331" s="52" t="s">
        <v>3094</v>
      </c>
      <c r="Q331" s="52">
        <v>201.0</v>
      </c>
      <c r="R331" s="52">
        <v>20032.0</v>
      </c>
      <c r="S331" s="52" t="s">
        <v>44</v>
      </c>
      <c r="T331" s="52" t="s">
        <v>3095</v>
      </c>
      <c r="U331" s="52">
        <v>1.0</v>
      </c>
      <c r="V331" s="52">
        <v>2.0</v>
      </c>
      <c r="W331" s="52">
        <v>3.0</v>
      </c>
      <c r="X331" s="52" t="s">
        <v>2594</v>
      </c>
      <c r="Y331" s="52" t="s">
        <v>85</v>
      </c>
      <c r="Z331" s="53" t="s">
        <v>61</v>
      </c>
      <c r="AA331" s="53" t="s">
        <v>3096</v>
      </c>
      <c r="AB331" s="52" t="s">
        <v>2059</v>
      </c>
      <c r="AC331" s="52">
        <v>18.0</v>
      </c>
      <c r="AD331" s="53" t="s">
        <v>3097</v>
      </c>
    </row>
    <row r="332">
      <c r="A332" s="62">
        <v>45764.38836424769</v>
      </c>
      <c r="B332" s="14">
        <f t="shared" si="1"/>
        <v>45764</v>
      </c>
      <c r="C332" s="15" t="s">
        <v>31</v>
      </c>
      <c r="D332" s="15" t="s">
        <v>3098</v>
      </c>
      <c r="E332" s="15" t="str">
        <f t="shared" si="20"/>
        <v>Maggie  Washington</v>
      </c>
      <c r="F332" s="16" t="str">
        <f t="shared" si="18"/>
        <v>(202) 427-6440</v>
      </c>
      <c r="G332" s="15" t="s">
        <v>3099</v>
      </c>
      <c r="H332" s="40" t="s">
        <v>103</v>
      </c>
      <c r="I332" s="50" t="s">
        <v>2365</v>
      </c>
      <c r="J332" s="50" t="s">
        <v>2366</v>
      </c>
      <c r="K332" s="50" t="s">
        <v>3100</v>
      </c>
      <c r="L332" s="50" t="s">
        <v>2368</v>
      </c>
      <c r="M332" s="50" t="s">
        <v>39</v>
      </c>
      <c r="N332" s="52" t="s">
        <v>3101</v>
      </c>
      <c r="O332" s="52" t="s">
        <v>709</v>
      </c>
      <c r="P332" s="52" t="s">
        <v>3102</v>
      </c>
      <c r="Q332" s="59"/>
      <c r="R332" s="52">
        <v>20011.0</v>
      </c>
      <c r="S332" s="52" t="s">
        <v>59</v>
      </c>
      <c r="T332" s="52" t="s">
        <v>3103</v>
      </c>
      <c r="U332" s="52">
        <v>2.0</v>
      </c>
      <c r="V332" s="52">
        <v>0.0</v>
      </c>
      <c r="W332" s="52">
        <v>2.0</v>
      </c>
      <c r="X332" s="52" t="s">
        <v>2700</v>
      </c>
      <c r="Y332" s="52" t="s">
        <v>47</v>
      </c>
      <c r="Z332" s="53" t="s">
        <v>122</v>
      </c>
      <c r="AA332" s="53" t="s">
        <v>3104</v>
      </c>
      <c r="AB332" s="52" t="s">
        <v>2069</v>
      </c>
      <c r="AC332" s="52">
        <v>12.0</v>
      </c>
      <c r="AD332" s="53" t="s">
        <v>3105</v>
      </c>
    </row>
    <row r="333">
      <c r="A333" s="54">
        <v>45765.38022078703</v>
      </c>
      <c r="B333" s="14">
        <f t="shared" si="1"/>
        <v>45765</v>
      </c>
      <c r="C333" s="15" t="s">
        <v>31</v>
      </c>
      <c r="D333" s="15" t="s">
        <v>3106</v>
      </c>
      <c r="E333" s="15" t="str">
        <f t="shared" si="20"/>
        <v>VERONICA GRAVES</v>
      </c>
      <c r="F333" s="16" t="str">
        <f t="shared" si="18"/>
        <v>(202) 971-0918</v>
      </c>
      <c r="G333" s="15" t="s">
        <v>3107</v>
      </c>
      <c r="H333" s="40" t="s">
        <v>66</v>
      </c>
      <c r="I333" s="50" t="s">
        <v>3108</v>
      </c>
      <c r="J333" s="50" t="s">
        <v>3109</v>
      </c>
      <c r="K333" s="50" t="s">
        <v>3110</v>
      </c>
      <c r="L333" s="50" t="s">
        <v>3111</v>
      </c>
      <c r="M333" s="50" t="s">
        <v>39</v>
      </c>
      <c r="N333" s="52" t="s">
        <v>3112</v>
      </c>
      <c r="O333" s="52" t="s">
        <v>3113</v>
      </c>
      <c r="P333" s="52" t="s">
        <v>3114</v>
      </c>
      <c r="Q333" s="52">
        <v>731.0</v>
      </c>
      <c r="R333" s="52">
        <v>20003.0</v>
      </c>
      <c r="S333" s="52" t="s">
        <v>44</v>
      </c>
      <c r="T333" s="52" t="s">
        <v>3115</v>
      </c>
      <c r="U333" s="52">
        <v>1.0</v>
      </c>
      <c r="V333" s="52">
        <v>2.0</v>
      </c>
      <c r="W333" s="52">
        <v>3.0</v>
      </c>
      <c r="X333" s="52" t="s">
        <v>2261</v>
      </c>
      <c r="Y333" s="52" t="s">
        <v>47</v>
      </c>
      <c r="Z333" s="53" t="s">
        <v>236</v>
      </c>
      <c r="AA333" s="53" t="s">
        <v>3116</v>
      </c>
      <c r="AB333" s="52" t="s">
        <v>2069</v>
      </c>
      <c r="AC333" s="52">
        <v>6.0</v>
      </c>
      <c r="AD333" s="53" t="s">
        <v>3117</v>
      </c>
    </row>
    <row r="334">
      <c r="A334" s="54">
        <v>45768.67725167824</v>
      </c>
      <c r="B334" s="14">
        <f t="shared" si="1"/>
        <v>45768</v>
      </c>
      <c r="C334" s="15" t="s">
        <v>643</v>
      </c>
      <c r="D334" s="15" t="s">
        <v>3118</v>
      </c>
      <c r="E334" s="15" t="str">
        <f t="shared" si="20"/>
        <v>Lydia  Simms</v>
      </c>
      <c r="F334" s="16" t="str">
        <f t="shared" si="18"/>
        <v>(202) 749-4900</v>
      </c>
      <c r="G334" s="66" t="s">
        <v>3119</v>
      </c>
      <c r="H334" s="40" t="s">
        <v>66</v>
      </c>
      <c r="I334" s="50" t="s">
        <v>3072</v>
      </c>
      <c r="J334" s="50" t="s">
        <v>3073</v>
      </c>
      <c r="K334" s="50" t="s">
        <v>3074</v>
      </c>
      <c r="L334" s="50" t="s">
        <v>3075</v>
      </c>
      <c r="M334" s="50" t="s">
        <v>39</v>
      </c>
      <c r="N334" s="52" t="s">
        <v>3120</v>
      </c>
      <c r="O334" s="52" t="s">
        <v>2370</v>
      </c>
      <c r="P334" s="52" t="s">
        <v>3121</v>
      </c>
      <c r="Q334" s="52" t="s">
        <v>3122</v>
      </c>
      <c r="R334" s="52">
        <v>20024.0</v>
      </c>
      <c r="S334" s="52" t="s">
        <v>562</v>
      </c>
      <c r="T334" s="52" t="s">
        <v>3123</v>
      </c>
      <c r="U334" s="52">
        <v>1.0</v>
      </c>
      <c r="V334" s="52">
        <v>0.0</v>
      </c>
      <c r="W334" s="52">
        <v>1.0</v>
      </c>
      <c r="X334" s="52" t="s">
        <v>2261</v>
      </c>
      <c r="Y334" s="52" t="s">
        <v>47</v>
      </c>
      <c r="Z334" s="53" t="s">
        <v>236</v>
      </c>
      <c r="AA334" s="53" t="s">
        <v>3124</v>
      </c>
      <c r="AB334" s="52" t="s">
        <v>2059</v>
      </c>
      <c r="AC334" s="52">
        <v>6.0</v>
      </c>
      <c r="AD334" s="53" t="s">
        <v>3125</v>
      </c>
    </row>
    <row r="335">
      <c r="A335" s="54">
        <v>45769.53733533565</v>
      </c>
      <c r="B335" s="14">
        <f t="shared" si="1"/>
        <v>45769</v>
      </c>
      <c r="C335" s="15" t="s">
        <v>31</v>
      </c>
      <c r="D335" s="15" t="s">
        <v>3126</v>
      </c>
      <c r="E335" s="15" t="str">
        <f t="shared" si="20"/>
        <v>LaCreasha Kennedy</v>
      </c>
      <c r="F335" s="16" t="str">
        <f t="shared" si="18"/>
        <v>(202) 913-9836</v>
      </c>
      <c r="G335" s="66" t="s">
        <v>3127</v>
      </c>
      <c r="H335" s="40" t="s">
        <v>66</v>
      </c>
      <c r="I335" s="50" t="s">
        <v>2960</v>
      </c>
      <c r="J335" s="50" t="s">
        <v>2961</v>
      </c>
      <c r="K335" s="50" t="s">
        <v>2962</v>
      </c>
      <c r="L335" s="50" t="s">
        <v>3128</v>
      </c>
      <c r="M335" s="50" t="s">
        <v>39</v>
      </c>
      <c r="N335" s="52" t="s">
        <v>3129</v>
      </c>
      <c r="O335" s="52" t="s">
        <v>3130</v>
      </c>
      <c r="P335" s="52" t="s">
        <v>3131</v>
      </c>
      <c r="Q335" s="52" t="s">
        <v>3132</v>
      </c>
      <c r="R335" s="52">
        <v>20012.0</v>
      </c>
      <c r="S335" s="52" t="s">
        <v>59</v>
      </c>
      <c r="T335" s="52" t="s">
        <v>3133</v>
      </c>
      <c r="U335" s="52">
        <v>1.0</v>
      </c>
      <c r="V335" s="52">
        <v>0.0</v>
      </c>
      <c r="W335" s="52">
        <v>1.0</v>
      </c>
      <c r="X335" s="52" t="s">
        <v>2594</v>
      </c>
      <c r="Y335" s="52" t="s">
        <v>47</v>
      </c>
      <c r="Z335" s="53" t="s">
        <v>361</v>
      </c>
      <c r="AA335" s="53" t="s">
        <v>3134</v>
      </c>
      <c r="AB335" s="52" t="s">
        <v>2069</v>
      </c>
      <c r="AC335" s="52">
        <v>12.0</v>
      </c>
      <c r="AD335" s="53" t="s">
        <v>3135</v>
      </c>
    </row>
    <row r="336">
      <c r="A336" s="54">
        <v>45770.611772222226</v>
      </c>
      <c r="B336" s="14">
        <f t="shared" si="1"/>
        <v>45770</v>
      </c>
      <c r="C336" s="15" t="s">
        <v>31</v>
      </c>
      <c r="D336" s="15" t="s">
        <v>3136</v>
      </c>
      <c r="E336" s="58" t="str">
        <f t="shared" si="20"/>
        <v>Gabriel  Ejide</v>
      </c>
      <c r="F336" s="16" t="str">
        <f t="shared" si="18"/>
        <v>(202) 704-0060</v>
      </c>
      <c r="G336" s="66" t="s">
        <v>3137</v>
      </c>
      <c r="H336" s="40" t="s">
        <v>66</v>
      </c>
      <c r="I336" s="50" t="s">
        <v>3138</v>
      </c>
      <c r="J336" s="50" t="s">
        <v>3139</v>
      </c>
      <c r="K336" s="50" t="s">
        <v>1745</v>
      </c>
      <c r="L336" s="50" t="s">
        <v>3140</v>
      </c>
      <c r="M336" s="50" t="s">
        <v>39</v>
      </c>
      <c r="N336" s="52" t="s">
        <v>3141</v>
      </c>
      <c r="O336" s="52" t="s">
        <v>3142</v>
      </c>
      <c r="P336" s="52" t="s">
        <v>3143</v>
      </c>
      <c r="Q336" s="59"/>
      <c r="R336" s="52">
        <v>20011.0</v>
      </c>
      <c r="S336" s="52" t="s">
        <v>74</v>
      </c>
      <c r="T336" s="52" t="s">
        <v>3144</v>
      </c>
      <c r="U336" s="52">
        <v>1.0</v>
      </c>
      <c r="V336" s="52">
        <v>0.0</v>
      </c>
      <c r="W336" s="52">
        <v>1.0</v>
      </c>
      <c r="X336" s="52" t="s">
        <v>2700</v>
      </c>
      <c r="Y336" s="52" t="s">
        <v>47</v>
      </c>
      <c r="Z336" s="53" t="s">
        <v>48</v>
      </c>
      <c r="AA336" s="65" t="s">
        <v>3145</v>
      </c>
      <c r="AB336" s="52" t="s">
        <v>2069</v>
      </c>
      <c r="AC336" s="52">
        <v>36.0</v>
      </c>
      <c r="AD336" s="53" t="s">
        <v>3146</v>
      </c>
    </row>
    <row r="337">
      <c r="A337" s="54">
        <v>45770.61300237269</v>
      </c>
      <c r="B337" s="14">
        <f t="shared" si="1"/>
        <v>45770</v>
      </c>
      <c r="C337" s="15" t="s">
        <v>31</v>
      </c>
      <c r="D337" s="15" t="s">
        <v>564</v>
      </c>
      <c r="E337" s="15" t="str">
        <f t="shared" si="20"/>
        <v>T'Loni Fox</v>
      </c>
      <c r="F337" s="16" t="str">
        <f t="shared" si="18"/>
        <v>(202) 701-6839</v>
      </c>
      <c r="G337" s="66" t="s">
        <v>3147</v>
      </c>
      <c r="H337" s="40" t="s">
        <v>66</v>
      </c>
      <c r="I337" s="50" t="s">
        <v>3148</v>
      </c>
      <c r="J337" s="50" t="s">
        <v>2209</v>
      </c>
      <c r="K337" s="50" t="s">
        <v>3149</v>
      </c>
      <c r="L337" s="50" t="s">
        <v>2211</v>
      </c>
      <c r="M337" s="50" t="s">
        <v>39</v>
      </c>
      <c r="N337" s="52" t="s">
        <v>3150</v>
      </c>
      <c r="O337" s="52" t="s">
        <v>3151</v>
      </c>
      <c r="P337" s="52" t="s">
        <v>3152</v>
      </c>
      <c r="Q337" s="52" t="s">
        <v>3153</v>
      </c>
      <c r="R337" s="52">
        <v>20019.0</v>
      </c>
      <c r="S337" s="52" t="s">
        <v>74</v>
      </c>
      <c r="T337" s="52" t="s">
        <v>3154</v>
      </c>
      <c r="U337" s="52">
        <v>1.0</v>
      </c>
      <c r="V337" s="52">
        <v>0.0</v>
      </c>
      <c r="W337" s="52">
        <v>1.0</v>
      </c>
      <c r="X337" s="52" t="s">
        <v>2771</v>
      </c>
      <c r="Y337" s="52" t="s">
        <v>47</v>
      </c>
      <c r="Z337" s="53" t="s">
        <v>3155</v>
      </c>
      <c r="AA337" s="53" t="s">
        <v>3156</v>
      </c>
      <c r="AB337" s="52" t="s">
        <v>2059</v>
      </c>
      <c r="AC337" s="52">
        <v>1.0</v>
      </c>
      <c r="AD337" s="53" t="s">
        <v>3157</v>
      </c>
    </row>
    <row r="338">
      <c r="A338" s="54">
        <v>45770.62379109954</v>
      </c>
      <c r="B338" s="14">
        <f t="shared" si="1"/>
        <v>45770</v>
      </c>
      <c r="C338" s="15" t="s">
        <v>31</v>
      </c>
      <c r="D338" s="15" t="s">
        <v>3158</v>
      </c>
      <c r="E338" s="15" t="str">
        <f t="shared" si="20"/>
        <v>khaos nwingwe</v>
      </c>
      <c r="F338" s="16" t="str">
        <f t="shared" si="18"/>
        <v>(703) 986-3283</v>
      </c>
      <c r="G338" s="66" t="s">
        <v>3159</v>
      </c>
      <c r="H338" s="40" t="s">
        <v>66</v>
      </c>
      <c r="I338" s="50" t="s">
        <v>3148</v>
      </c>
      <c r="J338" s="50" t="s">
        <v>2209</v>
      </c>
      <c r="K338" s="50" t="s">
        <v>3149</v>
      </c>
      <c r="L338" s="50" t="s">
        <v>2211</v>
      </c>
      <c r="M338" s="50" t="s">
        <v>39</v>
      </c>
      <c r="N338" s="52" t="s">
        <v>3160</v>
      </c>
      <c r="O338" s="52" t="s">
        <v>3161</v>
      </c>
      <c r="P338" s="52" t="s">
        <v>3162</v>
      </c>
      <c r="Q338" s="52" t="s">
        <v>3163</v>
      </c>
      <c r="R338" s="52">
        <v>20019.0</v>
      </c>
      <c r="S338" s="52" t="s">
        <v>74</v>
      </c>
      <c r="T338" s="52" t="s">
        <v>3164</v>
      </c>
      <c r="U338" s="52">
        <v>1.0</v>
      </c>
      <c r="V338" s="52">
        <v>0.0</v>
      </c>
      <c r="W338" s="52">
        <v>1.0</v>
      </c>
      <c r="X338" s="52" t="s">
        <v>2771</v>
      </c>
      <c r="Y338" s="52" t="s">
        <v>47</v>
      </c>
      <c r="Z338" s="53" t="s">
        <v>3165</v>
      </c>
      <c r="AA338" s="53" t="s">
        <v>3166</v>
      </c>
      <c r="AB338" s="52" t="s">
        <v>2751</v>
      </c>
      <c r="AC338" s="52">
        <v>2.0</v>
      </c>
      <c r="AD338" s="53" t="s">
        <v>3167</v>
      </c>
    </row>
    <row r="339">
      <c r="A339" s="54">
        <v>45771.43648017361</v>
      </c>
      <c r="B339" s="14">
        <f t="shared" si="1"/>
        <v>45771</v>
      </c>
      <c r="C339" s="15" t="s">
        <v>31</v>
      </c>
      <c r="D339" s="15" t="s">
        <v>1848</v>
      </c>
      <c r="E339" s="15" t="str">
        <f t="shared" si="20"/>
        <v>Sabrina Slater</v>
      </c>
      <c r="F339" s="16" t="str">
        <f t="shared" si="18"/>
        <v>(240) 510-7461</v>
      </c>
      <c r="G339" s="66" t="s">
        <v>3168</v>
      </c>
      <c r="H339" s="40" t="s">
        <v>103</v>
      </c>
      <c r="I339" s="50" t="s">
        <v>541</v>
      </c>
      <c r="J339" s="50" t="s">
        <v>542</v>
      </c>
      <c r="K339" s="50" t="s">
        <v>160</v>
      </c>
      <c r="L339" s="50" t="s">
        <v>2560</v>
      </c>
      <c r="M339" s="50" t="s">
        <v>39</v>
      </c>
      <c r="N339" s="52" t="s">
        <v>3042</v>
      </c>
      <c r="O339" s="52" t="s">
        <v>3169</v>
      </c>
      <c r="P339" s="52" t="s">
        <v>3170</v>
      </c>
      <c r="Q339" s="52" t="s">
        <v>3171</v>
      </c>
      <c r="R339" s="52">
        <v>20012.0</v>
      </c>
      <c r="S339" s="52" t="s">
        <v>59</v>
      </c>
      <c r="T339" s="52" t="s">
        <v>3172</v>
      </c>
      <c r="U339" s="52">
        <v>2.0</v>
      </c>
      <c r="V339" s="52">
        <v>0.0</v>
      </c>
      <c r="W339" s="52">
        <v>2.0</v>
      </c>
      <c r="X339" s="52" t="s">
        <v>2261</v>
      </c>
      <c r="Y339" s="52" t="s">
        <v>85</v>
      </c>
      <c r="Z339" s="53" t="s">
        <v>61</v>
      </c>
      <c r="AA339" s="53" t="s">
        <v>3173</v>
      </c>
      <c r="AB339" s="52" t="s">
        <v>2059</v>
      </c>
      <c r="AC339" s="52">
        <v>12.0</v>
      </c>
      <c r="AD339" s="53" t="s">
        <v>3174</v>
      </c>
    </row>
    <row r="340">
      <c r="A340" s="54">
        <v>45771.46415328704</v>
      </c>
      <c r="B340" s="14">
        <f t="shared" si="1"/>
        <v>45771</v>
      </c>
      <c r="C340" s="15" t="s">
        <v>31</v>
      </c>
      <c r="D340" s="15" t="s">
        <v>3175</v>
      </c>
      <c r="E340" s="15" t="str">
        <f t="shared" si="20"/>
        <v>Lakura Coppin</v>
      </c>
      <c r="F340" s="16" t="str">
        <f t="shared" si="18"/>
        <v>(202) 902-3720</v>
      </c>
      <c r="G340" s="66" t="s">
        <v>3176</v>
      </c>
      <c r="H340" s="40" t="s">
        <v>66</v>
      </c>
      <c r="I340" s="50" t="s">
        <v>1688</v>
      </c>
      <c r="J340" s="50" t="s">
        <v>1689</v>
      </c>
      <c r="K340" s="50" t="s">
        <v>2011</v>
      </c>
      <c r="L340" s="50" t="s">
        <v>3084</v>
      </c>
      <c r="M340" s="50" t="s">
        <v>39</v>
      </c>
      <c r="N340" s="52" t="s">
        <v>3177</v>
      </c>
      <c r="O340" s="52" t="s">
        <v>3178</v>
      </c>
      <c r="P340" s="52" t="s">
        <v>3179</v>
      </c>
      <c r="Q340" s="59"/>
      <c r="R340" s="52">
        <v>20024.0</v>
      </c>
      <c r="S340" s="52" t="s">
        <v>562</v>
      </c>
      <c r="T340" s="52" t="s">
        <v>3180</v>
      </c>
      <c r="U340" s="52">
        <v>6.0</v>
      </c>
      <c r="V340" s="52">
        <v>4.0</v>
      </c>
      <c r="W340" s="52">
        <v>10.0</v>
      </c>
      <c r="X340" s="52" t="s">
        <v>2771</v>
      </c>
      <c r="Y340" s="52" t="s">
        <v>85</v>
      </c>
      <c r="Z340" s="53" t="s">
        <v>236</v>
      </c>
      <c r="AA340" s="53" t="s">
        <v>3181</v>
      </c>
      <c r="AB340" s="52" t="s">
        <v>2059</v>
      </c>
      <c r="AC340" s="52">
        <v>12.0</v>
      </c>
      <c r="AD340" s="53" t="s">
        <v>3182</v>
      </c>
    </row>
    <row r="341">
      <c r="A341" s="54">
        <v>45775.62643726852</v>
      </c>
      <c r="B341" s="14">
        <f t="shared" si="1"/>
        <v>45775</v>
      </c>
      <c r="C341" s="15" t="s">
        <v>643</v>
      </c>
      <c r="D341" s="15" t="s">
        <v>3183</v>
      </c>
      <c r="E341" s="15" t="str">
        <f t="shared" si="20"/>
        <v>Willie  Curtis</v>
      </c>
      <c r="F341" s="16" t="str">
        <f t="shared" si="18"/>
        <v>(202) 322-1326</v>
      </c>
      <c r="G341" s="66" t="s">
        <v>3184</v>
      </c>
      <c r="H341" s="40" t="s">
        <v>66</v>
      </c>
      <c r="I341" s="50" t="s">
        <v>3072</v>
      </c>
      <c r="J341" s="50" t="s">
        <v>3073</v>
      </c>
      <c r="K341" s="50" t="s">
        <v>3074</v>
      </c>
      <c r="L341" s="50" t="s">
        <v>3075</v>
      </c>
      <c r="M341" s="50" t="s">
        <v>39</v>
      </c>
      <c r="N341" s="52" t="s">
        <v>3185</v>
      </c>
      <c r="O341" s="52" t="s">
        <v>2137</v>
      </c>
      <c r="P341" s="52" t="s">
        <v>3186</v>
      </c>
      <c r="Q341" s="52">
        <v>702.0</v>
      </c>
      <c r="R341" s="52">
        <v>20002.0</v>
      </c>
      <c r="S341" s="52" t="s">
        <v>74</v>
      </c>
      <c r="T341" s="52" t="s">
        <v>3187</v>
      </c>
      <c r="U341" s="52">
        <v>1.0</v>
      </c>
      <c r="V341" s="52">
        <v>0.0</v>
      </c>
      <c r="W341" s="52">
        <v>1.0</v>
      </c>
      <c r="X341" s="52" t="s">
        <v>2594</v>
      </c>
      <c r="Y341" s="52" t="s">
        <v>47</v>
      </c>
      <c r="Z341" s="53" t="s">
        <v>361</v>
      </c>
      <c r="AA341" s="53" t="s">
        <v>3188</v>
      </c>
      <c r="AB341" s="52" t="s">
        <v>2069</v>
      </c>
      <c r="AC341" s="52">
        <v>6.0</v>
      </c>
      <c r="AD341" s="53" t="s">
        <v>3189</v>
      </c>
    </row>
    <row r="342">
      <c r="A342" s="54">
        <v>45775.630030671295</v>
      </c>
      <c r="B342" s="14">
        <f t="shared" si="1"/>
        <v>45775</v>
      </c>
      <c r="C342" s="15" t="s">
        <v>643</v>
      </c>
      <c r="D342" s="15" t="s">
        <v>3190</v>
      </c>
      <c r="E342" s="15" t="str">
        <f t="shared" si="20"/>
        <v>Cheryl Smith</v>
      </c>
      <c r="F342" s="16" t="str">
        <f t="shared" si="18"/>
        <v>(202) 704-0369</v>
      </c>
      <c r="G342" s="66" t="s">
        <v>3191</v>
      </c>
      <c r="H342" s="40" t="s">
        <v>66</v>
      </c>
      <c r="I342" s="50" t="s">
        <v>3072</v>
      </c>
      <c r="J342" s="50" t="s">
        <v>3073</v>
      </c>
      <c r="K342" s="50" t="s">
        <v>3074</v>
      </c>
      <c r="L342" s="50" t="s">
        <v>3075</v>
      </c>
      <c r="M342" s="50" t="s">
        <v>39</v>
      </c>
      <c r="N342" s="52" t="s">
        <v>520</v>
      </c>
      <c r="O342" s="52" t="s">
        <v>1062</v>
      </c>
      <c r="P342" s="52" t="s">
        <v>3192</v>
      </c>
      <c r="Q342" s="52">
        <v>102.0</v>
      </c>
      <c r="R342" s="52">
        <v>20017.0</v>
      </c>
      <c r="S342" s="52" t="s">
        <v>74</v>
      </c>
      <c r="T342" s="52" t="s">
        <v>3193</v>
      </c>
      <c r="U342" s="52">
        <v>1.0</v>
      </c>
      <c r="V342" s="52">
        <v>0.0</v>
      </c>
      <c r="W342" s="52">
        <v>1.0</v>
      </c>
      <c r="X342" s="52" t="s">
        <v>2261</v>
      </c>
      <c r="Y342" s="52" t="s">
        <v>47</v>
      </c>
      <c r="Z342" s="53" t="s">
        <v>166</v>
      </c>
      <c r="AA342" s="53" t="s">
        <v>3194</v>
      </c>
      <c r="AB342" s="52" t="s">
        <v>2069</v>
      </c>
      <c r="AC342" s="52">
        <v>3.0</v>
      </c>
      <c r="AD342" s="53" t="s">
        <v>3195</v>
      </c>
    </row>
    <row r="343">
      <c r="A343" s="54">
        <v>45776.5000752662</v>
      </c>
      <c r="B343" s="14">
        <f t="shared" si="1"/>
        <v>45776</v>
      </c>
      <c r="C343" s="15" t="s">
        <v>643</v>
      </c>
      <c r="D343" s="15" t="s">
        <v>548</v>
      </c>
      <c r="E343" s="15" t="str">
        <f t="shared" si="20"/>
        <v>Charineen Stevenson</v>
      </c>
      <c r="F343" s="16" t="str">
        <f t="shared" si="18"/>
        <v>(267) 356-2789</v>
      </c>
      <c r="G343" s="66" t="s">
        <v>3196</v>
      </c>
      <c r="H343" s="40" t="s">
        <v>66</v>
      </c>
      <c r="I343" s="50" t="s">
        <v>3197</v>
      </c>
      <c r="J343" s="50" t="s">
        <v>2586</v>
      </c>
      <c r="K343" s="50" t="s">
        <v>3198</v>
      </c>
      <c r="L343" s="50" t="s">
        <v>2588</v>
      </c>
      <c r="M343" s="50" t="s">
        <v>39</v>
      </c>
      <c r="N343" s="52" t="s">
        <v>3199</v>
      </c>
      <c r="O343" s="52" t="s">
        <v>3200</v>
      </c>
      <c r="P343" s="52" t="s">
        <v>3201</v>
      </c>
      <c r="Q343" s="52" t="s">
        <v>889</v>
      </c>
      <c r="R343" s="52">
        <v>20032.0</v>
      </c>
      <c r="S343" s="52" t="s">
        <v>44</v>
      </c>
      <c r="T343" s="52" t="s">
        <v>3202</v>
      </c>
      <c r="U343" s="52">
        <v>2.0</v>
      </c>
      <c r="V343" s="52">
        <v>2.0</v>
      </c>
      <c r="W343" s="52">
        <v>4.0</v>
      </c>
      <c r="X343" s="52" t="s">
        <v>2566</v>
      </c>
      <c r="Y343" s="52" t="s">
        <v>85</v>
      </c>
      <c r="Z343" s="53" t="s">
        <v>3203</v>
      </c>
      <c r="AA343" s="53" t="s">
        <v>3204</v>
      </c>
      <c r="AB343" s="52" t="s">
        <v>2059</v>
      </c>
      <c r="AC343" s="52">
        <v>6.0</v>
      </c>
      <c r="AD343" s="53" t="s">
        <v>3205</v>
      </c>
      <c r="AE343" s="61" t="s">
        <v>3206</v>
      </c>
    </row>
    <row r="344">
      <c r="A344" s="54">
        <v>45777.87349398148</v>
      </c>
      <c r="B344" s="14">
        <f t="shared" si="1"/>
        <v>45777</v>
      </c>
      <c r="C344" s="15" t="s">
        <v>643</v>
      </c>
      <c r="D344" s="15" t="s">
        <v>3207</v>
      </c>
      <c r="E344" s="15" t="str">
        <f t="shared" si="20"/>
        <v>Delisa Bryant</v>
      </c>
      <c r="F344" s="16" t="str">
        <f t="shared" si="18"/>
        <v>(202) 471-9549</v>
      </c>
      <c r="G344" s="66" t="s">
        <v>3208</v>
      </c>
      <c r="H344" s="40" t="s">
        <v>103</v>
      </c>
      <c r="I344" s="50" t="s">
        <v>3209</v>
      </c>
      <c r="J344" s="50" t="s">
        <v>3210</v>
      </c>
      <c r="K344" s="50" t="s">
        <v>2274</v>
      </c>
      <c r="L344" s="50" t="s">
        <v>2250</v>
      </c>
      <c r="M344" s="50" t="s">
        <v>39</v>
      </c>
      <c r="N344" s="52" t="s">
        <v>3211</v>
      </c>
      <c r="O344" s="52" t="s">
        <v>3212</v>
      </c>
      <c r="P344" s="52" t="s">
        <v>3213</v>
      </c>
      <c r="Q344" s="59"/>
      <c r="R344" s="52">
        <v>20017.0</v>
      </c>
      <c r="S344" s="52" t="s">
        <v>74</v>
      </c>
      <c r="T344" s="52" t="s">
        <v>3214</v>
      </c>
      <c r="U344" s="52">
        <v>2.0</v>
      </c>
      <c r="V344" s="52">
        <v>7.0</v>
      </c>
      <c r="W344" s="52">
        <v>9.0</v>
      </c>
      <c r="X344" s="52" t="s">
        <v>2261</v>
      </c>
      <c r="Y344" s="52" t="s">
        <v>85</v>
      </c>
      <c r="Z344" s="53" t="s">
        <v>236</v>
      </c>
      <c r="AA344" s="53" t="s">
        <v>3215</v>
      </c>
      <c r="AB344" s="52" t="s">
        <v>2059</v>
      </c>
      <c r="AC344" s="52">
        <v>12.0</v>
      </c>
      <c r="AD344" s="53" t="s">
        <v>3216</v>
      </c>
    </row>
    <row r="345">
      <c r="A345" s="54">
        <v>45777.961778564815</v>
      </c>
      <c r="B345" s="14">
        <f t="shared" si="1"/>
        <v>45777</v>
      </c>
      <c r="C345" s="15" t="s">
        <v>31</v>
      </c>
      <c r="D345" s="15" t="s">
        <v>3217</v>
      </c>
      <c r="E345" s="15" t="str">
        <f t="shared" si="20"/>
        <v>Shirley Martin </v>
      </c>
      <c r="F345" s="16" t="str">
        <f t="shared" si="18"/>
        <v>(202) 492-4141</v>
      </c>
      <c r="G345" s="66" t="s">
        <v>3033</v>
      </c>
      <c r="H345" s="40" t="s">
        <v>66</v>
      </c>
      <c r="I345" s="50" t="s">
        <v>3209</v>
      </c>
      <c r="J345" s="50" t="s">
        <v>3210</v>
      </c>
      <c r="K345" s="50" t="s">
        <v>2274</v>
      </c>
      <c r="L345" s="50" t="s">
        <v>2250</v>
      </c>
      <c r="M345" s="50" t="s">
        <v>39</v>
      </c>
      <c r="N345" s="52" t="s">
        <v>3218</v>
      </c>
      <c r="O345" s="52" t="s">
        <v>3219</v>
      </c>
      <c r="P345" s="52" t="s">
        <v>3220</v>
      </c>
      <c r="Q345" s="52">
        <v>525.0</v>
      </c>
      <c r="R345" s="52">
        <v>20002.0</v>
      </c>
      <c r="S345" s="52" t="s">
        <v>74</v>
      </c>
      <c r="T345" s="52" t="s">
        <v>3221</v>
      </c>
      <c r="U345" s="52">
        <v>1.0</v>
      </c>
      <c r="V345" s="52">
        <v>0.0</v>
      </c>
      <c r="W345" s="52">
        <v>1.0</v>
      </c>
      <c r="X345" s="52" t="s">
        <v>2605</v>
      </c>
      <c r="Y345" s="52" t="s">
        <v>47</v>
      </c>
      <c r="Z345" s="53" t="s">
        <v>61</v>
      </c>
      <c r="AA345" s="53" t="s">
        <v>3222</v>
      </c>
      <c r="AB345" s="52" t="s">
        <v>2059</v>
      </c>
      <c r="AC345" s="52">
        <v>12.0</v>
      </c>
      <c r="AD345" s="53" t="s">
        <v>3223</v>
      </c>
    </row>
    <row r="346">
      <c r="A346" s="54">
        <v>45782.71367388889</v>
      </c>
      <c r="B346" s="14">
        <f t="shared" si="1"/>
        <v>45782</v>
      </c>
      <c r="C346" s="15" t="s">
        <v>31</v>
      </c>
      <c r="D346" s="15" t="s">
        <v>3224</v>
      </c>
      <c r="E346" s="15" t="str">
        <f t="shared" si="20"/>
        <v>Tenisha Crowe</v>
      </c>
      <c r="F346" s="16" t="str">
        <f t="shared" si="18"/>
        <v>(202) 710-8332</v>
      </c>
      <c r="G346" s="66" t="s">
        <v>3225</v>
      </c>
      <c r="H346" s="40" t="s">
        <v>103</v>
      </c>
      <c r="I346" s="50" t="s">
        <v>606</v>
      </c>
      <c r="J346" s="50" t="s">
        <v>3226</v>
      </c>
      <c r="K346" s="50" t="s">
        <v>607</v>
      </c>
      <c r="L346" s="50" t="s">
        <v>608</v>
      </c>
      <c r="M346" s="50" t="s">
        <v>39</v>
      </c>
      <c r="N346" s="52" t="s">
        <v>3227</v>
      </c>
      <c r="O346" s="52" t="s">
        <v>3228</v>
      </c>
      <c r="P346" s="52" t="s">
        <v>3229</v>
      </c>
      <c r="Q346" s="52" t="s">
        <v>3230</v>
      </c>
      <c r="R346" s="52">
        <v>20003.0</v>
      </c>
      <c r="S346" s="52" t="s">
        <v>44</v>
      </c>
      <c r="T346" s="52" t="s">
        <v>3231</v>
      </c>
      <c r="U346" s="52">
        <v>1.0</v>
      </c>
      <c r="V346" s="52">
        <v>2.0</v>
      </c>
      <c r="W346" s="52">
        <v>3.0</v>
      </c>
      <c r="X346" s="52" t="s">
        <v>2566</v>
      </c>
      <c r="Y346" s="52" t="s">
        <v>85</v>
      </c>
      <c r="Z346" s="53" t="s">
        <v>236</v>
      </c>
      <c r="AA346" s="53" t="s">
        <v>3232</v>
      </c>
      <c r="AB346" s="52" t="s">
        <v>2059</v>
      </c>
      <c r="AC346" s="52">
        <v>12.0</v>
      </c>
      <c r="AD346" s="53" t="s">
        <v>3233</v>
      </c>
    </row>
    <row r="347">
      <c r="A347" s="54">
        <v>45783.5080241088</v>
      </c>
      <c r="B347" s="14">
        <f t="shared" si="1"/>
        <v>45783</v>
      </c>
      <c r="C347" s="15" t="s">
        <v>643</v>
      </c>
      <c r="D347" s="15" t="s">
        <v>3234</v>
      </c>
      <c r="E347" s="15" t="str">
        <f t="shared" si="20"/>
        <v>Derek Gooche</v>
      </c>
      <c r="F347" s="16" t="str">
        <f t="shared" si="18"/>
        <v>(202) 603-4931</v>
      </c>
      <c r="G347" s="66" t="s">
        <v>3235</v>
      </c>
      <c r="H347" s="40" t="s">
        <v>66</v>
      </c>
      <c r="I347" s="50" t="s">
        <v>2237</v>
      </c>
      <c r="J347" s="50" t="s">
        <v>2238</v>
      </c>
      <c r="K347" s="50" t="s">
        <v>2239</v>
      </c>
      <c r="L347" s="50" t="s">
        <v>2240</v>
      </c>
      <c r="M347" s="50" t="s">
        <v>39</v>
      </c>
      <c r="N347" s="52" t="s">
        <v>832</v>
      </c>
      <c r="O347" s="52" t="s">
        <v>3236</v>
      </c>
      <c r="P347" s="52" t="s">
        <v>3237</v>
      </c>
      <c r="Q347" s="52">
        <v>210.0</v>
      </c>
      <c r="R347" s="52">
        <v>20002.0</v>
      </c>
      <c r="S347" s="52" t="s">
        <v>74</v>
      </c>
      <c r="T347" s="52" t="s">
        <v>3238</v>
      </c>
      <c r="U347" s="52">
        <v>1.0</v>
      </c>
      <c r="V347" s="52">
        <v>0.0</v>
      </c>
      <c r="W347" s="52">
        <v>1.0</v>
      </c>
      <c r="X347" s="52" t="s">
        <v>2641</v>
      </c>
      <c r="Y347" s="52" t="s">
        <v>47</v>
      </c>
      <c r="Z347" s="53" t="s">
        <v>122</v>
      </c>
      <c r="AA347" s="53" t="s">
        <v>3239</v>
      </c>
      <c r="AB347" s="52" t="s">
        <v>2069</v>
      </c>
      <c r="AC347" s="52">
        <v>12.0</v>
      </c>
      <c r="AD347" s="53" t="s">
        <v>3240</v>
      </c>
    </row>
    <row r="348">
      <c r="A348" s="54">
        <v>45783.64496608796</v>
      </c>
      <c r="B348" s="14">
        <f t="shared" si="1"/>
        <v>45783</v>
      </c>
      <c r="C348" s="15" t="s">
        <v>643</v>
      </c>
      <c r="D348" s="15" t="s">
        <v>3241</v>
      </c>
      <c r="E348" s="58" t="str">
        <f t="shared" si="20"/>
        <v>Jerry Kidd</v>
      </c>
      <c r="F348" s="16" t="str">
        <f t="shared" si="18"/>
        <v>(202) 892-8202</v>
      </c>
      <c r="G348" s="66" t="s">
        <v>3242</v>
      </c>
      <c r="H348" s="40" t="s">
        <v>66</v>
      </c>
      <c r="I348" s="50" t="s">
        <v>3243</v>
      </c>
      <c r="J348" s="50" t="s">
        <v>3244</v>
      </c>
      <c r="K348" s="50" t="s">
        <v>3245</v>
      </c>
      <c r="L348" s="50" t="s">
        <v>3246</v>
      </c>
      <c r="M348" s="50" t="s">
        <v>39</v>
      </c>
      <c r="N348" s="52" t="s">
        <v>809</v>
      </c>
      <c r="O348" s="52" t="s">
        <v>3247</v>
      </c>
      <c r="P348" s="52" t="s">
        <v>3248</v>
      </c>
      <c r="Q348" s="52">
        <v>528.0</v>
      </c>
      <c r="R348" s="52">
        <v>20001.0</v>
      </c>
      <c r="S348" s="52" t="s">
        <v>59</v>
      </c>
      <c r="T348" s="52" t="s">
        <v>3249</v>
      </c>
      <c r="U348" s="52">
        <v>1.0</v>
      </c>
      <c r="V348" s="52">
        <v>0.0</v>
      </c>
      <c r="W348" s="52">
        <v>1.0</v>
      </c>
      <c r="X348" s="52" t="s">
        <v>2700</v>
      </c>
      <c r="Y348" s="52" t="s">
        <v>47</v>
      </c>
      <c r="Z348" s="53" t="s">
        <v>3250</v>
      </c>
      <c r="AA348" s="65" t="s">
        <v>3251</v>
      </c>
      <c r="AB348" s="52" t="s">
        <v>2059</v>
      </c>
      <c r="AC348" s="52">
        <v>12.0</v>
      </c>
      <c r="AD348" s="53" t="s">
        <v>3252</v>
      </c>
    </row>
    <row r="349">
      <c r="A349" s="54">
        <v>45784.61053917824</v>
      </c>
      <c r="B349" s="14">
        <f t="shared" si="1"/>
        <v>45784</v>
      </c>
      <c r="C349" s="15" t="s">
        <v>31</v>
      </c>
      <c r="D349" s="15" t="s">
        <v>3253</v>
      </c>
      <c r="E349" s="15" t="str">
        <f t="shared" si="20"/>
        <v>Dwain Butler</v>
      </c>
      <c r="F349" s="16" t="str">
        <f t="shared" si="18"/>
        <v>(202) 341-2571</v>
      </c>
      <c r="G349" s="66" t="s">
        <v>3254</v>
      </c>
      <c r="H349" s="40" t="s">
        <v>103</v>
      </c>
      <c r="I349" s="50" t="s">
        <v>3255</v>
      </c>
      <c r="J349" s="50" t="s">
        <v>3256</v>
      </c>
      <c r="K349" s="50" t="s">
        <v>3257</v>
      </c>
      <c r="L349" s="50" t="s">
        <v>3258</v>
      </c>
      <c r="M349" s="50" t="s">
        <v>39</v>
      </c>
      <c r="N349" s="52" t="s">
        <v>3259</v>
      </c>
      <c r="O349" s="52" t="s">
        <v>3260</v>
      </c>
      <c r="P349" s="52" t="s">
        <v>3261</v>
      </c>
      <c r="Q349" s="52" t="s">
        <v>3262</v>
      </c>
      <c r="R349" s="52">
        <v>20032.0</v>
      </c>
      <c r="S349" s="52" t="s">
        <v>44</v>
      </c>
      <c r="T349" s="52" t="s">
        <v>3263</v>
      </c>
      <c r="U349" s="52">
        <v>1.0</v>
      </c>
      <c r="V349" s="52">
        <v>0.0</v>
      </c>
      <c r="W349" s="52">
        <v>1.0</v>
      </c>
      <c r="X349" s="52" t="s">
        <v>2641</v>
      </c>
      <c r="Y349" s="52" t="s">
        <v>47</v>
      </c>
      <c r="Z349" s="53" t="s">
        <v>48</v>
      </c>
      <c r="AA349" s="53" t="s">
        <v>3264</v>
      </c>
      <c r="AB349" s="52" t="s">
        <v>2059</v>
      </c>
      <c r="AC349" s="52">
        <v>12.0</v>
      </c>
      <c r="AD349" s="53" t="s">
        <v>3265</v>
      </c>
    </row>
    <row r="350">
      <c r="A350" s="54">
        <v>45784.6782549537</v>
      </c>
      <c r="B350" s="14">
        <f t="shared" si="1"/>
        <v>45784</v>
      </c>
      <c r="C350" s="15" t="s">
        <v>643</v>
      </c>
      <c r="D350" s="15" t="s">
        <v>3266</v>
      </c>
      <c r="E350" s="15" t="str">
        <f t="shared" si="20"/>
        <v>Maurice  West</v>
      </c>
      <c r="F350" s="16" t="str">
        <f t="shared" si="18"/>
        <v>(202) 946-9554</v>
      </c>
      <c r="G350" s="66" t="s">
        <v>3267</v>
      </c>
      <c r="H350" s="40" t="s">
        <v>66</v>
      </c>
      <c r="I350" s="50" t="s">
        <v>3268</v>
      </c>
      <c r="J350" s="50" t="s">
        <v>3269</v>
      </c>
      <c r="K350" s="50" t="s">
        <v>3270</v>
      </c>
      <c r="L350" s="50" t="s">
        <v>3271</v>
      </c>
      <c r="M350" s="50" t="s">
        <v>39</v>
      </c>
      <c r="N350" s="52" t="s">
        <v>3272</v>
      </c>
      <c r="O350" s="52" t="s">
        <v>3273</v>
      </c>
      <c r="P350" s="52" t="s">
        <v>3274</v>
      </c>
      <c r="Q350" s="59"/>
      <c r="R350" s="52">
        <v>20020.0</v>
      </c>
      <c r="S350" s="52" t="s">
        <v>44</v>
      </c>
      <c r="T350" s="52" t="s">
        <v>3275</v>
      </c>
      <c r="U350" s="52">
        <v>2.0</v>
      </c>
      <c r="V350" s="52">
        <v>2.0</v>
      </c>
      <c r="W350" s="52">
        <v>4.0</v>
      </c>
      <c r="X350" s="52" t="s">
        <v>2594</v>
      </c>
      <c r="Y350" s="52" t="s">
        <v>85</v>
      </c>
      <c r="Z350" s="53" t="s">
        <v>361</v>
      </c>
      <c r="AA350" s="53" t="s">
        <v>3276</v>
      </c>
      <c r="AB350" s="52" t="s">
        <v>2069</v>
      </c>
      <c r="AC350" s="52">
        <v>12.0</v>
      </c>
      <c r="AD350" s="53" t="s">
        <v>3277</v>
      </c>
    </row>
    <row r="351">
      <c r="A351" s="54">
        <v>45784.743723287036</v>
      </c>
      <c r="B351" s="14">
        <f t="shared" si="1"/>
        <v>45784</v>
      </c>
      <c r="C351" s="15" t="s">
        <v>31</v>
      </c>
      <c r="D351" s="15" t="s">
        <v>3278</v>
      </c>
      <c r="E351" s="15" t="str">
        <f t="shared" si="20"/>
        <v>Stephanie Taylor</v>
      </c>
      <c r="F351" s="16" t="str">
        <f t="shared" si="18"/>
        <v>(202) 617-5498</v>
      </c>
      <c r="G351" s="66" t="s">
        <v>3279</v>
      </c>
      <c r="H351" s="40" t="s">
        <v>356</v>
      </c>
      <c r="I351" s="50" t="s">
        <v>3280</v>
      </c>
      <c r="J351" s="50" t="s">
        <v>3281</v>
      </c>
      <c r="K351" s="50" t="s">
        <v>543</v>
      </c>
      <c r="L351" s="50" t="s">
        <v>3282</v>
      </c>
      <c r="M351" s="50" t="s">
        <v>39</v>
      </c>
      <c r="N351" s="52" t="s">
        <v>2552</v>
      </c>
      <c r="O351" s="52" t="s">
        <v>2065</v>
      </c>
      <c r="P351" s="52" t="s">
        <v>1874</v>
      </c>
      <c r="Q351" s="52">
        <v>226.0</v>
      </c>
      <c r="R351" s="52">
        <v>20003.0</v>
      </c>
      <c r="S351" s="52" t="s">
        <v>44</v>
      </c>
      <c r="T351" s="52" t="s">
        <v>3283</v>
      </c>
      <c r="U351" s="52">
        <v>1.0</v>
      </c>
      <c r="V351" s="52">
        <v>0.0</v>
      </c>
      <c r="W351" s="52">
        <v>1.0</v>
      </c>
      <c r="X351" s="52" t="s">
        <v>2632</v>
      </c>
      <c r="Y351" s="52" t="s">
        <v>47</v>
      </c>
      <c r="Z351" s="53" t="s">
        <v>122</v>
      </c>
      <c r="AA351" s="53" t="s">
        <v>3284</v>
      </c>
      <c r="AB351" s="52" t="s">
        <v>2069</v>
      </c>
      <c r="AC351" s="52">
        <v>12.0</v>
      </c>
      <c r="AD351" s="53" t="s">
        <v>3285</v>
      </c>
    </row>
    <row r="352">
      <c r="A352" s="54">
        <v>45785.62515706019</v>
      </c>
      <c r="B352" s="14">
        <f t="shared" si="1"/>
        <v>45785</v>
      </c>
      <c r="C352" s="15" t="s">
        <v>643</v>
      </c>
      <c r="D352" s="15" t="s">
        <v>3286</v>
      </c>
      <c r="E352" s="15" t="str">
        <f t="shared" si="20"/>
        <v>Leah Clarke</v>
      </c>
      <c r="F352" s="16" t="str">
        <f t="shared" si="18"/>
        <v>(202) 506-5736</v>
      </c>
      <c r="G352" s="66" t="s">
        <v>3287</v>
      </c>
      <c r="H352" s="40" t="s">
        <v>103</v>
      </c>
      <c r="I352" s="50" t="s">
        <v>3288</v>
      </c>
      <c r="J352" s="50" t="s">
        <v>3289</v>
      </c>
      <c r="K352" s="50" t="s">
        <v>160</v>
      </c>
      <c r="L352" s="50" t="s">
        <v>2502</v>
      </c>
      <c r="M352" s="50" t="s">
        <v>39</v>
      </c>
      <c r="N352" s="52" t="s">
        <v>3290</v>
      </c>
      <c r="O352" s="52" t="s">
        <v>3291</v>
      </c>
      <c r="P352" s="52" t="s">
        <v>3292</v>
      </c>
      <c r="Q352" s="52">
        <v>214.0</v>
      </c>
      <c r="R352" s="52">
        <v>20011.0</v>
      </c>
      <c r="S352" s="52" t="s">
        <v>59</v>
      </c>
      <c r="T352" s="52" t="s">
        <v>3293</v>
      </c>
      <c r="U352" s="52">
        <v>1.0</v>
      </c>
      <c r="V352" s="52">
        <v>0.0</v>
      </c>
      <c r="W352" s="52">
        <v>1.0</v>
      </c>
      <c r="X352" s="52" t="s">
        <v>2700</v>
      </c>
      <c r="Y352" s="52" t="s">
        <v>47</v>
      </c>
      <c r="Z352" s="53" t="s">
        <v>458</v>
      </c>
      <c r="AA352" s="53" t="s">
        <v>3294</v>
      </c>
      <c r="AB352" s="52" t="s">
        <v>2059</v>
      </c>
      <c r="AC352" s="52">
        <v>12.0</v>
      </c>
      <c r="AD352" s="53" t="s">
        <v>3295</v>
      </c>
    </row>
    <row r="353">
      <c r="A353" s="54">
        <v>45953.60024204861</v>
      </c>
      <c r="B353" s="14">
        <f t="shared" si="1"/>
        <v>45953</v>
      </c>
      <c r="C353" s="15" t="s">
        <v>643</v>
      </c>
      <c r="D353" s="15" t="s">
        <v>3296</v>
      </c>
      <c r="E353" s="15" t="str">
        <f t="shared" si="20"/>
        <v>Desi Cureton</v>
      </c>
      <c r="F353" s="16" t="str">
        <f t="shared" si="18"/>
        <v>(202) 306-3489</v>
      </c>
      <c r="G353" s="66" t="s">
        <v>3287</v>
      </c>
      <c r="H353" s="40" t="s">
        <v>103</v>
      </c>
      <c r="I353" s="50" t="s">
        <v>3288</v>
      </c>
      <c r="J353" s="50" t="s">
        <v>3297</v>
      </c>
      <c r="K353" s="50" t="s">
        <v>160</v>
      </c>
      <c r="L353" s="50" t="s">
        <v>2502</v>
      </c>
      <c r="M353" s="50" t="s">
        <v>39</v>
      </c>
      <c r="N353" s="52" t="s">
        <v>3298</v>
      </c>
      <c r="O353" s="52" t="s">
        <v>3299</v>
      </c>
      <c r="P353" s="52" t="s">
        <v>3300</v>
      </c>
      <c r="Q353" s="52">
        <v>410.0</v>
      </c>
      <c r="R353" s="52">
        <v>20011.0</v>
      </c>
      <c r="S353" s="52" t="s">
        <v>59</v>
      </c>
      <c r="T353" s="52" t="s">
        <v>2502</v>
      </c>
      <c r="U353" s="52">
        <v>1.0</v>
      </c>
      <c r="V353" s="52">
        <v>0.0</v>
      </c>
      <c r="W353" s="52">
        <v>1.0</v>
      </c>
      <c r="X353" s="52" t="s">
        <v>2605</v>
      </c>
      <c r="Y353" s="52" t="s">
        <v>47</v>
      </c>
      <c r="Z353" s="53" t="s">
        <v>61</v>
      </c>
      <c r="AA353" s="53" t="s">
        <v>3301</v>
      </c>
      <c r="AB353" s="52" t="s">
        <v>2059</v>
      </c>
      <c r="AC353" s="52">
        <v>12.0</v>
      </c>
      <c r="AD353" s="53" t="s">
        <v>3302</v>
      </c>
    </row>
    <row r="354">
      <c r="A354" s="54">
        <v>45786.409049375</v>
      </c>
      <c r="B354" s="14">
        <f t="shared" si="1"/>
        <v>45786</v>
      </c>
      <c r="C354" s="15" t="s">
        <v>643</v>
      </c>
      <c r="D354" s="15" t="s">
        <v>3303</v>
      </c>
      <c r="E354" s="15" t="str">
        <f t="shared" si="20"/>
        <v>Edy Chamoun</v>
      </c>
      <c r="F354" s="16" t="str">
        <f t="shared" si="18"/>
        <v>(771) 217-1840</v>
      </c>
      <c r="G354" s="66" t="s">
        <v>3304</v>
      </c>
      <c r="H354" s="40" t="s">
        <v>103</v>
      </c>
      <c r="I354" s="50" t="s">
        <v>3305</v>
      </c>
      <c r="J354" s="50" t="s">
        <v>3306</v>
      </c>
      <c r="K354" s="50" t="s">
        <v>1871</v>
      </c>
      <c r="L354" s="50" t="s">
        <v>3307</v>
      </c>
      <c r="M354" s="50" t="s">
        <v>39</v>
      </c>
      <c r="N354" s="52" t="s">
        <v>3308</v>
      </c>
      <c r="O354" s="52" t="s">
        <v>3309</v>
      </c>
      <c r="P354" s="52" t="s">
        <v>3310</v>
      </c>
      <c r="Q354" s="52">
        <v>309.0</v>
      </c>
      <c r="R354" s="52">
        <v>20003.0</v>
      </c>
      <c r="S354" s="52" t="s">
        <v>44</v>
      </c>
      <c r="T354" s="52" t="s">
        <v>3311</v>
      </c>
      <c r="U354" s="52">
        <v>2.0</v>
      </c>
      <c r="V354" s="52">
        <v>0.0</v>
      </c>
      <c r="W354" s="52">
        <v>2.0</v>
      </c>
      <c r="X354" s="52" t="s">
        <v>2700</v>
      </c>
      <c r="Y354" s="52" t="s">
        <v>47</v>
      </c>
      <c r="Z354" s="53" t="s">
        <v>3312</v>
      </c>
      <c r="AA354" s="53" t="s">
        <v>3313</v>
      </c>
      <c r="AB354" s="52" t="s">
        <v>2059</v>
      </c>
      <c r="AC354" s="52">
        <v>6.0</v>
      </c>
      <c r="AD354" s="53" t="s">
        <v>3314</v>
      </c>
      <c r="AE354" s="61" t="s">
        <v>3315</v>
      </c>
    </row>
    <row r="355">
      <c r="A355" s="54">
        <v>45789.4127572338</v>
      </c>
      <c r="B355" s="14">
        <f t="shared" si="1"/>
        <v>45789</v>
      </c>
      <c r="C355" s="15" t="s">
        <v>643</v>
      </c>
      <c r="D355" s="15" t="s">
        <v>1945</v>
      </c>
      <c r="E355" s="58" t="str">
        <f t="shared" si="20"/>
        <v>Mary  Chaney</v>
      </c>
      <c r="F355" s="16" t="str">
        <f t="shared" si="18"/>
        <v>(202) 845-1411</v>
      </c>
      <c r="G355" s="66" t="s">
        <v>3316</v>
      </c>
      <c r="H355" s="40" t="s">
        <v>103</v>
      </c>
      <c r="I355" s="50" t="s">
        <v>2538</v>
      </c>
      <c r="J355" s="50" t="s">
        <v>2539</v>
      </c>
      <c r="K355" s="50" t="s">
        <v>2646</v>
      </c>
      <c r="L355" s="50" t="s">
        <v>2540</v>
      </c>
      <c r="M355" s="50" t="s">
        <v>39</v>
      </c>
      <c r="N355" s="52" t="s">
        <v>3317</v>
      </c>
      <c r="O355" s="52" t="s">
        <v>3318</v>
      </c>
      <c r="P355" s="52" t="s">
        <v>3319</v>
      </c>
      <c r="Q355" s="52" t="s">
        <v>3320</v>
      </c>
      <c r="R355" s="52">
        <v>20020.0</v>
      </c>
      <c r="S355" s="52" t="s">
        <v>44</v>
      </c>
      <c r="T355" s="52" t="s">
        <v>3321</v>
      </c>
      <c r="U355" s="52">
        <v>1.0</v>
      </c>
      <c r="V355" s="52">
        <v>0.0</v>
      </c>
      <c r="W355" s="52">
        <v>1.0</v>
      </c>
      <c r="X355" s="52" t="s">
        <v>2605</v>
      </c>
      <c r="Y355" s="52" t="s">
        <v>47</v>
      </c>
      <c r="Z355" s="53" t="s">
        <v>61</v>
      </c>
      <c r="AA355" s="65" t="s">
        <v>3322</v>
      </c>
      <c r="AB355" s="52" t="s">
        <v>2069</v>
      </c>
      <c r="AC355" s="52">
        <v>6.0</v>
      </c>
      <c r="AD355" s="53" t="s">
        <v>3323</v>
      </c>
    </row>
    <row r="356">
      <c r="A356" s="54">
        <v>45789.42028530093</v>
      </c>
      <c r="B356" s="14">
        <f t="shared" si="1"/>
        <v>45789</v>
      </c>
      <c r="C356" s="15" t="s">
        <v>643</v>
      </c>
      <c r="D356" s="15" t="s">
        <v>2899</v>
      </c>
      <c r="E356" s="58" t="str">
        <f t="shared" si="20"/>
        <v>Veronica  Ambrose</v>
      </c>
      <c r="F356" s="16" t="str">
        <f t="shared" si="18"/>
        <v>(202) 744-4073</v>
      </c>
      <c r="G356" s="66" t="s">
        <v>3324</v>
      </c>
      <c r="H356" s="40" t="s">
        <v>66</v>
      </c>
      <c r="I356" s="50" t="s">
        <v>2538</v>
      </c>
      <c r="J356" s="50" t="s">
        <v>2539</v>
      </c>
      <c r="K356" s="50" t="s">
        <v>2646</v>
      </c>
      <c r="L356" s="50" t="s">
        <v>2540</v>
      </c>
      <c r="M356" s="50" t="s">
        <v>39</v>
      </c>
      <c r="N356" s="52" t="s">
        <v>3325</v>
      </c>
      <c r="O356" s="52" t="s">
        <v>723</v>
      </c>
      <c r="P356" s="52" t="s">
        <v>3326</v>
      </c>
      <c r="Q356" s="59"/>
      <c r="R356" s="52">
        <v>20020.0</v>
      </c>
      <c r="S356" s="52" t="s">
        <v>44</v>
      </c>
      <c r="T356" s="52" t="s">
        <v>2903</v>
      </c>
      <c r="U356" s="52">
        <v>2.0</v>
      </c>
      <c r="V356" s="52">
        <v>2.0</v>
      </c>
      <c r="W356" s="52">
        <v>4.0</v>
      </c>
      <c r="X356" s="52" t="s">
        <v>2605</v>
      </c>
      <c r="Y356" s="52" t="s">
        <v>47</v>
      </c>
      <c r="Z356" s="53" t="s">
        <v>61</v>
      </c>
      <c r="AA356" s="65" t="s">
        <v>3327</v>
      </c>
      <c r="AB356" s="52" t="s">
        <v>2069</v>
      </c>
      <c r="AC356" s="52">
        <v>7.0</v>
      </c>
      <c r="AD356" s="53" t="s">
        <v>3328</v>
      </c>
    </row>
    <row r="357">
      <c r="A357" s="54">
        <v>45789.678206296296</v>
      </c>
      <c r="B357" s="14">
        <f t="shared" si="1"/>
        <v>45789</v>
      </c>
      <c r="C357" s="15" t="s">
        <v>31</v>
      </c>
      <c r="D357" s="15" t="s">
        <v>3329</v>
      </c>
      <c r="E357" s="15" t="str">
        <f t="shared" si="20"/>
        <v>Oscar Perla</v>
      </c>
      <c r="F357" s="16" t="str">
        <f t="shared" si="18"/>
        <v>(240) 614-9809</v>
      </c>
      <c r="G357" s="66" t="s">
        <v>3033</v>
      </c>
      <c r="H357" s="40" t="s">
        <v>66</v>
      </c>
      <c r="I357" s="50" t="s">
        <v>1953</v>
      </c>
      <c r="J357" s="50" t="s">
        <v>841</v>
      </c>
      <c r="K357" s="50" t="s">
        <v>2303</v>
      </c>
      <c r="L357" s="50" t="s">
        <v>2304</v>
      </c>
      <c r="M357" s="50" t="s">
        <v>39</v>
      </c>
      <c r="N357" s="52" t="s">
        <v>3330</v>
      </c>
      <c r="O357" s="52" t="s">
        <v>3331</v>
      </c>
      <c r="P357" s="52" t="s">
        <v>3332</v>
      </c>
      <c r="Q357" s="59"/>
      <c r="R357" s="52">
        <v>20011.0</v>
      </c>
      <c r="S357" s="52" t="s">
        <v>59</v>
      </c>
      <c r="T357" s="52" t="s">
        <v>3333</v>
      </c>
      <c r="U357" s="52">
        <v>4.0</v>
      </c>
      <c r="V357" s="52">
        <v>1.0</v>
      </c>
      <c r="W357" s="52">
        <v>5.0</v>
      </c>
      <c r="X357" s="52" t="s">
        <v>2641</v>
      </c>
      <c r="Y357" s="52" t="s">
        <v>47</v>
      </c>
      <c r="Z357" s="52" t="s">
        <v>61</v>
      </c>
      <c r="AA357" s="53" t="s">
        <v>3334</v>
      </c>
      <c r="AB357" s="52" t="s">
        <v>2751</v>
      </c>
      <c r="AC357" s="52">
        <v>3.0</v>
      </c>
      <c r="AD357" s="53" t="s">
        <v>3335</v>
      </c>
    </row>
    <row r="358">
      <c r="A358" s="54">
        <v>45791.6235684375</v>
      </c>
      <c r="B358" s="14">
        <f t="shared" si="1"/>
        <v>45791</v>
      </c>
      <c r="C358" s="15" t="s">
        <v>31</v>
      </c>
      <c r="D358" s="15" t="s">
        <v>3336</v>
      </c>
      <c r="E358" s="15" t="str">
        <f t="shared" si="20"/>
        <v>Tracy Carpenter</v>
      </c>
      <c r="F358" s="16" t="str">
        <f t="shared" si="18"/>
        <v>(202) 617-0434</v>
      </c>
      <c r="G358" s="66" t="s">
        <v>3337</v>
      </c>
      <c r="H358" s="40" t="s">
        <v>103</v>
      </c>
      <c r="I358" s="50" t="s">
        <v>3280</v>
      </c>
      <c r="J358" s="50" t="s">
        <v>3281</v>
      </c>
      <c r="K358" s="50" t="s">
        <v>543</v>
      </c>
      <c r="L358" s="50" t="s">
        <v>3282</v>
      </c>
      <c r="M358" s="50" t="s">
        <v>39</v>
      </c>
      <c r="N358" s="52" t="s">
        <v>40</v>
      </c>
      <c r="O358" s="52" t="s">
        <v>3338</v>
      </c>
      <c r="P358" s="52" t="s">
        <v>1874</v>
      </c>
      <c r="Q358" s="52">
        <v>308.0</v>
      </c>
      <c r="R358" s="52">
        <v>20003.0</v>
      </c>
      <c r="S358" s="52" t="s">
        <v>44</v>
      </c>
      <c r="T358" s="52" t="s">
        <v>3339</v>
      </c>
      <c r="U358" s="52">
        <v>1.0</v>
      </c>
      <c r="V358" s="52">
        <v>0.0</v>
      </c>
      <c r="W358" s="52">
        <v>1.0</v>
      </c>
      <c r="X358" s="52" t="s">
        <v>2261</v>
      </c>
      <c r="Y358" s="52" t="s">
        <v>47</v>
      </c>
      <c r="Z358" s="52" t="s">
        <v>166</v>
      </c>
      <c r="AA358" s="53" t="s">
        <v>3340</v>
      </c>
      <c r="AB358" s="52" t="s">
        <v>2069</v>
      </c>
      <c r="AC358" s="52">
        <v>12.0</v>
      </c>
      <c r="AD358" s="53" t="s">
        <v>3341</v>
      </c>
    </row>
    <row r="359">
      <c r="A359" s="54">
        <v>45793.41912211805</v>
      </c>
      <c r="B359" s="14">
        <f t="shared" si="1"/>
        <v>45793</v>
      </c>
      <c r="C359" s="15" t="s">
        <v>643</v>
      </c>
      <c r="D359" s="15" t="s">
        <v>3342</v>
      </c>
      <c r="E359" s="15" t="str">
        <f t="shared" si="20"/>
        <v>Yvonne Simpson</v>
      </c>
      <c r="F359" s="16" t="str">
        <f t="shared" si="18"/>
        <v>(202) 200-8179</v>
      </c>
      <c r="G359" s="66" t="s">
        <v>3343</v>
      </c>
      <c r="H359" s="40" t="s">
        <v>103</v>
      </c>
      <c r="I359" s="50" t="s">
        <v>1688</v>
      </c>
      <c r="J359" s="50" t="s">
        <v>2010</v>
      </c>
      <c r="K359" s="50" t="s">
        <v>2011</v>
      </c>
      <c r="L359" s="50" t="s">
        <v>3344</v>
      </c>
      <c r="M359" s="50" t="s">
        <v>39</v>
      </c>
      <c r="N359" s="52" t="s">
        <v>400</v>
      </c>
      <c r="O359" s="52" t="s">
        <v>3345</v>
      </c>
      <c r="P359" s="52" t="s">
        <v>3346</v>
      </c>
      <c r="Q359" s="52">
        <v>9.0</v>
      </c>
      <c r="R359" s="52">
        <v>20010.0</v>
      </c>
      <c r="S359" s="52" t="s">
        <v>59</v>
      </c>
      <c r="T359" s="52" t="s">
        <v>3347</v>
      </c>
      <c r="U359" s="52">
        <v>1.0</v>
      </c>
      <c r="V359" s="52">
        <v>0.0</v>
      </c>
      <c r="W359" s="52">
        <v>1.0</v>
      </c>
      <c r="X359" s="52" t="s">
        <v>2605</v>
      </c>
      <c r="Y359" s="52" t="s">
        <v>47</v>
      </c>
      <c r="Z359" s="52" t="s">
        <v>458</v>
      </c>
      <c r="AA359" s="53" t="s">
        <v>3348</v>
      </c>
      <c r="AB359" s="52" t="s">
        <v>2059</v>
      </c>
      <c r="AC359" s="52">
        <v>12.0</v>
      </c>
      <c r="AD359" s="53" t="s">
        <v>3349</v>
      </c>
    </row>
    <row r="360">
      <c r="A360" s="54">
        <v>45796.52844517361</v>
      </c>
      <c r="B360" s="14">
        <f t="shared" si="1"/>
        <v>45796</v>
      </c>
      <c r="C360" s="15" t="s">
        <v>31</v>
      </c>
      <c r="D360" s="15" t="s">
        <v>3350</v>
      </c>
      <c r="E360" s="15" t="str">
        <f t="shared" si="20"/>
        <v>Thomas Vitaliy</v>
      </c>
      <c r="F360" s="16" t="str">
        <f t="shared" si="18"/>
        <v>(410) 463-1534</v>
      </c>
      <c r="G360" s="66" t="s">
        <v>3351</v>
      </c>
      <c r="H360" s="40" t="s">
        <v>34</v>
      </c>
      <c r="I360" s="50" t="s">
        <v>3352</v>
      </c>
      <c r="J360" s="50" t="s">
        <v>3353</v>
      </c>
      <c r="K360" s="50" t="s">
        <v>3354</v>
      </c>
      <c r="L360" s="50" t="s">
        <v>3355</v>
      </c>
      <c r="M360" s="50" t="s">
        <v>39</v>
      </c>
      <c r="N360" s="52" t="s">
        <v>241</v>
      </c>
      <c r="O360" s="52" t="s">
        <v>3356</v>
      </c>
      <c r="P360" s="52" t="s">
        <v>3357</v>
      </c>
      <c r="Q360" s="52">
        <v>604.0</v>
      </c>
      <c r="R360" s="52">
        <v>20008.0</v>
      </c>
      <c r="S360" s="52" t="s">
        <v>59</v>
      </c>
      <c r="T360" s="52" t="s">
        <v>3358</v>
      </c>
      <c r="U360" s="52">
        <v>2.0</v>
      </c>
      <c r="V360" s="52">
        <v>1.0</v>
      </c>
      <c r="W360" s="52">
        <v>3.0</v>
      </c>
      <c r="X360" s="52" t="s">
        <v>2566</v>
      </c>
      <c r="Y360" s="52" t="s">
        <v>47</v>
      </c>
      <c r="Z360" s="52" t="s">
        <v>48</v>
      </c>
      <c r="AA360" s="53" t="s">
        <v>3359</v>
      </c>
      <c r="AB360" s="52" t="s">
        <v>2069</v>
      </c>
      <c r="AC360" s="52">
        <v>1.0</v>
      </c>
      <c r="AD360" s="53" t="s">
        <v>3360</v>
      </c>
    </row>
    <row r="361">
      <c r="A361" s="54">
        <v>45797.49423768518</v>
      </c>
      <c r="B361" s="14">
        <f t="shared" si="1"/>
        <v>45797</v>
      </c>
      <c r="C361" s="15" t="s">
        <v>31</v>
      </c>
      <c r="D361" s="15" t="s">
        <v>3361</v>
      </c>
      <c r="E361" s="15" t="str">
        <f t="shared" si="20"/>
        <v>Iesha White</v>
      </c>
      <c r="F361" s="16" t="str">
        <f t="shared" si="18"/>
        <v>(227) 238-9820</v>
      </c>
      <c r="G361" s="66" t="s">
        <v>3362</v>
      </c>
      <c r="H361" s="40" t="s">
        <v>103</v>
      </c>
      <c r="I361" s="50" t="s">
        <v>3363</v>
      </c>
      <c r="J361" s="50" t="s">
        <v>3364</v>
      </c>
      <c r="K361" s="50" t="s">
        <v>3365</v>
      </c>
      <c r="L361" s="50" t="s">
        <v>3366</v>
      </c>
      <c r="M361" s="50" t="s">
        <v>39</v>
      </c>
      <c r="N361" s="52" t="s">
        <v>3367</v>
      </c>
      <c r="O361" s="52" t="s">
        <v>3368</v>
      </c>
      <c r="P361" s="52" t="s">
        <v>3369</v>
      </c>
      <c r="Q361" s="52" t="s">
        <v>3370</v>
      </c>
      <c r="R361" s="52">
        <v>20019.0</v>
      </c>
      <c r="S361" s="52" t="s">
        <v>44</v>
      </c>
      <c r="T361" s="52" t="s">
        <v>3371</v>
      </c>
      <c r="U361" s="52">
        <v>3.0</v>
      </c>
      <c r="V361" s="52">
        <v>1.0</v>
      </c>
      <c r="W361" s="52">
        <v>4.0</v>
      </c>
      <c r="X361" s="52" t="s">
        <v>2632</v>
      </c>
      <c r="Y361" s="52" t="s">
        <v>47</v>
      </c>
      <c r="Z361" s="52" t="s">
        <v>458</v>
      </c>
      <c r="AA361" s="53" t="s">
        <v>3372</v>
      </c>
      <c r="AB361" s="52" t="s">
        <v>2059</v>
      </c>
      <c r="AC361" s="52">
        <v>12.0</v>
      </c>
      <c r="AD361" s="53" t="s">
        <v>3373</v>
      </c>
    </row>
    <row r="362">
      <c r="A362" s="54">
        <v>45797.50424659722</v>
      </c>
      <c r="B362" s="14">
        <f t="shared" si="1"/>
        <v>45797</v>
      </c>
      <c r="C362" s="15" t="s">
        <v>230</v>
      </c>
      <c r="D362" s="15" t="s">
        <v>3374</v>
      </c>
      <c r="E362" s="15" t="str">
        <f t="shared" si="20"/>
        <v>Lakesha Mason</v>
      </c>
      <c r="F362" s="16" t="str">
        <f t="shared" si="18"/>
        <v>(202) 520-6115</v>
      </c>
      <c r="G362" s="66" t="s">
        <v>3375</v>
      </c>
      <c r="H362" s="40" t="s">
        <v>66</v>
      </c>
      <c r="I362" s="50" t="s">
        <v>3376</v>
      </c>
      <c r="J362" s="50" t="s">
        <v>3377</v>
      </c>
      <c r="K362" s="50" t="s">
        <v>3378</v>
      </c>
      <c r="L362" s="50" t="s">
        <v>3379</v>
      </c>
      <c r="M362" s="50" t="s">
        <v>39</v>
      </c>
      <c r="N362" s="52" t="s">
        <v>3380</v>
      </c>
      <c r="O362" s="52" t="s">
        <v>2391</v>
      </c>
      <c r="P362" s="52" t="s">
        <v>3381</v>
      </c>
      <c r="Q362" s="59"/>
      <c r="R362" s="52">
        <v>20011.0</v>
      </c>
      <c r="S362" s="52" t="s">
        <v>59</v>
      </c>
      <c r="T362" s="52" t="s">
        <v>3382</v>
      </c>
      <c r="U362" s="52">
        <v>1.0</v>
      </c>
      <c r="V362" s="52">
        <v>3.0</v>
      </c>
      <c r="W362" s="52">
        <v>4.0</v>
      </c>
      <c r="X362" s="52" t="s">
        <v>2632</v>
      </c>
      <c r="Y362" s="52" t="s">
        <v>85</v>
      </c>
      <c r="Z362" s="52" t="s">
        <v>166</v>
      </c>
      <c r="AA362" s="53" t="s">
        <v>3383</v>
      </c>
      <c r="AB362" s="52" t="s">
        <v>2059</v>
      </c>
      <c r="AC362" s="52">
        <v>10.0</v>
      </c>
      <c r="AD362" s="53" t="s">
        <v>3384</v>
      </c>
    </row>
    <row r="363">
      <c r="A363" s="54">
        <v>45797.64312633102</v>
      </c>
      <c r="B363" s="14">
        <f t="shared" si="1"/>
        <v>45797</v>
      </c>
      <c r="C363" s="15" t="s">
        <v>643</v>
      </c>
      <c r="D363" s="15" t="s">
        <v>3385</v>
      </c>
      <c r="E363" s="58" t="str">
        <f t="shared" si="20"/>
        <v>Kitty Kohli</v>
      </c>
      <c r="F363" s="16" t="str">
        <f t="shared" si="18"/>
        <v>(202) 594-2049</v>
      </c>
      <c r="G363" s="66" t="s">
        <v>3343</v>
      </c>
      <c r="H363" s="40" t="s">
        <v>66</v>
      </c>
      <c r="I363" s="50" t="s">
        <v>298</v>
      </c>
      <c r="J363" s="50" t="s">
        <v>299</v>
      </c>
      <c r="K363" s="50" t="s">
        <v>2303</v>
      </c>
      <c r="L363" s="50" t="s">
        <v>300</v>
      </c>
      <c r="M363" s="50" t="s">
        <v>39</v>
      </c>
      <c r="N363" s="52" t="s">
        <v>3386</v>
      </c>
      <c r="O363" s="52" t="s">
        <v>3387</v>
      </c>
      <c r="P363" s="52" t="s">
        <v>3388</v>
      </c>
      <c r="Q363" s="52">
        <v>117.0</v>
      </c>
      <c r="R363" s="52">
        <v>20019.0</v>
      </c>
      <c r="S363" s="52" t="s">
        <v>74</v>
      </c>
      <c r="T363" s="52" t="s">
        <v>3389</v>
      </c>
      <c r="U363" s="52">
        <v>1.0</v>
      </c>
      <c r="V363" s="52">
        <v>0.0</v>
      </c>
      <c r="W363" s="52">
        <v>1.0</v>
      </c>
      <c r="X363" s="52" t="s">
        <v>2605</v>
      </c>
      <c r="Y363" s="52" t="s">
        <v>47</v>
      </c>
      <c r="Z363" s="52" t="s">
        <v>361</v>
      </c>
      <c r="AA363" s="65" t="s">
        <v>3390</v>
      </c>
      <c r="AB363" s="52" t="s">
        <v>2069</v>
      </c>
      <c r="AC363" s="52">
        <v>12.0</v>
      </c>
      <c r="AD363" s="53" t="s">
        <v>3391</v>
      </c>
    </row>
    <row r="364">
      <c r="A364" s="54">
        <v>45798.449015</v>
      </c>
      <c r="B364" s="14">
        <f t="shared" si="1"/>
        <v>45798</v>
      </c>
      <c r="C364" s="15" t="s">
        <v>31</v>
      </c>
      <c r="D364" s="15" t="s">
        <v>3392</v>
      </c>
      <c r="E364" s="15" t="str">
        <f t="shared" si="20"/>
        <v>Patrina Johnson</v>
      </c>
      <c r="F364" s="16" t="str">
        <f t="shared" si="18"/>
        <v>(202) 300-5371</v>
      </c>
      <c r="G364" s="66" t="s">
        <v>3393</v>
      </c>
      <c r="H364" s="40" t="s">
        <v>34</v>
      </c>
      <c r="I364" s="50" t="s">
        <v>1921</v>
      </c>
      <c r="J364" s="50" t="s">
        <v>1922</v>
      </c>
      <c r="K364" s="50" t="s">
        <v>1923</v>
      </c>
      <c r="L364" s="50" t="s">
        <v>3394</v>
      </c>
      <c r="M364" s="50" t="s">
        <v>39</v>
      </c>
      <c r="N364" s="52" t="s">
        <v>3395</v>
      </c>
      <c r="O364" s="52" t="s">
        <v>388</v>
      </c>
      <c r="P364" s="52" t="s">
        <v>3396</v>
      </c>
      <c r="Q364" s="52" t="s">
        <v>360</v>
      </c>
      <c r="R364" s="52">
        <v>20001.0</v>
      </c>
      <c r="S364" s="52" t="s">
        <v>59</v>
      </c>
      <c r="T364" s="52" t="s">
        <v>3397</v>
      </c>
      <c r="U364" s="52">
        <v>1.0</v>
      </c>
      <c r="V364" s="52">
        <v>2.0</v>
      </c>
      <c r="W364" s="52">
        <v>3.0</v>
      </c>
      <c r="X364" s="52" t="s">
        <v>2632</v>
      </c>
      <c r="Y364" s="52" t="s">
        <v>85</v>
      </c>
      <c r="Z364" s="52" t="s">
        <v>458</v>
      </c>
      <c r="AA364" s="53" t="s">
        <v>3398</v>
      </c>
      <c r="AB364" s="52" t="s">
        <v>2069</v>
      </c>
      <c r="AC364" s="52">
        <v>6.0</v>
      </c>
      <c r="AD364" s="53" t="s">
        <v>3399</v>
      </c>
    </row>
    <row r="365">
      <c r="A365" s="54">
        <v>45798.60039033565</v>
      </c>
      <c r="B365" s="14">
        <f t="shared" si="1"/>
        <v>45798</v>
      </c>
      <c r="C365" s="15" t="s">
        <v>31</v>
      </c>
      <c r="D365" s="15" t="s">
        <v>3400</v>
      </c>
      <c r="E365" s="15" t="str">
        <f t="shared" si="20"/>
        <v>Deborah Gray</v>
      </c>
      <c r="F365" s="16" t="str">
        <f t="shared" si="18"/>
        <v>(202) 819-8579</v>
      </c>
      <c r="G365" s="66" t="s">
        <v>3401</v>
      </c>
      <c r="H365" s="40" t="s">
        <v>103</v>
      </c>
      <c r="I365" s="50" t="s">
        <v>3402</v>
      </c>
      <c r="J365" s="50" t="s">
        <v>3403</v>
      </c>
      <c r="K365" s="50" t="s">
        <v>3404</v>
      </c>
      <c r="L365" s="50" t="s">
        <v>3405</v>
      </c>
      <c r="M365" s="50" t="s">
        <v>39</v>
      </c>
      <c r="N365" s="52" t="s">
        <v>2369</v>
      </c>
      <c r="O365" s="52" t="s">
        <v>3406</v>
      </c>
      <c r="P365" s="52" t="s">
        <v>3407</v>
      </c>
      <c r="Q365" s="52" t="s">
        <v>3408</v>
      </c>
      <c r="R365" s="52">
        <v>20002.0</v>
      </c>
      <c r="S365" s="52" t="s">
        <v>74</v>
      </c>
      <c r="T365" s="52" t="s">
        <v>3409</v>
      </c>
      <c r="U365" s="52">
        <v>1.0</v>
      </c>
      <c r="V365" s="52">
        <v>0.0</v>
      </c>
      <c r="W365" s="52">
        <v>1.0</v>
      </c>
      <c r="X365" s="52" t="s">
        <v>2605</v>
      </c>
      <c r="Y365" s="52" t="s">
        <v>47</v>
      </c>
      <c r="Z365" s="52" t="s">
        <v>48</v>
      </c>
      <c r="AA365" s="53" t="s">
        <v>3410</v>
      </c>
      <c r="AB365" s="52" t="s">
        <v>2069</v>
      </c>
      <c r="AC365" s="52">
        <v>12.0</v>
      </c>
      <c r="AD365" s="53" t="s">
        <v>3411</v>
      </c>
      <c r="AE365" s="61" t="s">
        <v>3412</v>
      </c>
    </row>
    <row r="366">
      <c r="A366" s="54">
        <v>45799.54132878472</v>
      </c>
      <c r="B366" s="14">
        <f t="shared" si="1"/>
        <v>45799</v>
      </c>
      <c r="C366" s="15" t="s">
        <v>643</v>
      </c>
      <c r="D366" s="15" t="s">
        <v>3374</v>
      </c>
      <c r="E366" s="15" t="str">
        <f t="shared" si="20"/>
        <v>Lakesha  Mason</v>
      </c>
      <c r="F366" s="16" t="str">
        <f t="shared" si="18"/>
        <v>(202) 520-6115</v>
      </c>
      <c r="G366" s="66" t="s">
        <v>3413</v>
      </c>
      <c r="H366" s="40" t="s">
        <v>103</v>
      </c>
      <c r="I366" s="50" t="s">
        <v>3414</v>
      </c>
      <c r="J366" s="50" t="s">
        <v>3415</v>
      </c>
      <c r="K366" s="50" t="s">
        <v>2810</v>
      </c>
      <c r="L366" s="50" t="s">
        <v>3416</v>
      </c>
      <c r="M366" s="50" t="s">
        <v>39</v>
      </c>
      <c r="N366" s="52" t="s">
        <v>3417</v>
      </c>
      <c r="O366" s="52" t="s">
        <v>2391</v>
      </c>
      <c r="P366" s="52" t="s">
        <v>3418</v>
      </c>
      <c r="Q366" s="59"/>
      <c r="R366" s="52">
        <v>20011.0</v>
      </c>
      <c r="S366" s="52" t="s">
        <v>59</v>
      </c>
      <c r="T366" s="52" t="s">
        <v>3382</v>
      </c>
      <c r="U366" s="52">
        <v>4.0</v>
      </c>
      <c r="V366" s="52">
        <v>1.0</v>
      </c>
      <c r="W366" s="52">
        <v>5.0</v>
      </c>
      <c r="X366" s="52" t="s">
        <v>2632</v>
      </c>
      <c r="Y366" s="52" t="s">
        <v>85</v>
      </c>
      <c r="Z366" s="52" t="s">
        <v>48</v>
      </c>
      <c r="AA366" s="53" t="s">
        <v>3419</v>
      </c>
      <c r="AB366" s="52" t="s">
        <v>2059</v>
      </c>
      <c r="AC366" s="52">
        <v>6.0</v>
      </c>
      <c r="AD366" s="53" t="s">
        <v>3420</v>
      </c>
    </row>
    <row r="367">
      <c r="A367" s="54">
        <v>45800.62082989584</v>
      </c>
      <c r="B367" s="14">
        <f t="shared" si="1"/>
        <v>45800</v>
      </c>
      <c r="C367" s="15" t="s">
        <v>31</v>
      </c>
      <c r="D367" s="15" t="s">
        <v>3421</v>
      </c>
      <c r="E367" s="15" t="str">
        <f t="shared" si="20"/>
        <v>Alonzo Mudd</v>
      </c>
      <c r="F367" s="16" t="str">
        <f t="shared" si="18"/>
        <v>(301) 383-4776</v>
      </c>
      <c r="G367" s="66" t="s">
        <v>3033</v>
      </c>
      <c r="H367" s="40" t="s">
        <v>66</v>
      </c>
      <c r="I367" s="50" t="s">
        <v>3402</v>
      </c>
      <c r="J367" s="50" t="s">
        <v>3403</v>
      </c>
      <c r="K367" s="50" t="s">
        <v>3404</v>
      </c>
      <c r="L367" s="50" t="s">
        <v>3405</v>
      </c>
      <c r="M367" s="50" t="s">
        <v>39</v>
      </c>
      <c r="N367" s="52" t="s">
        <v>3422</v>
      </c>
      <c r="O367" s="52" t="s">
        <v>3423</v>
      </c>
      <c r="P367" s="52" t="s">
        <v>3424</v>
      </c>
      <c r="Q367" s="52" t="s">
        <v>3425</v>
      </c>
      <c r="R367" s="52">
        <v>20001.0</v>
      </c>
      <c r="S367" s="52" t="s">
        <v>59</v>
      </c>
      <c r="T367" s="52" t="s">
        <v>3426</v>
      </c>
      <c r="U367" s="52">
        <v>1.0</v>
      </c>
      <c r="V367" s="52">
        <v>0.0</v>
      </c>
      <c r="W367" s="52">
        <v>1.0</v>
      </c>
      <c r="X367" s="52" t="s">
        <v>2605</v>
      </c>
      <c r="Y367" s="52" t="s">
        <v>47</v>
      </c>
      <c r="Z367" s="52" t="s">
        <v>122</v>
      </c>
      <c r="AA367" s="53" t="s">
        <v>3427</v>
      </c>
      <c r="AB367" s="52" t="s">
        <v>2069</v>
      </c>
      <c r="AC367" s="52">
        <v>12.0</v>
      </c>
      <c r="AD367" s="53" t="s">
        <v>3428</v>
      </c>
    </row>
    <row r="368">
      <c r="A368" s="54">
        <v>45802.0592209375</v>
      </c>
      <c r="B368" s="14">
        <f t="shared" si="1"/>
        <v>45802</v>
      </c>
      <c r="C368" s="15" t="s">
        <v>31</v>
      </c>
      <c r="D368" s="15" t="s">
        <v>3429</v>
      </c>
      <c r="E368" s="15" t="str">
        <f t="shared" si="20"/>
        <v>JACKIE WORKMAN</v>
      </c>
      <c r="F368" s="16" t="str">
        <f t="shared" si="18"/>
        <v>(202) 597-7487</v>
      </c>
      <c r="G368" s="66" t="s">
        <v>3033</v>
      </c>
      <c r="H368" s="40" t="s">
        <v>66</v>
      </c>
      <c r="I368" s="50" t="s">
        <v>3430</v>
      </c>
      <c r="J368" s="50" t="s">
        <v>3431</v>
      </c>
      <c r="K368" s="50" t="s">
        <v>3432</v>
      </c>
      <c r="L368" s="50" t="s">
        <v>3433</v>
      </c>
      <c r="M368" s="50" t="s">
        <v>39</v>
      </c>
      <c r="N368" s="52" t="s">
        <v>3434</v>
      </c>
      <c r="O368" s="52" t="s">
        <v>3435</v>
      </c>
      <c r="P368" s="52" t="s">
        <v>3436</v>
      </c>
      <c r="Q368" s="52">
        <v>303.0</v>
      </c>
      <c r="R368" s="52">
        <v>20002.0</v>
      </c>
      <c r="S368" s="52" t="s">
        <v>74</v>
      </c>
      <c r="T368" s="52" t="s">
        <v>3437</v>
      </c>
      <c r="U368" s="52">
        <v>1.0</v>
      </c>
      <c r="V368" s="52">
        <v>1.0</v>
      </c>
      <c r="W368" s="52">
        <v>2.0</v>
      </c>
      <c r="X368" s="52" t="s">
        <v>2641</v>
      </c>
      <c r="Y368" s="52" t="s">
        <v>85</v>
      </c>
      <c r="Z368" s="52" t="s">
        <v>166</v>
      </c>
      <c r="AA368" s="53" t="s">
        <v>3438</v>
      </c>
      <c r="AB368" s="52" t="s">
        <v>2069</v>
      </c>
      <c r="AC368" s="52">
        <v>24.0</v>
      </c>
      <c r="AD368" s="53" t="s">
        <v>3439</v>
      </c>
    </row>
    <row r="369">
      <c r="A369" s="54">
        <v>45802.41600820602</v>
      </c>
      <c r="B369" s="14">
        <f t="shared" si="1"/>
        <v>45802</v>
      </c>
      <c r="C369" s="15" t="s">
        <v>31</v>
      </c>
      <c r="D369" s="15" t="s">
        <v>3440</v>
      </c>
      <c r="E369" s="15" t="s">
        <v>3441</v>
      </c>
      <c r="F369" s="16" t="str">
        <f t="shared" si="18"/>
        <v>(202) 967-7471</v>
      </c>
      <c r="G369" s="66" t="s">
        <v>3033</v>
      </c>
      <c r="H369" s="40" t="s">
        <v>66</v>
      </c>
      <c r="I369" s="50" t="s">
        <v>2283</v>
      </c>
      <c r="J369" s="50" t="s">
        <v>2284</v>
      </c>
      <c r="K369" s="50" t="s">
        <v>2285</v>
      </c>
      <c r="L369" s="50" t="s">
        <v>2286</v>
      </c>
      <c r="M369" s="50" t="s">
        <v>39</v>
      </c>
      <c r="N369" s="52" t="s">
        <v>3442</v>
      </c>
      <c r="O369" s="52" t="s">
        <v>3443</v>
      </c>
      <c r="P369" s="52" t="s">
        <v>3444</v>
      </c>
      <c r="Q369" s="52">
        <v>203.0</v>
      </c>
      <c r="R369" s="52">
        <v>20020.0</v>
      </c>
      <c r="S369" s="52" t="s">
        <v>44</v>
      </c>
      <c r="T369" s="52" t="s">
        <v>3445</v>
      </c>
      <c r="U369" s="52">
        <v>2.0</v>
      </c>
      <c r="V369" s="52">
        <v>0.0</v>
      </c>
      <c r="W369" s="52">
        <v>2.0</v>
      </c>
      <c r="X369" s="52" t="s">
        <v>2771</v>
      </c>
      <c r="Y369" s="52" t="s">
        <v>47</v>
      </c>
      <c r="Z369" s="52" t="s">
        <v>458</v>
      </c>
      <c r="AA369" s="53" t="s">
        <v>3446</v>
      </c>
      <c r="AB369" s="52" t="s">
        <v>2069</v>
      </c>
      <c r="AC369" s="52">
        <v>12.0</v>
      </c>
      <c r="AD369" s="53" t="s">
        <v>3447</v>
      </c>
    </row>
    <row r="370">
      <c r="A370" s="54">
        <v>45803.84389188657</v>
      </c>
      <c r="B370" s="14">
        <f t="shared" si="1"/>
        <v>45803</v>
      </c>
      <c r="C370" s="15" t="s">
        <v>31</v>
      </c>
      <c r="D370" s="15" t="s">
        <v>2050</v>
      </c>
      <c r="E370" s="58" t="str">
        <f t="shared" ref="E370:E460" si="21">N370&amp;" "&amp;O370</f>
        <v>Marie Franklin</v>
      </c>
      <c r="F370" s="16" t="str">
        <f t="shared" si="18"/>
        <v>(202) 713-0581</v>
      </c>
      <c r="G370" s="66" t="s">
        <v>3448</v>
      </c>
      <c r="H370" s="40" t="s">
        <v>103</v>
      </c>
      <c r="I370" s="50" t="s">
        <v>3449</v>
      </c>
      <c r="J370" s="50" t="s">
        <v>3450</v>
      </c>
      <c r="K370" s="50" t="s">
        <v>3451</v>
      </c>
      <c r="L370" s="50" t="s">
        <v>3452</v>
      </c>
      <c r="M370" s="50" t="s">
        <v>39</v>
      </c>
      <c r="N370" s="52" t="s">
        <v>3453</v>
      </c>
      <c r="O370" s="52" t="s">
        <v>3454</v>
      </c>
      <c r="P370" s="52" t="s">
        <v>3455</v>
      </c>
      <c r="Q370" s="59"/>
      <c r="R370" s="52">
        <v>20019.0</v>
      </c>
      <c r="S370" s="52" t="s">
        <v>44</v>
      </c>
      <c r="T370" s="52" t="s">
        <v>3456</v>
      </c>
      <c r="U370" s="52">
        <v>3.0</v>
      </c>
      <c r="V370" s="52">
        <v>1.0</v>
      </c>
      <c r="W370" s="52">
        <v>4.0</v>
      </c>
      <c r="X370" s="52" t="s">
        <v>2700</v>
      </c>
      <c r="Y370" s="52" t="s">
        <v>47</v>
      </c>
      <c r="Z370" s="52" t="s">
        <v>3457</v>
      </c>
      <c r="AA370" s="65" t="s">
        <v>3458</v>
      </c>
      <c r="AB370" s="52" t="s">
        <v>2069</v>
      </c>
      <c r="AC370" s="52">
        <v>12.0</v>
      </c>
      <c r="AD370" s="53" t="s">
        <v>3459</v>
      </c>
    </row>
    <row r="371">
      <c r="A371" s="54">
        <v>45804.42696146991</v>
      </c>
      <c r="B371" s="14">
        <f t="shared" si="1"/>
        <v>45804</v>
      </c>
      <c r="C371" s="15" t="s">
        <v>31</v>
      </c>
      <c r="D371" s="15" t="s">
        <v>3460</v>
      </c>
      <c r="E371" s="15" t="str">
        <f t="shared" si="21"/>
        <v>Tilwana Thomas</v>
      </c>
      <c r="F371" s="16" t="str">
        <f t="shared" si="18"/>
        <v>(202) 910-0381</v>
      </c>
      <c r="G371" s="66" t="s">
        <v>3461</v>
      </c>
      <c r="H371" s="40" t="s">
        <v>103</v>
      </c>
      <c r="I371" s="50" t="s">
        <v>3462</v>
      </c>
      <c r="J371" s="50" t="s">
        <v>3463</v>
      </c>
      <c r="K371" s="50" t="s">
        <v>3464</v>
      </c>
      <c r="L371" s="50" t="s">
        <v>3465</v>
      </c>
      <c r="M371" s="50" t="s">
        <v>39</v>
      </c>
      <c r="N371" s="52" t="s">
        <v>3466</v>
      </c>
      <c r="O371" s="52" t="s">
        <v>241</v>
      </c>
      <c r="P371" s="52" t="s">
        <v>3467</v>
      </c>
      <c r="Q371" s="52" t="s">
        <v>3468</v>
      </c>
      <c r="R371" s="52">
        <v>20005.0</v>
      </c>
      <c r="S371" s="52" t="s">
        <v>59</v>
      </c>
      <c r="T371" s="52" t="s">
        <v>3469</v>
      </c>
      <c r="U371" s="52">
        <v>1.0</v>
      </c>
      <c r="V371" s="52">
        <v>0.0</v>
      </c>
      <c r="W371" s="52">
        <v>1.0</v>
      </c>
      <c r="X371" s="52" t="s">
        <v>2641</v>
      </c>
      <c r="Y371" s="52" t="s">
        <v>85</v>
      </c>
      <c r="Z371" s="52" t="s">
        <v>236</v>
      </c>
      <c r="AA371" s="53" t="s">
        <v>3470</v>
      </c>
      <c r="AB371" s="52" t="s">
        <v>2069</v>
      </c>
      <c r="AC371" s="52">
        <v>12.0</v>
      </c>
      <c r="AD371" s="53" t="s">
        <v>3471</v>
      </c>
    </row>
    <row r="372">
      <c r="A372" s="54">
        <v>45805.67453092593</v>
      </c>
      <c r="B372" s="14">
        <f t="shared" si="1"/>
        <v>45805</v>
      </c>
      <c r="C372" s="15" t="s">
        <v>282</v>
      </c>
      <c r="D372" s="15" t="s">
        <v>3472</v>
      </c>
      <c r="E372" s="15" t="str">
        <f t="shared" si="21"/>
        <v>Carmen  Villasana </v>
      </c>
      <c r="F372" s="16" t="str">
        <f t="shared" si="18"/>
        <v>(202) 391-6192</v>
      </c>
      <c r="G372" s="66" t="s">
        <v>3473</v>
      </c>
      <c r="H372" s="40" t="s">
        <v>103</v>
      </c>
      <c r="I372" s="50" t="s">
        <v>1953</v>
      </c>
      <c r="J372" s="50" t="s">
        <v>841</v>
      </c>
      <c r="K372" s="50" t="s">
        <v>2303</v>
      </c>
      <c r="L372" s="50" t="s">
        <v>2304</v>
      </c>
      <c r="M372" s="50" t="s">
        <v>39</v>
      </c>
      <c r="N372" s="52" t="s">
        <v>3474</v>
      </c>
      <c r="O372" s="52" t="s">
        <v>3475</v>
      </c>
      <c r="P372" s="52" t="s">
        <v>3476</v>
      </c>
      <c r="Q372" s="59"/>
      <c r="R372" s="52">
        <v>20019.0</v>
      </c>
      <c r="S372" s="52" t="s">
        <v>74</v>
      </c>
      <c r="T372" s="52" t="s">
        <v>3477</v>
      </c>
      <c r="U372" s="52">
        <v>2.0</v>
      </c>
      <c r="V372" s="52">
        <v>3.0</v>
      </c>
      <c r="W372" s="52">
        <v>5.0</v>
      </c>
      <c r="X372" s="52" t="s">
        <v>2771</v>
      </c>
      <c r="Y372" s="52" t="s">
        <v>47</v>
      </c>
      <c r="Z372" s="52" t="s">
        <v>3478</v>
      </c>
      <c r="AA372" s="53" t="s">
        <v>3479</v>
      </c>
      <c r="AB372" s="52" t="s">
        <v>2751</v>
      </c>
      <c r="AC372" s="52">
        <v>3.0</v>
      </c>
      <c r="AD372" s="53" t="s">
        <v>3480</v>
      </c>
      <c r="AE372" s="61" t="s">
        <v>3481</v>
      </c>
    </row>
    <row r="373">
      <c r="A373" s="54">
        <v>45806.425506597225</v>
      </c>
      <c r="B373" s="14">
        <f t="shared" si="1"/>
        <v>45806</v>
      </c>
      <c r="C373" s="15" t="s">
        <v>282</v>
      </c>
      <c r="D373" s="15" t="s">
        <v>3482</v>
      </c>
      <c r="E373" s="15" t="str">
        <f t="shared" si="21"/>
        <v>Robert King III</v>
      </c>
      <c r="F373" s="16" t="str">
        <f t="shared" si="18"/>
        <v>(202) 538-9187</v>
      </c>
      <c r="G373" s="66" t="s">
        <v>3483</v>
      </c>
      <c r="H373" s="40" t="s">
        <v>103</v>
      </c>
      <c r="I373" s="50" t="s">
        <v>3484</v>
      </c>
      <c r="J373" s="50" t="s">
        <v>3485</v>
      </c>
      <c r="K373" s="50" t="s">
        <v>2367</v>
      </c>
      <c r="L373" s="50" t="s">
        <v>2126</v>
      </c>
      <c r="M373" s="50" t="s">
        <v>39</v>
      </c>
      <c r="N373" s="52" t="s">
        <v>740</v>
      </c>
      <c r="O373" s="52" t="s">
        <v>3486</v>
      </c>
      <c r="P373" s="52" t="s">
        <v>3487</v>
      </c>
      <c r="Q373" s="52" t="s">
        <v>3488</v>
      </c>
      <c r="R373" s="52">
        <v>20002.0</v>
      </c>
      <c r="S373" s="52" t="s">
        <v>74</v>
      </c>
      <c r="T373" s="52" t="s">
        <v>3489</v>
      </c>
      <c r="U373" s="52">
        <v>1.0</v>
      </c>
      <c r="V373" s="52">
        <v>0.0</v>
      </c>
      <c r="W373" s="52">
        <v>1.0</v>
      </c>
      <c r="X373" s="52" t="s">
        <v>2605</v>
      </c>
      <c r="Y373" s="52" t="s">
        <v>47</v>
      </c>
      <c r="Z373" s="52" t="s">
        <v>61</v>
      </c>
      <c r="AA373" s="65" t="s">
        <v>3490</v>
      </c>
      <c r="AB373" s="52" t="s">
        <v>2059</v>
      </c>
      <c r="AC373" s="52">
        <v>12.0</v>
      </c>
      <c r="AD373" s="53" t="s">
        <v>3491</v>
      </c>
    </row>
    <row r="374">
      <c r="A374" s="54">
        <v>45807.98649523148</v>
      </c>
      <c r="B374" s="14">
        <f t="shared" si="1"/>
        <v>45807</v>
      </c>
      <c r="C374" s="15" t="s">
        <v>31</v>
      </c>
      <c r="D374" s="15" t="s">
        <v>395</v>
      </c>
      <c r="E374" s="15" t="str">
        <f t="shared" si="21"/>
        <v>Antoinette  Hackett</v>
      </c>
      <c r="F374" s="16" t="str">
        <f t="shared" si="18"/>
        <v>(202) 705-4484</v>
      </c>
      <c r="G374" s="66" t="s">
        <v>3492</v>
      </c>
      <c r="H374" s="40" t="s">
        <v>103</v>
      </c>
      <c r="I374" s="50" t="s">
        <v>273</v>
      </c>
      <c r="J374" s="50" t="s">
        <v>274</v>
      </c>
      <c r="K374" s="50" t="s">
        <v>2274</v>
      </c>
      <c r="L374" s="50" t="s">
        <v>2250</v>
      </c>
      <c r="M374" s="50" t="s">
        <v>39</v>
      </c>
      <c r="N374" s="52" t="s">
        <v>3493</v>
      </c>
      <c r="O374" s="52" t="s">
        <v>3494</v>
      </c>
      <c r="P374" s="52" t="s">
        <v>3495</v>
      </c>
      <c r="Q374" s="52" t="s">
        <v>315</v>
      </c>
      <c r="R374" s="52">
        <v>20020.0</v>
      </c>
      <c r="S374" s="52" t="s">
        <v>44</v>
      </c>
      <c r="T374" s="52" t="s">
        <v>3496</v>
      </c>
      <c r="U374" s="52">
        <v>2.0</v>
      </c>
      <c r="V374" s="52">
        <v>2.0</v>
      </c>
      <c r="W374" s="52">
        <v>4.0</v>
      </c>
      <c r="X374" s="52" t="s">
        <v>2566</v>
      </c>
      <c r="Y374" s="52" t="s">
        <v>85</v>
      </c>
      <c r="Z374" s="52" t="s">
        <v>3497</v>
      </c>
      <c r="AA374" s="53" t="s">
        <v>3498</v>
      </c>
      <c r="AB374" s="52" t="s">
        <v>2069</v>
      </c>
      <c r="AC374" s="52">
        <v>12.0</v>
      </c>
      <c r="AD374" s="53" t="s">
        <v>3499</v>
      </c>
    </row>
    <row r="375">
      <c r="A375" s="67">
        <v>45810.46992478009</v>
      </c>
      <c r="B375" s="14">
        <f t="shared" si="1"/>
        <v>45810</v>
      </c>
      <c r="C375" s="15" t="s">
        <v>31</v>
      </c>
      <c r="D375" s="15" t="s">
        <v>3500</v>
      </c>
      <c r="E375" s="15" t="str">
        <f t="shared" si="21"/>
        <v>Paulette  Glasgow</v>
      </c>
      <c r="F375" s="16" t="str">
        <f t="shared" si="18"/>
        <v>(267) 994-4071</v>
      </c>
      <c r="G375" s="66" t="s">
        <v>3501</v>
      </c>
      <c r="H375" s="40" t="s">
        <v>66</v>
      </c>
      <c r="I375" s="50" t="s">
        <v>1135</v>
      </c>
      <c r="J375" s="50" t="s">
        <v>1136</v>
      </c>
      <c r="K375" s="50" t="s">
        <v>116</v>
      </c>
      <c r="L375" s="50" t="s">
        <v>2519</v>
      </c>
      <c r="M375" s="50" t="s">
        <v>39</v>
      </c>
      <c r="N375" s="52" t="s">
        <v>3502</v>
      </c>
      <c r="O375" s="52" t="s">
        <v>3503</v>
      </c>
      <c r="P375" s="52" t="s">
        <v>3504</v>
      </c>
      <c r="Q375" s="52" t="s">
        <v>1663</v>
      </c>
      <c r="R375" s="52">
        <v>20032.0</v>
      </c>
      <c r="S375" s="52" t="s">
        <v>44</v>
      </c>
      <c r="T375" s="52" t="s">
        <v>3505</v>
      </c>
      <c r="U375" s="52">
        <v>2.0</v>
      </c>
      <c r="V375" s="52">
        <v>0.0</v>
      </c>
      <c r="W375" s="52">
        <v>2.0</v>
      </c>
      <c r="X375" s="52" t="s">
        <v>2605</v>
      </c>
      <c r="Y375" s="52" t="s">
        <v>47</v>
      </c>
      <c r="Z375" s="52" t="s">
        <v>48</v>
      </c>
      <c r="AA375" s="53" t="s">
        <v>3506</v>
      </c>
      <c r="AB375" s="52" t="s">
        <v>2069</v>
      </c>
      <c r="AC375" s="52">
        <v>12.0</v>
      </c>
      <c r="AD375" s="53" t="s">
        <v>3507</v>
      </c>
    </row>
    <row r="376">
      <c r="A376" s="54">
        <v>45810.653891678245</v>
      </c>
      <c r="B376" s="14">
        <f t="shared" si="1"/>
        <v>45810</v>
      </c>
      <c r="C376" s="15" t="s">
        <v>31</v>
      </c>
      <c r="D376" s="15" t="s">
        <v>3508</v>
      </c>
      <c r="E376" s="15" t="str">
        <f t="shared" si="21"/>
        <v>Conrad Felder</v>
      </c>
      <c r="F376" s="16" t="str">
        <f t="shared" si="18"/>
        <v>(202) 629-8227</v>
      </c>
      <c r="G376" s="66" t="s">
        <v>3509</v>
      </c>
      <c r="H376" s="40" t="s">
        <v>103</v>
      </c>
      <c r="I376" s="50" t="s">
        <v>2365</v>
      </c>
      <c r="J376" s="50" t="s">
        <v>2366</v>
      </c>
      <c r="K376" s="50" t="s">
        <v>2367</v>
      </c>
      <c r="L376" s="50" t="s">
        <v>2368</v>
      </c>
      <c r="M376" s="50" t="s">
        <v>39</v>
      </c>
      <c r="N376" s="52" t="s">
        <v>3510</v>
      </c>
      <c r="O376" s="52" t="s">
        <v>3511</v>
      </c>
      <c r="P376" s="52" t="s">
        <v>3512</v>
      </c>
      <c r="Q376" s="52" t="s">
        <v>291</v>
      </c>
      <c r="R376" s="52">
        <v>20011.0</v>
      </c>
      <c r="S376" s="52" t="s">
        <v>59</v>
      </c>
      <c r="T376" s="52" t="s">
        <v>3513</v>
      </c>
      <c r="U376" s="52">
        <v>1.0</v>
      </c>
      <c r="V376" s="52">
        <v>0.0</v>
      </c>
      <c r="W376" s="52">
        <v>1.0</v>
      </c>
      <c r="X376" s="52" t="s">
        <v>2700</v>
      </c>
      <c r="Y376" s="52" t="s">
        <v>47</v>
      </c>
      <c r="Z376" s="52" t="s">
        <v>48</v>
      </c>
      <c r="AA376" s="53" t="s">
        <v>3514</v>
      </c>
      <c r="AB376" s="52" t="s">
        <v>2069</v>
      </c>
      <c r="AC376" s="52">
        <v>12.0</v>
      </c>
      <c r="AD376" s="53" t="s">
        <v>3515</v>
      </c>
    </row>
    <row r="377">
      <c r="A377" s="54">
        <v>45813.54130673611</v>
      </c>
      <c r="B377" s="14">
        <f t="shared" si="1"/>
        <v>45813</v>
      </c>
      <c r="C377" s="15" t="s">
        <v>230</v>
      </c>
      <c r="D377" s="15" t="s">
        <v>3516</v>
      </c>
      <c r="E377" s="15" t="str">
        <f t="shared" si="21"/>
        <v>Tayla Better</v>
      </c>
      <c r="F377" s="16" t="str">
        <f t="shared" si="18"/>
        <v>(803) 665-1439</v>
      </c>
      <c r="G377" s="66" t="s">
        <v>3517</v>
      </c>
      <c r="H377" s="40" t="s">
        <v>103</v>
      </c>
      <c r="I377" s="50" t="s">
        <v>3518</v>
      </c>
      <c r="J377" s="50" t="s">
        <v>3519</v>
      </c>
      <c r="K377" s="50" t="s">
        <v>3520</v>
      </c>
      <c r="L377" s="50" t="s">
        <v>3521</v>
      </c>
      <c r="M377" s="50" t="s">
        <v>39</v>
      </c>
      <c r="N377" s="52" t="s">
        <v>3522</v>
      </c>
      <c r="O377" s="52" t="s">
        <v>3523</v>
      </c>
      <c r="P377" s="52" t="s">
        <v>3524</v>
      </c>
      <c r="Q377" s="52">
        <v>629.0</v>
      </c>
      <c r="R377" s="52">
        <v>20024.0</v>
      </c>
      <c r="S377" s="52" t="s">
        <v>562</v>
      </c>
      <c r="T377" s="52" t="s">
        <v>3525</v>
      </c>
      <c r="U377" s="52">
        <v>2.0</v>
      </c>
      <c r="V377" s="52">
        <v>2.0</v>
      </c>
      <c r="W377" s="52">
        <v>4.0</v>
      </c>
      <c r="X377" s="52" t="s">
        <v>2771</v>
      </c>
      <c r="Y377" s="52" t="s">
        <v>85</v>
      </c>
      <c r="Z377" s="52" t="s">
        <v>236</v>
      </c>
      <c r="AA377" s="53" t="s">
        <v>3526</v>
      </c>
      <c r="AB377" s="52" t="s">
        <v>2059</v>
      </c>
      <c r="AC377" s="52">
        <v>7.0</v>
      </c>
      <c r="AD377" s="53" t="s">
        <v>3527</v>
      </c>
      <c r="AE377" s="61" t="s">
        <v>3528</v>
      </c>
    </row>
    <row r="378">
      <c r="A378" s="54">
        <v>45813.64389166667</v>
      </c>
      <c r="B378" s="14">
        <f t="shared" si="1"/>
        <v>45813</v>
      </c>
      <c r="C378" s="15" t="s">
        <v>643</v>
      </c>
      <c r="D378" s="15" t="s">
        <v>3529</v>
      </c>
      <c r="E378" s="15" t="str">
        <f t="shared" si="21"/>
        <v>Alice Mitchell</v>
      </c>
      <c r="F378" s="16" t="s">
        <v>3530</v>
      </c>
      <c r="G378" s="66" t="s">
        <v>3531</v>
      </c>
      <c r="H378" s="40" t="s">
        <v>103</v>
      </c>
      <c r="I378" s="50" t="s">
        <v>3532</v>
      </c>
      <c r="J378" s="50" t="s">
        <v>3533</v>
      </c>
      <c r="K378" s="50" t="s">
        <v>3534</v>
      </c>
      <c r="L378" s="50" t="s">
        <v>3535</v>
      </c>
      <c r="M378" s="50" t="s">
        <v>39</v>
      </c>
      <c r="N378" s="52" t="s">
        <v>117</v>
      </c>
      <c r="O378" s="52" t="s">
        <v>185</v>
      </c>
      <c r="P378" s="52" t="s">
        <v>3536</v>
      </c>
      <c r="Q378" s="52">
        <v>514.0</v>
      </c>
      <c r="R378" s="52">
        <v>20024.0</v>
      </c>
      <c r="S378" s="52" t="s">
        <v>562</v>
      </c>
      <c r="T378" s="52" t="s">
        <v>3537</v>
      </c>
      <c r="U378" s="52">
        <v>1.0</v>
      </c>
      <c r="V378" s="52">
        <v>0.0</v>
      </c>
      <c r="W378" s="52">
        <v>1.0</v>
      </c>
      <c r="X378" s="52" t="s">
        <v>2594</v>
      </c>
      <c r="Y378" s="52" t="s">
        <v>47</v>
      </c>
      <c r="Z378" s="52" t="s">
        <v>61</v>
      </c>
      <c r="AA378" s="53" t="s">
        <v>3538</v>
      </c>
      <c r="AB378" s="52" t="s">
        <v>2059</v>
      </c>
      <c r="AC378" s="52">
        <v>36.0</v>
      </c>
      <c r="AD378" s="53" t="s">
        <v>3539</v>
      </c>
    </row>
    <row r="379">
      <c r="A379" s="54">
        <v>45813.924283113425</v>
      </c>
      <c r="B379" s="14">
        <f t="shared" si="1"/>
        <v>45813</v>
      </c>
      <c r="C379" s="15" t="s">
        <v>643</v>
      </c>
      <c r="D379" s="15" t="s">
        <v>3540</v>
      </c>
      <c r="E379" s="15" t="str">
        <f t="shared" si="21"/>
        <v>Darel  Whitaker</v>
      </c>
      <c r="F379" s="16" t="str">
        <f t="shared" ref="F379:F450" si="22">T379</f>
        <v>(202) 734-1300</v>
      </c>
      <c r="G379" s="66" t="s">
        <v>3517</v>
      </c>
      <c r="H379" s="40" t="s">
        <v>103</v>
      </c>
      <c r="I379" s="50" t="s">
        <v>3541</v>
      </c>
      <c r="J379" s="50" t="s">
        <v>3542</v>
      </c>
      <c r="K379" s="50" t="s">
        <v>160</v>
      </c>
      <c r="L379" s="50" t="s">
        <v>3543</v>
      </c>
      <c r="M379" s="50" t="s">
        <v>39</v>
      </c>
      <c r="N379" s="52" t="s">
        <v>3544</v>
      </c>
      <c r="O379" s="52" t="s">
        <v>3007</v>
      </c>
      <c r="P379" s="52" t="s">
        <v>3545</v>
      </c>
      <c r="Q379" s="52">
        <v>9.0</v>
      </c>
      <c r="R379" s="52">
        <v>20011.0</v>
      </c>
      <c r="S379" s="52" t="s">
        <v>59</v>
      </c>
      <c r="T379" s="52" t="s">
        <v>3546</v>
      </c>
      <c r="U379" s="52">
        <v>1.0</v>
      </c>
      <c r="V379" s="52">
        <v>0.0</v>
      </c>
      <c r="W379" s="52">
        <v>1.0</v>
      </c>
      <c r="X379" s="52" t="s">
        <v>2632</v>
      </c>
      <c r="Y379" s="52" t="s">
        <v>47</v>
      </c>
      <c r="Z379" s="52" t="s">
        <v>3547</v>
      </c>
      <c r="AA379" s="53" t="s">
        <v>3548</v>
      </c>
      <c r="AB379" s="52" t="s">
        <v>2751</v>
      </c>
      <c r="AC379" s="52">
        <v>6.0</v>
      </c>
      <c r="AD379" s="53" t="s">
        <v>3549</v>
      </c>
      <c r="AE379" s="61" t="s">
        <v>3550</v>
      </c>
    </row>
    <row r="380">
      <c r="A380" s="54">
        <v>45814.41393520833</v>
      </c>
      <c r="B380" s="14">
        <f t="shared" si="1"/>
        <v>45814</v>
      </c>
      <c r="C380" s="15" t="s">
        <v>31</v>
      </c>
      <c r="D380" s="15" t="s">
        <v>1705</v>
      </c>
      <c r="E380" s="15" t="str">
        <f t="shared" si="21"/>
        <v>Rita Ndum</v>
      </c>
      <c r="F380" s="16" t="str">
        <f t="shared" si="22"/>
        <v>(240) 593-2313</v>
      </c>
      <c r="G380" s="66" t="s">
        <v>3551</v>
      </c>
      <c r="H380" s="40" t="s">
        <v>66</v>
      </c>
      <c r="I380" s="50" t="s">
        <v>1706</v>
      </c>
      <c r="J380" s="50" t="s">
        <v>1707</v>
      </c>
      <c r="K380" s="50" t="s">
        <v>1708</v>
      </c>
      <c r="L380" s="50" t="s">
        <v>3552</v>
      </c>
      <c r="M380" s="50" t="s">
        <v>39</v>
      </c>
      <c r="N380" s="52" t="s">
        <v>1709</v>
      </c>
      <c r="O380" s="52" t="s">
        <v>1710</v>
      </c>
      <c r="P380" s="52" t="s">
        <v>3553</v>
      </c>
      <c r="Q380" s="52">
        <v>121.0</v>
      </c>
      <c r="R380" s="52">
        <v>20772.0</v>
      </c>
      <c r="S380" s="52" t="s">
        <v>74</v>
      </c>
      <c r="T380" s="52" t="s">
        <v>3554</v>
      </c>
      <c r="U380" s="52">
        <v>1.0</v>
      </c>
      <c r="V380" s="52">
        <v>0.0</v>
      </c>
      <c r="W380" s="52">
        <v>1.0</v>
      </c>
      <c r="X380" s="52" t="s">
        <v>2641</v>
      </c>
      <c r="Y380" s="52" t="s">
        <v>47</v>
      </c>
      <c r="Z380" s="52" t="s">
        <v>458</v>
      </c>
      <c r="AA380" s="53" t="s">
        <v>3555</v>
      </c>
      <c r="AB380" s="52" t="s">
        <v>2059</v>
      </c>
      <c r="AC380" s="52">
        <v>24.0</v>
      </c>
      <c r="AD380" s="53" t="s">
        <v>3556</v>
      </c>
    </row>
    <row r="381">
      <c r="A381" s="54">
        <v>45817.43820002315</v>
      </c>
      <c r="B381" s="14">
        <f t="shared" si="1"/>
        <v>45817</v>
      </c>
      <c r="C381" s="15" t="s">
        <v>643</v>
      </c>
      <c r="D381" s="15" t="s">
        <v>3557</v>
      </c>
      <c r="E381" s="15" t="str">
        <f t="shared" si="21"/>
        <v>Olivia  Johnson </v>
      </c>
      <c r="F381" s="16" t="str">
        <f t="shared" si="22"/>
        <v>(240) 486-7382</v>
      </c>
      <c r="G381" s="66" t="s">
        <v>3558</v>
      </c>
      <c r="H381" s="40" t="s">
        <v>103</v>
      </c>
      <c r="I381" s="50" t="s">
        <v>3559</v>
      </c>
      <c r="J381" s="50" t="s">
        <v>3560</v>
      </c>
      <c r="K381" s="50" t="s">
        <v>3561</v>
      </c>
      <c r="L381" s="50" t="s">
        <v>3562</v>
      </c>
      <c r="M381" s="50" t="s">
        <v>39</v>
      </c>
      <c r="N381" s="52" t="s">
        <v>3563</v>
      </c>
      <c r="O381" s="52" t="s">
        <v>2760</v>
      </c>
      <c r="P381" s="52" t="s">
        <v>3564</v>
      </c>
      <c r="Q381" s="52">
        <v>3.0</v>
      </c>
      <c r="R381" s="52">
        <v>20002.0</v>
      </c>
      <c r="S381" s="52" t="s">
        <v>74</v>
      </c>
      <c r="T381" s="52" t="s">
        <v>3565</v>
      </c>
      <c r="U381" s="52">
        <v>1.0</v>
      </c>
      <c r="V381" s="52">
        <v>0.0</v>
      </c>
      <c r="W381" s="52">
        <v>1.0</v>
      </c>
      <c r="X381" s="52" t="s">
        <v>2605</v>
      </c>
      <c r="Y381" s="52" t="s">
        <v>47</v>
      </c>
      <c r="Z381" s="52" t="s">
        <v>48</v>
      </c>
      <c r="AA381" s="53" t="s">
        <v>3566</v>
      </c>
      <c r="AB381" s="52" t="s">
        <v>2059</v>
      </c>
      <c r="AC381" s="52">
        <v>6.0</v>
      </c>
      <c r="AD381" s="53" t="s">
        <v>3567</v>
      </c>
    </row>
    <row r="382">
      <c r="A382" s="54">
        <v>45818.44652372685</v>
      </c>
      <c r="B382" s="14">
        <f t="shared" si="1"/>
        <v>45818</v>
      </c>
      <c r="C382" s="15" t="s">
        <v>643</v>
      </c>
      <c r="D382" s="15" t="s">
        <v>3568</v>
      </c>
      <c r="E382" s="15" t="str">
        <f t="shared" si="21"/>
        <v>Maria  De Garcia</v>
      </c>
      <c r="F382" s="16" t="str">
        <f t="shared" si="22"/>
        <v>(202) 878-4034</v>
      </c>
      <c r="G382" s="66" t="s">
        <v>3569</v>
      </c>
      <c r="H382" s="40" t="s">
        <v>103</v>
      </c>
      <c r="I382" s="50" t="s">
        <v>3570</v>
      </c>
      <c r="J382" s="50" t="s">
        <v>3571</v>
      </c>
      <c r="K382" s="50" t="s">
        <v>3572</v>
      </c>
      <c r="L382" s="50" t="s">
        <v>3573</v>
      </c>
      <c r="M382" s="50" t="s">
        <v>39</v>
      </c>
      <c r="N382" s="52" t="s">
        <v>3574</v>
      </c>
      <c r="O382" s="52" t="s">
        <v>3575</v>
      </c>
      <c r="P382" s="52" t="s">
        <v>3576</v>
      </c>
      <c r="Q382" s="52">
        <v>608.0</v>
      </c>
      <c r="R382" s="52">
        <v>20010.0</v>
      </c>
      <c r="S382" s="52" t="s">
        <v>59</v>
      </c>
      <c r="T382" s="52" t="s">
        <v>3577</v>
      </c>
      <c r="U382" s="52">
        <v>5.0</v>
      </c>
      <c r="V382" s="52">
        <v>4.0</v>
      </c>
      <c r="W382" s="52">
        <v>9.0</v>
      </c>
      <c r="X382" s="52" t="s">
        <v>2641</v>
      </c>
      <c r="Y382" s="52" t="s">
        <v>85</v>
      </c>
      <c r="Z382" s="52" t="s">
        <v>122</v>
      </c>
      <c r="AA382" s="53" t="s">
        <v>3578</v>
      </c>
      <c r="AB382" s="52" t="s">
        <v>2069</v>
      </c>
      <c r="AC382" s="52">
        <v>6.0</v>
      </c>
      <c r="AD382" s="53" t="s">
        <v>3579</v>
      </c>
    </row>
    <row r="383">
      <c r="A383" s="54">
        <v>45819.360571875004</v>
      </c>
      <c r="B383" s="14">
        <f t="shared" si="1"/>
        <v>45819</v>
      </c>
      <c r="C383" s="15" t="s">
        <v>643</v>
      </c>
      <c r="D383" s="15" t="s">
        <v>3580</v>
      </c>
      <c r="E383" s="15" t="str">
        <f t="shared" si="21"/>
        <v>Kavin Gray</v>
      </c>
      <c r="F383" s="16" t="str">
        <f t="shared" si="22"/>
        <v>(202) 798-9387</v>
      </c>
      <c r="G383" s="66" t="s">
        <v>3581</v>
      </c>
      <c r="H383" s="40" t="s">
        <v>103</v>
      </c>
      <c r="I383" s="50" t="s">
        <v>3582</v>
      </c>
      <c r="J383" s="50" t="s">
        <v>3583</v>
      </c>
      <c r="K383" s="50" t="s">
        <v>3584</v>
      </c>
      <c r="L383" s="50" t="s">
        <v>3585</v>
      </c>
      <c r="M383" s="50" t="s">
        <v>39</v>
      </c>
      <c r="N383" s="52" t="s">
        <v>3586</v>
      </c>
      <c r="O383" s="52" t="s">
        <v>3406</v>
      </c>
      <c r="P383" s="52" t="s">
        <v>3587</v>
      </c>
      <c r="Q383" s="52">
        <v>203.0</v>
      </c>
      <c r="R383" s="52">
        <v>20019.0</v>
      </c>
      <c r="S383" s="52" t="s">
        <v>44</v>
      </c>
      <c r="T383" s="52" t="s">
        <v>3588</v>
      </c>
      <c r="U383" s="52">
        <v>1.0</v>
      </c>
      <c r="V383" s="52">
        <v>0.0</v>
      </c>
      <c r="W383" s="52">
        <v>1.0</v>
      </c>
      <c r="X383" s="52" t="s">
        <v>2641</v>
      </c>
      <c r="Y383" s="52" t="s">
        <v>47</v>
      </c>
      <c r="Z383" s="52" t="s">
        <v>122</v>
      </c>
      <c r="AA383" s="53" t="s">
        <v>3589</v>
      </c>
      <c r="AB383" s="52" t="s">
        <v>2069</v>
      </c>
      <c r="AC383" s="52">
        <v>12.0</v>
      </c>
      <c r="AD383" s="53" t="s">
        <v>3590</v>
      </c>
    </row>
    <row r="384">
      <c r="A384" s="54">
        <v>45819.41639267361</v>
      </c>
      <c r="B384" s="14">
        <f t="shared" si="1"/>
        <v>45819</v>
      </c>
      <c r="C384" s="15" t="s">
        <v>643</v>
      </c>
      <c r="D384" s="15" t="s">
        <v>3591</v>
      </c>
      <c r="E384" s="15" t="str">
        <f t="shared" si="21"/>
        <v>Jerrobia Mobley</v>
      </c>
      <c r="F384" s="16" t="str">
        <f t="shared" si="22"/>
        <v>(771) 213-8258</v>
      </c>
      <c r="G384" s="66" t="s">
        <v>3592</v>
      </c>
      <c r="H384" s="40" t="s">
        <v>34</v>
      </c>
      <c r="I384" s="50" t="s">
        <v>3108</v>
      </c>
      <c r="J384" s="50" t="s">
        <v>3109</v>
      </c>
      <c r="K384" s="50" t="s">
        <v>3593</v>
      </c>
      <c r="L384" s="50" t="s">
        <v>3111</v>
      </c>
      <c r="M384" s="50" t="s">
        <v>39</v>
      </c>
      <c r="N384" s="52" t="s">
        <v>3594</v>
      </c>
      <c r="O384" s="52" t="s">
        <v>3595</v>
      </c>
      <c r="P384" s="52" t="s">
        <v>3596</v>
      </c>
      <c r="Q384" s="52">
        <v>102.0</v>
      </c>
      <c r="R384" s="52">
        <v>20020.0</v>
      </c>
      <c r="S384" s="52" t="s">
        <v>44</v>
      </c>
      <c r="T384" s="52" t="s">
        <v>3597</v>
      </c>
      <c r="U384" s="52">
        <v>1.0</v>
      </c>
      <c r="V384" s="52">
        <v>0.0</v>
      </c>
      <c r="W384" s="52">
        <v>1.0</v>
      </c>
      <c r="X384" s="52" t="s">
        <v>2632</v>
      </c>
      <c r="Y384" s="52" t="s">
        <v>47</v>
      </c>
      <c r="Z384" s="52" t="s">
        <v>236</v>
      </c>
      <c r="AA384" s="53" t="s">
        <v>3598</v>
      </c>
      <c r="AB384" s="52" t="s">
        <v>2069</v>
      </c>
      <c r="AC384" s="52">
        <v>6.0</v>
      </c>
      <c r="AD384" s="53" t="s">
        <v>3599</v>
      </c>
    </row>
    <row r="385">
      <c r="A385" s="54">
        <v>45819.72207440972</v>
      </c>
      <c r="B385" s="14">
        <f t="shared" si="1"/>
        <v>45819</v>
      </c>
      <c r="C385" s="15" t="s">
        <v>643</v>
      </c>
      <c r="D385" s="15" t="s">
        <v>3600</v>
      </c>
      <c r="E385" s="15" t="str">
        <f t="shared" si="21"/>
        <v>Christopher  Winston</v>
      </c>
      <c r="F385" s="16" t="str">
        <f t="shared" si="22"/>
        <v>(202) 597-3207</v>
      </c>
      <c r="G385" s="66" t="s">
        <v>3601</v>
      </c>
      <c r="H385" s="40" t="s">
        <v>66</v>
      </c>
      <c r="I385" s="50" t="s">
        <v>3602</v>
      </c>
      <c r="J385" s="50" t="s">
        <v>3603</v>
      </c>
      <c r="K385" s="50" t="s">
        <v>3604</v>
      </c>
      <c r="L385" s="50" t="s">
        <v>3605</v>
      </c>
      <c r="M385" s="50" t="s">
        <v>39</v>
      </c>
      <c r="N385" s="52" t="s">
        <v>3606</v>
      </c>
      <c r="O385" s="52" t="s">
        <v>3607</v>
      </c>
      <c r="P385" s="52" t="s">
        <v>3608</v>
      </c>
      <c r="Q385" s="52">
        <v>2318.0</v>
      </c>
      <c r="R385" s="52">
        <v>20002.0</v>
      </c>
      <c r="S385" s="52" t="s">
        <v>74</v>
      </c>
      <c r="T385" s="52" t="s">
        <v>3609</v>
      </c>
      <c r="U385" s="52">
        <v>1.0</v>
      </c>
      <c r="V385" s="52">
        <v>1.0</v>
      </c>
      <c r="W385" s="52">
        <v>2.0</v>
      </c>
      <c r="X385" s="52" t="s">
        <v>2632</v>
      </c>
      <c r="Y385" s="52" t="s">
        <v>85</v>
      </c>
      <c r="Z385" s="52" t="s">
        <v>122</v>
      </c>
      <c r="AA385" s="53" t="s">
        <v>3610</v>
      </c>
      <c r="AB385" s="52" t="s">
        <v>2059</v>
      </c>
      <c r="AC385" s="52">
        <v>20.0</v>
      </c>
      <c r="AD385" s="53" t="s">
        <v>3611</v>
      </c>
    </row>
    <row r="386">
      <c r="A386" s="54">
        <v>45820.72207175926</v>
      </c>
      <c r="B386" s="14">
        <f t="shared" si="1"/>
        <v>45820</v>
      </c>
      <c r="C386" s="15" t="s">
        <v>643</v>
      </c>
      <c r="D386" s="15" t="s">
        <v>3612</v>
      </c>
      <c r="E386" s="15" t="str">
        <f t="shared" si="21"/>
        <v>Pamela Bowen</v>
      </c>
      <c r="F386" s="16" t="str">
        <f t="shared" si="22"/>
        <v>(202) 798-9851</v>
      </c>
      <c r="G386" s="66" t="s">
        <v>3613</v>
      </c>
      <c r="H386" s="40" t="s">
        <v>103</v>
      </c>
      <c r="I386" s="50" t="s">
        <v>3614</v>
      </c>
      <c r="J386" s="50" t="s">
        <v>3615</v>
      </c>
      <c r="K386" s="50" t="s">
        <v>1718</v>
      </c>
      <c r="L386" s="50" t="s">
        <v>3616</v>
      </c>
      <c r="M386" s="50" t="s">
        <v>39</v>
      </c>
      <c r="N386" s="52" t="s">
        <v>1643</v>
      </c>
      <c r="O386" s="52" t="s">
        <v>3617</v>
      </c>
      <c r="P386" s="52" t="s">
        <v>3618</v>
      </c>
      <c r="Q386" s="52">
        <v>422.0</v>
      </c>
      <c r="R386" s="52">
        <v>20024.0</v>
      </c>
      <c r="S386" s="52" t="s">
        <v>562</v>
      </c>
      <c r="T386" s="52" t="s">
        <v>3619</v>
      </c>
      <c r="U386" s="52">
        <v>1.0</v>
      </c>
      <c r="V386" s="52">
        <v>0.0</v>
      </c>
      <c r="W386" s="52">
        <v>1.0</v>
      </c>
      <c r="X386" s="52" t="s">
        <v>2605</v>
      </c>
      <c r="Y386" s="52" t="s">
        <v>47</v>
      </c>
      <c r="Z386" s="52" t="s">
        <v>48</v>
      </c>
      <c r="AA386" s="53" t="s">
        <v>3620</v>
      </c>
      <c r="AB386" s="52" t="s">
        <v>2069</v>
      </c>
      <c r="AC386" s="52">
        <v>12.0</v>
      </c>
      <c r="AD386" s="53" t="s">
        <v>3621</v>
      </c>
    </row>
    <row r="387">
      <c r="A387" s="54">
        <v>45821.72207175926</v>
      </c>
      <c r="B387" s="14">
        <f t="shared" si="1"/>
        <v>45821</v>
      </c>
      <c r="C387" s="15" t="s">
        <v>643</v>
      </c>
      <c r="D387" s="15" t="s">
        <v>3622</v>
      </c>
      <c r="E387" s="15" t="str">
        <f t="shared" si="21"/>
        <v>Claudia  Whitaker</v>
      </c>
      <c r="F387" s="16" t="str">
        <f t="shared" si="22"/>
        <v>(202) 710-2122</v>
      </c>
      <c r="G387" s="66" t="s">
        <v>3623</v>
      </c>
      <c r="H387" s="40" t="s">
        <v>103</v>
      </c>
      <c r="I387" s="50" t="s">
        <v>3624</v>
      </c>
      <c r="J387" s="50" t="s">
        <v>3625</v>
      </c>
      <c r="K387" s="50" t="s">
        <v>3626</v>
      </c>
      <c r="L387" s="50" t="s">
        <v>3627</v>
      </c>
      <c r="M387" s="50" t="s">
        <v>39</v>
      </c>
      <c r="N387" s="52" t="s">
        <v>3628</v>
      </c>
      <c r="O387" s="52" t="s">
        <v>3007</v>
      </c>
      <c r="P387" s="52" t="s">
        <v>3629</v>
      </c>
      <c r="Q387" s="52">
        <v>209.0</v>
      </c>
      <c r="R387" s="52">
        <v>20005.0</v>
      </c>
      <c r="S387" s="52" t="s">
        <v>59</v>
      </c>
      <c r="T387" s="52" t="s">
        <v>3630</v>
      </c>
      <c r="U387" s="52">
        <v>1.0</v>
      </c>
      <c r="V387" s="52">
        <v>0.0</v>
      </c>
      <c r="W387" s="52">
        <v>1.0</v>
      </c>
      <c r="X387" s="52" t="s">
        <v>2641</v>
      </c>
      <c r="Y387" s="52" t="s">
        <v>85</v>
      </c>
      <c r="Z387" s="52" t="s">
        <v>166</v>
      </c>
      <c r="AA387" s="53" t="s">
        <v>3631</v>
      </c>
      <c r="AB387" s="52" t="s">
        <v>2059</v>
      </c>
      <c r="AC387" s="52">
        <v>12.0</v>
      </c>
      <c r="AD387" s="53" t="s">
        <v>3632</v>
      </c>
    </row>
    <row r="388">
      <c r="A388" s="54">
        <v>45822.72207175926</v>
      </c>
      <c r="B388" s="14">
        <f t="shared" si="1"/>
        <v>45822</v>
      </c>
      <c r="C388" s="15" t="s">
        <v>643</v>
      </c>
      <c r="D388" s="15" t="s">
        <v>3633</v>
      </c>
      <c r="E388" s="58" t="str">
        <f t="shared" si="21"/>
        <v>Sharon Holloman</v>
      </c>
      <c r="F388" s="16" t="str">
        <f t="shared" si="22"/>
        <v>(202) 937-7097</v>
      </c>
      <c r="G388" s="66" t="s">
        <v>3634</v>
      </c>
      <c r="H388" s="40" t="s">
        <v>103</v>
      </c>
      <c r="I388" s="50" t="s">
        <v>3582</v>
      </c>
      <c r="J388" s="50" t="s">
        <v>3583</v>
      </c>
      <c r="K388" s="50" t="s">
        <v>3635</v>
      </c>
      <c r="L388" s="50" t="s">
        <v>3585</v>
      </c>
      <c r="M388" s="50" t="s">
        <v>39</v>
      </c>
      <c r="N388" s="52" t="s">
        <v>2390</v>
      </c>
      <c r="O388" s="52" t="s">
        <v>3636</v>
      </c>
      <c r="P388" s="52" t="s">
        <v>3637</v>
      </c>
      <c r="Q388" s="52">
        <v>129.0</v>
      </c>
      <c r="R388" s="52">
        <v>20032.0</v>
      </c>
      <c r="S388" s="52" t="s">
        <v>562</v>
      </c>
      <c r="T388" s="52" t="s">
        <v>3638</v>
      </c>
      <c r="U388" s="52">
        <v>1.0</v>
      </c>
      <c r="V388" s="52">
        <v>0.0</v>
      </c>
      <c r="W388" s="52">
        <v>1.0</v>
      </c>
      <c r="X388" s="52" t="s">
        <v>2605</v>
      </c>
      <c r="Y388" s="52" t="s">
        <v>47</v>
      </c>
      <c r="Z388" s="52" t="s">
        <v>361</v>
      </c>
      <c r="AA388" s="53" t="s">
        <v>3639</v>
      </c>
      <c r="AB388" s="52" t="s">
        <v>2069</v>
      </c>
      <c r="AC388" s="52">
        <v>12.0</v>
      </c>
      <c r="AD388" s="53" t="s">
        <v>3640</v>
      </c>
    </row>
    <row r="389">
      <c r="A389" s="54">
        <v>45823.72207175926</v>
      </c>
      <c r="B389" s="14">
        <f t="shared" si="1"/>
        <v>45823</v>
      </c>
      <c r="C389" s="15" t="s">
        <v>643</v>
      </c>
      <c r="D389" s="15" t="s">
        <v>1697</v>
      </c>
      <c r="E389" s="15" t="str">
        <f t="shared" si="21"/>
        <v>Diane Lyons</v>
      </c>
      <c r="F389" s="16" t="str">
        <f t="shared" si="22"/>
        <v>(240) 310-5151</v>
      </c>
      <c r="G389" s="66" t="s">
        <v>3641</v>
      </c>
      <c r="H389" s="40" t="s">
        <v>103</v>
      </c>
      <c r="I389" s="50" t="s">
        <v>3582</v>
      </c>
      <c r="J389" s="50" t="s">
        <v>3583</v>
      </c>
      <c r="K389" s="50" t="s">
        <v>3635</v>
      </c>
      <c r="L389" s="50" t="s">
        <v>3585</v>
      </c>
      <c r="M389" s="50" t="s">
        <v>39</v>
      </c>
      <c r="N389" s="52" t="s">
        <v>2735</v>
      </c>
      <c r="O389" s="52" t="s">
        <v>3642</v>
      </c>
      <c r="P389" s="52" t="s">
        <v>3643</v>
      </c>
      <c r="Q389" s="52">
        <v>403.0</v>
      </c>
      <c r="R389" s="52">
        <v>20019.0</v>
      </c>
      <c r="S389" s="52" t="s">
        <v>44</v>
      </c>
      <c r="T389" s="52" t="s">
        <v>3644</v>
      </c>
      <c r="U389" s="52">
        <v>1.0</v>
      </c>
      <c r="V389" s="52">
        <v>0.0</v>
      </c>
      <c r="W389" s="52">
        <v>1.0</v>
      </c>
      <c r="X389" s="52" t="s">
        <v>2641</v>
      </c>
      <c r="Y389" s="52" t="s">
        <v>47</v>
      </c>
      <c r="Z389" s="52" t="s">
        <v>236</v>
      </c>
      <c r="AA389" s="53" t="s">
        <v>3645</v>
      </c>
      <c r="AB389" s="52" t="s">
        <v>2069</v>
      </c>
      <c r="AC389" s="52">
        <v>12.0</v>
      </c>
      <c r="AD389" s="53" t="s">
        <v>3646</v>
      </c>
      <c r="AE389" s="61" t="s">
        <v>3647</v>
      </c>
    </row>
    <row r="390">
      <c r="A390" s="54">
        <v>45847.50626645834</v>
      </c>
      <c r="B390" s="14">
        <f t="shared" si="1"/>
        <v>45847</v>
      </c>
      <c r="C390" s="15" t="s">
        <v>643</v>
      </c>
      <c r="D390" s="15" t="s">
        <v>3648</v>
      </c>
      <c r="E390" s="15" t="str">
        <f t="shared" si="21"/>
        <v>Tracy Alston</v>
      </c>
      <c r="F390" s="16" t="str">
        <f t="shared" si="22"/>
        <v>(202) 702-3331</v>
      </c>
      <c r="G390" s="66" t="s">
        <v>3649</v>
      </c>
      <c r="H390" s="40" t="s">
        <v>356</v>
      </c>
      <c r="I390" s="50" t="s">
        <v>1869</v>
      </c>
      <c r="J390" s="50" t="s">
        <v>1870</v>
      </c>
      <c r="K390" s="50" t="s">
        <v>3650</v>
      </c>
      <c r="L390" s="50" t="s">
        <v>2229</v>
      </c>
      <c r="M390" s="50" t="s">
        <v>39</v>
      </c>
      <c r="N390" s="52" t="s">
        <v>40</v>
      </c>
      <c r="O390" s="52" t="s">
        <v>3651</v>
      </c>
      <c r="P390" s="52" t="s">
        <v>3652</v>
      </c>
      <c r="Q390" s="52">
        <v>401.0</v>
      </c>
      <c r="R390" s="52">
        <v>20020.0</v>
      </c>
      <c r="S390" s="52" t="s">
        <v>44</v>
      </c>
      <c r="T390" s="52" t="s">
        <v>3653</v>
      </c>
      <c r="U390" s="52">
        <v>1.0</v>
      </c>
      <c r="V390" s="52">
        <v>1.0</v>
      </c>
      <c r="W390" s="52">
        <v>1.0</v>
      </c>
      <c r="X390" s="52" t="s">
        <v>2641</v>
      </c>
      <c r="Y390" s="52" t="s">
        <v>47</v>
      </c>
      <c r="Z390" s="52" t="s">
        <v>61</v>
      </c>
      <c r="AA390" s="53" t="s">
        <v>3654</v>
      </c>
      <c r="AB390" s="52" t="s">
        <v>2059</v>
      </c>
      <c r="AC390" s="52">
        <v>12.0</v>
      </c>
      <c r="AD390" s="53" t="s">
        <v>3655</v>
      </c>
    </row>
    <row r="391">
      <c r="A391" s="54">
        <v>45848.49518653935</v>
      </c>
      <c r="B391" s="14">
        <f t="shared" si="1"/>
        <v>45848</v>
      </c>
      <c r="C391" s="15" t="s">
        <v>643</v>
      </c>
      <c r="D391" s="15" t="s">
        <v>3656</v>
      </c>
      <c r="E391" s="15" t="str">
        <f t="shared" si="21"/>
        <v>Tawanda Harrison</v>
      </c>
      <c r="F391" s="16" t="str">
        <f t="shared" si="22"/>
        <v>(540) 760-5608</v>
      </c>
      <c r="G391" s="66" t="s">
        <v>3657</v>
      </c>
      <c r="H391" s="40" t="s">
        <v>103</v>
      </c>
      <c r="I391" s="50" t="s">
        <v>1794</v>
      </c>
      <c r="J391" s="50" t="s">
        <v>1795</v>
      </c>
      <c r="K391" s="50" t="s">
        <v>3658</v>
      </c>
      <c r="L391" s="50" t="s">
        <v>3659</v>
      </c>
      <c r="M391" s="50" t="s">
        <v>39</v>
      </c>
      <c r="N391" s="52" t="s">
        <v>3660</v>
      </c>
      <c r="O391" s="52" t="s">
        <v>128</v>
      </c>
      <c r="P391" s="52" t="s">
        <v>3661</v>
      </c>
      <c r="Q391" s="52">
        <v>103.0</v>
      </c>
      <c r="R391" s="52">
        <v>20019.0</v>
      </c>
      <c r="S391" s="52" t="s">
        <v>74</v>
      </c>
      <c r="T391" s="52" t="s">
        <v>3662</v>
      </c>
      <c r="U391" s="52">
        <v>1.0</v>
      </c>
      <c r="V391" s="52">
        <v>0.0</v>
      </c>
      <c r="W391" s="52">
        <v>1.0</v>
      </c>
      <c r="X391" s="52" t="s">
        <v>2261</v>
      </c>
      <c r="Y391" s="52" t="s">
        <v>47</v>
      </c>
      <c r="Z391" s="52" t="s">
        <v>2857</v>
      </c>
      <c r="AA391" s="53" t="s">
        <v>3663</v>
      </c>
      <c r="AB391" s="52" t="s">
        <v>2059</v>
      </c>
      <c r="AC391" s="52">
        <v>4.0</v>
      </c>
      <c r="AD391" s="53" t="s">
        <v>3664</v>
      </c>
      <c r="AE391" s="61" t="s">
        <v>3665</v>
      </c>
    </row>
    <row r="392">
      <c r="A392" s="54">
        <v>45862.3977200463</v>
      </c>
      <c r="B392" s="14">
        <f t="shared" si="1"/>
        <v>45862</v>
      </c>
      <c r="C392" s="15" t="s">
        <v>643</v>
      </c>
      <c r="D392" s="15" t="s">
        <v>3666</v>
      </c>
      <c r="E392" s="15" t="str">
        <f t="shared" si="21"/>
        <v>Steve Watkins Jr</v>
      </c>
      <c r="F392" s="16" t="str">
        <f t="shared" si="22"/>
        <v>(202) 256-3317</v>
      </c>
      <c r="G392" s="66" t="s">
        <v>3667</v>
      </c>
      <c r="H392" s="40" t="s">
        <v>66</v>
      </c>
      <c r="I392" s="50" t="s">
        <v>1869</v>
      </c>
      <c r="J392" s="50" t="s">
        <v>1870</v>
      </c>
      <c r="K392" s="50" t="s">
        <v>1871</v>
      </c>
      <c r="L392" s="50" t="s">
        <v>2229</v>
      </c>
      <c r="M392" s="50" t="s">
        <v>39</v>
      </c>
      <c r="N392" s="52" t="s">
        <v>3668</v>
      </c>
      <c r="O392" s="52" t="s">
        <v>3669</v>
      </c>
      <c r="P392" s="52" t="s">
        <v>3670</v>
      </c>
      <c r="Q392" s="52" t="s">
        <v>3671</v>
      </c>
      <c r="R392" s="52">
        <v>20020.0</v>
      </c>
      <c r="S392" s="52" t="s">
        <v>44</v>
      </c>
      <c r="T392" s="52" t="s">
        <v>3672</v>
      </c>
      <c r="U392" s="52">
        <v>2.0</v>
      </c>
      <c r="V392" s="52">
        <v>0.0</v>
      </c>
      <c r="W392" s="52">
        <v>2.0</v>
      </c>
      <c r="X392" s="52" t="s">
        <v>2261</v>
      </c>
      <c r="Y392" s="52" t="s">
        <v>47</v>
      </c>
      <c r="Z392" s="52" t="s">
        <v>361</v>
      </c>
      <c r="AA392" s="53" t="s">
        <v>3673</v>
      </c>
      <c r="AB392" s="52" t="s">
        <v>2069</v>
      </c>
      <c r="AC392" s="52">
        <v>6.0</v>
      </c>
      <c r="AD392" s="53" t="s">
        <v>3674</v>
      </c>
    </row>
    <row r="393">
      <c r="A393" s="54">
        <v>45862.61905700232</v>
      </c>
      <c r="B393" s="14">
        <f t="shared" si="1"/>
        <v>45862</v>
      </c>
      <c r="C393" s="15" t="s">
        <v>643</v>
      </c>
      <c r="D393" s="15" t="s">
        <v>3675</v>
      </c>
      <c r="E393" s="15" t="str">
        <f t="shared" si="21"/>
        <v>Theresa Sherrer</v>
      </c>
      <c r="F393" s="16" t="str">
        <f t="shared" si="22"/>
        <v>(202) 701-1224</v>
      </c>
      <c r="G393" s="66" t="s">
        <v>3676</v>
      </c>
      <c r="H393" s="40" t="s">
        <v>66</v>
      </c>
      <c r="I393" s="50" t="s">
        <v>3677</v>
      </c>
      <c r="J393" s="50" t="s">
        <v>2367</v>
      </c>
      <c r="K393" s="50" t="s">
        <v>3678</v>
      </c>
      <c r="L393" s="50" t="s">
        <v>3679</v>
      </c>
      <c r="M393" s="50" t="s">
        <v>39</v>
      </c>
      <c r="N393" s="52" t="s">
        <v>3680</v>
      </c>
      <c r="O393" s="52" t="s">
        <v>3681</v>
      </c>
      <c r="P393" s="52" t="s">
        <v>3682</v>
      </c>
      <c r="Q393" s="52">
        <v>106.0</v>
      </c>
      <c r="R393" s="52">
        <v>20029.0</v>
      </c>
      <c r="S393" s="52" t="s">
        <v>74</v>
      </c>
      <c r="T393" s="52" t="s">
        <v>3683</v>
      </c>
      <c r="U393" s="52">
        <v>1.0</v>
      </c>
      <c r="V393" s="52">
        <v>0.0</v>
      </c>
      <c r="W393" s="52">
        <v>1.0</v>
      </c>
      <c r="X393" s="52" t="s">
        <v>2261</v>
      </c>
      <c r="Y393" s="52" t="s">
        <v>47</v>
      </c>
      <c r="Z393" s="52" t="s">
        <v>61</v>
      </c>
      <c r="AA393" s="53" t="s">
        <v>3684</v>
      </c>
      <c r="AB393" s="52" t="s">
        <v>2751</v>
      </c>
      <c r="AC393" s="52">
        <v>12.0</v>
      </c>
      <c r="AD393" s="53" t="s">
        <v>3685</v>
      </c>
    </row>
    <row r="394">
      <c r="A394" s="54">
        <v>45863.50237440973</v>
      </c>
      <c r="B394" s="14">
        <f t="shared" si="1"/>
        <v>45863</v>
      </c>
      <c r="C394" s="15" t="s">
        <v>643</v>
      </c>
      <c r="D394" s="15" t="s">
        <v>3686</v>
      </c>
      <c r="E394" s="15" t="str">
        <f t="shared" si="21"/>
        <v>MARLON CAUGHMAN</v>
      </c>
      <c r="F394" s="16" t="str">
        <f t="shared" si="22"/>
        <v>(202) 230-6022</v>
      </c>
      <c r="G394" s="66" t="s">
        <v>3687</v>
      </c>
      <c r="H394" s="40" t="s">
        <v>103</v>
      </c>
      <c r="I394" s="50" t="s">
        <v>1135</v>
      </c>
      <c r="J394" s="50" t="s">
        <v>1136</v>
      </c>
      <c r="K394" s="50" t="s">
        <v>116</v>
      </c>
      <c r="L394" s="50" t="s">
        <v>3688</v>
      </c>
      <c r="M394" s="50" t="s">
        <v>39</v>
      </c>
      <c r="N394" s="52" t="s">
        <v>3689</v>
      </c>
      <c r="O394" s="52" t="s">
        <v>3690</v>
      </c>
      <c r="P394" s="52" t="s">
        <v>3691</v>
      </c>
      <c r="Q394" s="59"/>
      <c r="R394" s="52">
        <v>20032.0</v>
      </c>
      <c r="S394" s="52" t="s">
        <v>44</v>
      </c>
      <c r="T394" s="52" t="s">
        <v>3692</v>
      </c>
      <c r="U394" s="52">
        <v>2.0</v>
      </c>
      <c r="V394" s="52">
        <v>0.0</v>
      </c>
      <c r="W394" s="52">
        <v>2.0</v>
      </c>
      <c r="X394" s="52" t="s">
        <v>2594</v>
      </c>
      <c r="Y394" s="52" t="s">
        <v>47</v>
      </c>
      <c r="Z394" s="52" t="s">
        <v>361</v>
      </c>
      <c r="AA394" s="53" t="s">
        <v>3693</v>
      </c>
      <c r="AB394" s="52" t="s">
        <v>2069</v>
      </c>
      <c r="AC394" s="52">
        <v>12.0</v>
      </c>
      <c r="AD394" s="53" t="s">
        <v>3694</v>
      </c>
    </row>
    <row r="395">
      <c r="A395" s="54">
        <v>45863.64977645833</v>
      </c>
      <c r="B395" s="14">
        <f t="shared" si="1"/>
        <v>45863</v>
      </c>
      <c r="C395" s="15" t="s">
        <v>643</v>
      </c>
      <c r="D395" s="15" t="s">
        <v>3048</v>
      </c>
      <c r="E395" s="15" t="str">
        <f t="shared" si="21"/>
        <v>Stephanie Carey</v>
      </c>
      <c r="F395" s="16" t="str">
        <f t="shared" si="22"/>
        <v>(202) 300-2284</v>
      </c>
      <c r="G395" s="66" t="s">
        <v>3695</v>
      </c>
      <c r="H395" s="40" t="s">
        <v>103</v>
      </c>
      <c r="I395" s="50" t="s">
        <v>1688</v>
      </c>
      <c r="J395" s="50" t="s">
        <v>1689</v>
      </c>
      <c r="K395" s="50" t="s">
        <v>1691</v>
      </c>
      <c r="L395" s="50" t="s">
        <v>3084</v>
      </c>
      <c r="M395" s="50" t="s">
        <v>39</v>
      </c>
      <c r="N395" s="52" t="s">
        <v>2552</v>
      </c>
      <c r="O395" s="52" t="s">
        <v>3052</v>
      </c>
      <c r="P395" s="52" t="s">
        <v>3696</v>
      </c>
      <c r="Q395" s="52">
        <v>1228.0</v>
      </c>
      <c r="R395" s="52">
        <v>20032.0</v>
      </c>
      <c r="S395" s="52" t="s">
        <v>44</v>
      </c>
      <c r="T395" s="52" t="s">
        <v>3053</v>
      </c>
      <c r="U395" s="52">
        <v>2.0</v>
      </c>
      <c r="V395" s="52">
        <v>2.0</v>
      </c>
      <c r="W395" s="52">
        <v>4.0</v>
      </c>
      <c r="X395" s="52" t="s">
        <v>2261</v>
      </c>
      <c r="Y395" s="52" t="s">
        <v>47</v>
      </c>
      <c r="Z395" s="52" t="s">
        <v>236</v>
      </c>
      <c r="AA395" s="53" t="s">
        <v>3697</v>
      </c>
      <c r="AB395" s="52" t="s">
        <v>2059</v>
      </c>
      <c r="AC395" s="52">
        <v>12.0</v>
      </c>
      <c r="AD395" s="53" t="s">
        <v>3698</v>
      </c>
    </row>
    <row r="396">
      <c r="A396" s="54">
        <v>45863.67955518518</v>
      </c>
      <c r="B396" s="14">
        <f t="shared" si="1"/>
        <v>45863</v>
      </c>
      <c r="C396" s="15" t="s">
        <v>643</v>
      </c>
      <c r="D396" s="15" t="s">
        <v>2527</v>
      </c>
      <c r="E396" s="15" t="str">
        <f t="shared" si="21"/>
        <v>Tiandre Osborne</v>
      </c>
      <c r="F396" s="16" t="str">
        <f t="shared" si="22"/>
        <v>(202) 431-9519</v>
      </c>
      <c r="G396" s="66" t="s">
        <v>3699</v>
      </c>
      <c r="H396" s="40" t="s">
        <v>103</v>
      </c>
      <c r="I396" s="50" t="s">
        <v>3700</v>
      </c>
      <c r="J396" s="50" t="s">
        <v>3701</v>
      </c>
      <c r="K396" s="50" t="s">
        <v>622</v>
      </c>
      <c r="L396" s="50" t="s">
        <v>3702</v>
      </c>
      <c r="M396" s="50" t="s">
        <v>39</v>
      </c>
      <c r="N396" s="52" t="s">
        <v>2530</v>
      </c>
      <c r="O396" s="52" t="s">
        <v>2531</v>
      </c>
      <c r="P396" s="52" t="s">
        <v>3703</v>
      </c>
      <c r="Q396" s="52">
        <v>719.0</v>
      </c>
      <c r="R396" s="52">
        <v>20003.0</v>
      </c>
      <c r="S396" s="52" t="s">
        <v>44</v>
      </c>
      <c r="T396" s="52" t="s">
        <v>2533</v>
      </c>
      <c r="U396" s="52">
        <v>1.0</v>
      </c>
      <c r="V396" s="52">
        <v>1.0</v>
      </c>
      <c r="W396" s="52">
        <v>2.0</v>
      </c>
      <c r="X396" s="52" t="s">
        <v>2261</v>
      </c>
      <c r="Y396" s="52" t="s">
        <v>85</v>
      </c>
      <c r="Z396" s="52" t="s">
        <v>458</v>
      </c>
      <c r="AA396" s="53" t="s">
        <v>3704</v>
      </c>
      <c r="AB396" s="52" t="s">
        <v>2059</v>
      </c>
      <c r="AC396" s="52">
        <v>12.0</v>
      </c>
      <c r="AD396" s="53" t="s">
        <v>3705</v>
      </c>
    </row>
    <row r="397">
      <c r="A397" s="54">
        <v>45868.646484467594</v>
      </c>
      <c r="B397" s="14">
        <f t="shared" si="1"/>
        <v>45868</v>
      </c>
      <c r="C397" s="15" t="s">
        <v>643</v>
      </c>
      <c r="D397" s="15" t="s">
        <v>3706</v>
      </c>
      <c r="E397" s="58" t="str">
        <f t="shared" si="21"/>
        <v>Dorothy Martin</v>
      </c>
      <c r="F397" s="16" t="str">
        <f t="shared" si="22"/>
        <v>(202) 745-0359</v>
      </c>
      <c r="G397" s="66"/>
      <c r="H397" s="40" t="s">
        <v>66</v>
      </c>
      <c r="I397" s="50" t="s">
        <v>1869</v>
      </c>
      <c r="J397" s="50" t="s">
        <v>1870</v>
      </c>
      <c r="K397" s="50" t="s">
        <v>3650</v>
      </c>
      <c r="L397" s="50" t="s">
        <v>2229</v>
      </c>
      <c r="M397" s="50" t="s">
        <v>39</v>
      </c>
      <c r="N397" s="52" t="s">
        <v>599</v>
      </c>
      <c r="O397" s="52" t="s">
        <v>765</v>
      </c>
      <c r="P397" s="52" t="s">
        <v>3707</v>
      </c>
      <c r="Q397" s="52">
        <v>206.0</v>
      </c>
      <c r="R397" s="52">
        <v>20008.0</v>
      </c>
      <c r="S397" s="52" t="s">
        <v>59</v>
      </c>
      <c r="T397" s="52" t="s">
        <v>3708</v>
      </c>
      <c r="U397" s="52">
        <v>1.0</v>
      </c>
      <c r="V397" s="52">
        <v>0.0</v>
      </c>
      <c r="W397" s="52">
        <v>1.0</v>
      </c>
      <c r="X397" s="52" t="s">
        <v>2700</v>
      </c>
      <c r="Y397" s="52" t="s">
        <v>47</v>
      </c>
      <c r="Z397" s="52" t="s">
        <v>361</v>
      </c>
      <c r="AA397" s="53" t="s">
        <v>3709</v>
      </c>
      <c r="AB397" s="52" t="s">
        <v>2069</v>
      </c>
      <c r="AC397" s="52">
        <v>12.0</v>
      </c>
      <c r="AD397" s="53" t="s">
        <v>3710</v>
      </c>
    </row>
    <row r="398">
      <c r="A398" s="54">
        <v>45881.43053099537</v>
      </c>
      <c r="B398" s="14">
        <f t="shared" si="1"/>
        <v>45881</v>
      </c>
      <c r="C398" s="15" t="s">
        <v>643</v>
      </c>
      <c r="D398" s="15" t="s">
        <v>2622</v>
      </c>
      <c r="E398" s="15" t="str">
        <f t="shared" si="21"/>
        <v>Sabrina Devine</v>
      </c>
      <c r="F398" s="16" t="str">
        <f t="shared" si="22"/>
        <v>(771) 216-2888</v>
      </c>
      <c r="G398" s="66" t="s">
        <v>3711</v>
      </c>
      <c r="H398" s="40" t="s">
        <v>103</v>
      </c>
      <c r="I398" s="50" t="s">
        <v>2624</v>
      </c>
      <c r="J398" s="50" t="s">
        <v>2625</v>
      </c>
      <c r="K398" s="50" t="s">
        <v>3712</v>
      </c>
      <c r="L398" s="50" t="s">
        <v>3713</v>
      </c>
      <c r="M398" s="50" t="s">
        <v>39</v>
      </c>
      <c r="N398" s="52" t="s">
        <v>3042</v>
      </c>
      <c r="O398" s="52" t="s">
        <v>3714</v>
      </c>
      <c r="P398" s="52" t="s">
        <v>3715</v>
      </c>
      <c r="Q398" s="59"/>
      <c r="R398" s="52">
        <v>20019.0</v>
      </c>
      <c r="S398" s="52" t="s">
        <v>74</v>
      </c>
      <c r="T398" s="52" t="s">
        <v>2631</v>
      </c>
      <c r="U398" s="52">
        <v>1.0</v>
      </c>
      <c r="V398" s="52">
        <v>5.0</v>
      </c>
      <c r="W398" s="52">
        <v>6.0</v>
      </c>
      <c r="X398" s="52" t="s">
        <v>2632</v>
      </c>
      <c r="Y398" s="52" t="s">
        <v>85</v>
      </c>
      <c r="Z398" s="52" t="s">
        <v>61</v>
      </c>
      <c r="AA398" s="53" t="s">
        <v>3716</v>
      </c>
      <c r="AB398" s="52" t="s">
        <v>2069</v>
      </c>
      <c r="AC398" s="52">
        <v>12.0</v>
      </c>
      <c r="AD398" s="53" t="s">
        <v>3717</v>
      </c>
    </row>
    <row r="399">
      <c r="A399" s="54">
        <v>45894.47054523148</v>
      </c>
      <c r="B399" s="14">
        <f t="shared" si="1"/>
        <v>45894</v>
      </c>
      <c r="C399" s="15" t="s">
        <v>643</v>
      </c>
      <c r="D399" s="15" t="s">
        <v>3718</v>
      </c>
      <c r="E399" s="15" t="str">
        <f t="shared" si="21"/>
        <v>Florinda Lopez</v>
      </c>
      <c r="F399" s="16" t="str">
        <f t="shared" si="22"/>
        <v>(240) 427-6623</v>
      </c>
      <c r="G399" s="66" t="s">
        <v>3719</v>
      </c>
      <c r="H399" s="40" t="s">
        <v>103</v>
      </c>
      <c r="I399" s="50" t="s">
        <v>1953</v>
      </c>
      <c r="J399" s="50" t="s">
        <v>841</v>
      </c>
      <c r="K399" s="50" t="s">
        <v>2303</v>
      </c>
      <c r="L399" s="50" t="s">
        <v>2304</v>
      </c>
      <c r="M399" s="50" t="s">
        <v>39</v>
      </c>
      <c r="N399" s="52" t="s">
        <v>3720</v>
      </c>
      <c r="O399" s="52" t="s">
        <v>3721</v>
      </c>
      <c r="P399" s="52" t="s">
        <v>3722</v>
      </c>
      <c r="Q399" s="52">
        <v>703.0</v>
      </c>
      <c r="R399" s="52">
        <v>20011.0</v>
      </c>
      <c r="S399" s="52" t="s">
        <v>59</v>
      </c>
      <c r="T399" s="52" t="s">
        <v>3723</v>
      </c>
      <c r="U399" s="52">
        <v>4.0</v>
      </c>
      <c r="V399" s="52">
        <v>1.0</v>
      </c>
      <c r="W399" s="52">
        <v>5.0</v>
      </c>
      <c r="X399" s="52" t="s">
        <v>2632</v>
      </c>
      <c r="Y399" s="52" t="s">
        <v>47</v>
      </c>
      <c r="Z399" s="52" t="s">
        <v>3497</v>
      </c>
      <c r="AA399" s="53" t="s">
        <v>3724</v>
      </c>
      <c r="AB399" s="52" t="s">
        <v>2059</v>
      </c>
      <c r="AC399" s="52">
        <v>3.0</v>
      </c>
      <c r="AD399" s="53" t="s">
        <v>3725</v>
      </c>
      <c r="AE399" s="61" t="s">
        <v>3726</v>
      </c>
    </row>
    <row r="400">
      <c r="A400" s="54">
        <v>45894.51181568287</v>
      </c>
      <c r="B400" s="14">
        <f t="shared" si="1"/>
        <v>45894</v>
      </c>
      <c r="C400" s="15" t="s">
        <v>643</v>
      </c>
      <c r="D400" s="15" t="s">
        <v>3727</v>
      </c>
      <c r="E400" s="15" t="str">
        <f t="shared" si="21"/>
        <v>Leonora Rivas</v>
      </c>
      <c r="F400" s="16" t="str">
        <f t="shared" si="22"/>
        <v>(202) 308-4903</v>
      </c>
      <c r="G400" s="66" t="s">
        <v>3728</v>
      </c>
      <c r="H400" s="40" t="s">
        <v>66</v>
      </c>
      <c r="I400" s="50" t="s">
        <v>1953</v>
      </c>
      <c r="J400" s="50" t="s">
        <v>3729</v>
      </c>
      <c r="K400" s="50" t="s">
        <v>2303</v>
      </c>
      <c r="L400" s="50" t="s">
        <v>2304</v>
      </c>
      <c r="M400" s="50" t="s">
        <v>39</v>
      </c>
      <c r="N400" s="52" t="s">
        <v>3730</v>
      </c>
      <c r="O400" s="52" t="s">
        <v>3731</v>
      </c>
      <c r="P400" s="52" t="s">
        <v>3732</v>
      </c>
      <c r="Q400" s="59"/>
      <c r="R400" s="52">
        <v>20010.0</v>
      </c>
      <c r="S400" s="52" t="s">
        <v>59</v>
      </c>
      <c r="T400" s="52" t="s">
        <v>3733</v>
      </c>
      <c r="U400" s="52">
        <v>1.0</v>
      </c>
      <c r="V400" s="52">
        <v>1.0</v>
      </c>
      <c r="W400" s="52">
        <v>2.0</v>
      </c>
      <c r="X400" s="52" t="s">
        <v>2566</v>
      </c>
      <c r="Y400" s="52" t="s">
        <v>85</v>
      </c>
      <c r="Z400" s="52" t="s">
        <v>3497</v>
      </c>
      <c r="AA400" s="53" t="s">
        <v>3734</v>
      </c>
      <c r="AB400" s="52" t="s">
        <v>2059</v>
      </c>
      <c r="AC400" s="52">
        <v>2.0</v>
      </c>
      <c r="AD400" s="53" t="s">
        <v>3735</v>
      </c>
      <c r="AE400" s="61" t="s">
        <v>3736</v>
      </c>
    </row>
    <row r="401">
      <c r="A401" s="54">
        <v>45895.65637489583</v>
      </c>
      <c r="B401" s="14">
        <f t="shared" si="1"/>
        <v>45895</v>
      </c>
      <c r="C401" s="15" t="s">
        <v>643</v>
      </c>
      <c r="D401" s="15" t="s">
        <v>3737</v>
      </c>
      <c r="E401" s="15" t="str">
        <f t="shared" si="21"/>
        <v>William  Settles</v>
      </c>
      <c r="F401" s="16" t="str">
        <f t="shared" si="22"/>
        <v>(771) 233-4686</v>
      </c>
      <c r="G401" s="66" t="s">
        <v>3738</v>
      </c>
      <c r="H401" s="40" t="s">
        <v>103</v>
      </c>
      <c r="I401" s="50" t="s">
        <v>3739</v>
      </c>
      <c r="J401" s="50" t="s">
        <v>3740</v>
      </c>
      <c r="K401" s="50" t="s">
        <v>3741</v>
      </c>
      <c r="L401" s="50" t="s">
        <v>3742</v>
      </c>
      <c r="M401" s="50" t="s">
        <v>39</v>
      </c>
      <c r="N401" s="52" t="s">
        <v>2685</v>
      </c>
      <c r="O401" s="52" t="s">
        <v>1789</v>
      </c>
      <c r="P401" s="52" t="s">
        <v>3743</v>
      </c>
      <c r="Q401" s="52">
        <v>303.0</v>
      </c>
      <c r="R401" s="52">
        <v>20020.0</v>
      </c>
      <c r="S401" s="52" t="s">
        <v>44</v>
      </c>
      <c r="T401" s="52" t="s">
        <v>3744</v>
      </c>
      <c r="U401" s="52">
        <v>1.0</v>
      </c>
      <c r="V401" s="52">
        <v>0.0</v>
      </c>
      <c r="W401" s="52">
        <v>1.0</v>
      </c>
      <c r="X401" s="52" t="s">
        <v>2700</v>
      </c>
      <c r="Y401" s="52" t="s">
        <v>47</v>
      </c>
      <c r="Z401" s="52" t="s">
        <v>122</v>
      </c>
      <c r="AA401" s="53" t="s">
        <v>3745</v>
      </c>
      <c r="AB401" s="52" t="s">
        <v>2059</v>
      </c>
      <c r="AC401" s="52">
        <v>12.0</v>
      </c>
      <c r="AD401" s="53" t="s">
        <v>3746</v>
      </c>
    </row>
    <row r="402">
      <c r="A402" s="54">
        <v>45903.59115074074</v>
      </c>
      <c r="B402" s="14">
        <f t="shared" si="1"/>
        <v>45903</v>
      </c>
      <c r="C402" s="15" t="s">
        <v>643</v>
      </c>
      <c r="D402" s="15" t="s">
        <v>3747</v>
      </c>
      <c r="E402" s="15" t="str">
        <f t="shared" si="21"/>
        <v>Maria Mercado </v>
      </c>
      <c r="F402" s="16" t="str">
        <f t="shared" si="22"/>
        <v>(202) 491-4796</v>
      </c>
      <c r="G402" s="66" t="s">
        <v>3657</v>
      </c>
      <c r="H402" s="40" t="s">
        <v>66</v>
      </c>
      <c r="I402" s="50" t="s">
        <v>1953</v>
      </c>
      <c r="J402" s="50" t="s">
        <v>841</v>
      </c>
      <c r="K402" s="50" t="s">
        <v>2303</v>
      </c>
      <c r="L402" s="50" t="s">
        <v>2304</v>
      </c>
      <c r="M402" s="50" t="s">
        <v>39</v>
      </c>
      <c r="N402" s="52" t="s">
        <v>2045</v>
      </c>
      <c r="O402" s="52" t="s">
        <v>3748</v>
      </c>
      <c r="P402" s="52" t="s">
        <v>3749</v>
      </c>
      <c r="Q402" s="52" t="s">
        <v>3750</v>
      </c>
      <c r="R402" s="52">
        <v>20011.0</v>
      </c>
      <c r="S402" s="52" t="s">
        <v>59</v>
      </c>
      <c r="T402" s="52" t="s">
        <v>3751</v>
      </c>
      <c r="U402" s="52">
        <v>1.0</v>
      </c>
      <c r="V402" s="52">
        <v>5.0</v>
      </c>
      <c r="W402" s="52">
        <v>6.0</v>
      </c>
      <c r="X402" s="52" t="s">
        <v>2566</v>
      </c>
      <c r="Y402" s="52" t="s">
        <v>85</v>
      </c>
      <c r="Z402" s="52" t="s">
        <v>236</v>
      </c>
      <c r="AA402" s="53" t="s">
        <v>3752</v>
      </c>
      <c r="AB402" s="52" t="s">
        <v>2059</v>
      </c>
      <c r="AC402" s="52">
        <v>2.0</v>
      </c>
      <c r="AD402" s="53" t="s">
        <v>3753</v>
      </c>
    </row>
    <row r="403">
      <c r="A403" s="54">
        <v>45904.41316967593</v>
      </c>
      <c r="B403" s="14">
        <f t="shared" si="1"/>
        <v>45904</v>
      </c>
      <c r="C403" s="15" t="s">
        <v>643</v>
      </c>
      <c r="D403" s="15" t="s">
        <v>3754</v>
      </c>
      <c r="E403" s="15" t="str">
        <f t="shared" si="21"/>
        <v>Shelia Reid</v>
      </c>
      <c r="F403" s="16" t="str">
        <f t="shared" si="22"/>
        <v>‪(202) 749-5472‬</v>
      </c>
      <c r="G403" s="66" t="s">
        <v>3755</v>
      </c>
      <c r="H403" s="68" t="s">
        <v>103</v>
      </c>
      <c r="I403" s="50" t="s">
        <v>872</v>
      </c>
      <c r="J403" s="50" t="s">
        <v>873</v>
      </c>
      <c r="K403" s="50" t="s">
        <v>874</v>
      </c>
      <c r="L403" s="50" t="s">
        <v>3756</v>
      </c>
      <c r="M403" s="50" t="s">
        <v>39</v>
      </c>
      <c r="N403" s="52" t="s">
        <v>3757</v>
      </c>
      <c r="O403" s="52" t="s">
        <v>3758</v>
      </c>
      <c r="P403" s="52" t="s">
        <v>3759</v>
      </c>
      <c r="Q403" s="59"/>
      <c r="R403" s="52">
        <v>20011.0</v>
      </c>
      <c r="S403" s="52" t="s">
        <v>59</v>
      </c>
      <c r="T403" s="52" t="s">
        <v>3760</v>
      </c>
      <c r="U403" s="52">
        <v>1.0</v>
      </c>
      <c r="V403" s="52">
        <v>0.0</v>
      </c>
      <c r="W403" s="52">
        <v>1.0</v>
      </c>
      <c r="X403" s="52" t="s">
        <v>2605</v>
      </c>
      <c r="Y403" s="52" t="s">
        <v>47</v>
      </c>
      <c r="Z403" s="52" t="s">
        <v>61</v>
      </c>
      <c r="AA403" s="53" t="s">
        <v>3761</v>
      </c>
      <c r="AB403" s="52" t="s">
        <v>2069</v>
      </c>
      <c r="AC403" s="52">
        <v>6.0</v>
      </c>
      <c r="AD403" s="53" t="s">
        <v>1436</v>
      </c>
    </row>
    <row r="404">
      <c r="A404" s="54">
        <v>45905.66890369213</v>
      </c>
      <c r="B404" s="14">
        <f t="shared" si="1"/>
        <v>45905</v>
      </c>
      <c r="C404" s="15" t="s">
        <v>643</v>
      </c>
      <c r="D404" s="15" t="s">
        <v>2675</v>
      </c>
      <c r="E404" s="15" t="str">
        <f t="shared" si="21"/>
        <v>Alicia Tolliver</v>
      </c>
      <c r="F404" s="16" t="str">
        <f t="shared" si="22"/>
        <v>(202) 251-9917</v>
      </c>
      <c r="G404" s="66" t="s">
        <v>3762</v>
      </c>
      <c r="H404" s="40" t="s">
        <v>103</v>
      </c>
      <c r="I404" s="50" t="s">
        <v>3763</v>
      </c>
      <c r="J404" s="50" t="s">
        <v>3764</v>
      </c>
      <c r="K404" s="50" t="s">
        <v>116</v>
      </c>
      <c r="L404" s="50" t="s">
        <v>3765</v>
      </c>
      <c r="M404" s="50" t="s">
        <v>39</v>
      </c>
      <c r="N404" s="52" t="s">
        <v>3766</v>
      </c>
      <c r="O404" s="52" t="s">
        <v>3767</v>
      </c>
      <c r="P404" s="52" t="s">
        <v>3768</v>
      </c>
      <c r="Q404" s="59"/>
      <c r="R404" s="52">
        <v>20032.0</v>
      </c>
      <c r="S404" s="52" t="s">
        <v>562</v>
      </c>
      <c r="T404" s="52" t="s">
        <v>2679</v>
      </c>
      <c r="U404" s="52">
        <v>1.0</v>
      </c>
      <c r="V404" s="52">
        <v>2.0</v>
      </c>
      <c r="W404" s="52">
        <v>3.0</v>
      </c>
      <c r="X404" s="52" t="s">
        <v>2632</v>
      </c>
      <c r="Y404" s="52" t="s">
        <v>85</v>
      </c>
      <c r="Z404" s="52" t="s">
        <v>3769</v>
      </c>
      <c r="AA404" s="53" t="s">
        <v>3770</v>
      </c>
      <c r="AB404" s="52" t="s">
        <v>2059</v>
      </c>
      <c r="AC404" s="52">
        <v>3.0</v>
      </c>
      <c r="AD404" s="53" t="s">
        <v>3771</v>
      </c>
    </row>
    <row r="405">
      <c r="A405" s="54">
        <v>45908.09390125</v>
      </c>
      <c r="B405" s="14">
        <f t="shared" si="1"/>
        <v>45908</v>
      </c>
      <c r="C405" s="15" t="s">
        <v>643</v>
      </c>
      <c r="D405" s="15" t="s">
        <v>3772</v>
      </c>
      <c r="E405" s="58" t="str">
        <f t="shared" si="21"/>
        <v>George Hemphill</v>
      </c>
      <c r="F405" s="16" t="str">
        <f t="shared" si="22"/>
        <v>(202) 582-0495</v>
      </c>
      <c r="G405" s="66" t="s">
        <v>3773</v>
      </c>
      <c r="H405" s="40" t="s">
        <v>103</v>
      </c>
      <c r="I405" s="50" t="s">
        <v>3774</v>
      </c>
      <c r="J405" s="50" t="s">
        <v>1237</v>
      </c>
      <c r="K405" s="50" t="s">
        <v>3775</v>
      </c>
      <c r="L405" s="50" t="s">
        <v>3776</v>
      </c>
      <c r="M405" s="50" t="s">
        <v>39</v>
      </c>
      <c r="N405" s="52" t="s">
        <v>1174</v>
      </c>
      <c r="O405" s="52" t="s">
        <v>2686</v>
      </c>
      <c r="P405" s="53" t="s">
        <v>3777</v>
      </c>
      <c r="Q405" s="52" t="s">
        <v>3778</v>
      </c>
      <c r="R405" s="52">
        <v>20020.0</v>
      </c>
      <c r="S405" s="52" t="s">
        <v>44</v>
      </c>
      <c r="T405" s="52" t="s">
        <v>3779</v>
      </c>
      <c r="U405" s="52">
        <v>1.0</v>
      </c>
      <c r="V405" s="52">
        <v>0.0</v>
      </c>
      <c r="W405" s="52">
        <v>1.0</v>
      </c>
      <c r="X405" s="52" t="s">
        <v>2700</v>
      </c>
      <c r="Y405" s="52" t="s">
        <v>47</v>
      </c>
      <c r="Z405" s="52" t="s">
        <v>48</v>
      </c>
      <c r="AA405" s="53" t="s">
        <v>3780</v>
      </c>
      <c r="AB405" s="52" t="s">
        <v>2069</v>
      </c>
      <c r="AC405" s="52">
        <v>12.0</v>
      </c>
      <c r="AD405" s="53" t="s">
        <v>3781</v>
      </c>
    </row>
    <row r="406">
      <c r="A406" s="54">
        <v>45908.11717869213</v>
      </c>
      <c r="B406" s="14">
        <f t="shared" si="1"/>
        <v>45908</v>
      </c>
      <c r="C406" s="15" t="s">
        <v>643</v>
      </c>
      <c r="D406" s="15" t="s">
        <v>3782</v>
      </c>
      <c r="E406" s="15" t="str">
        <f t="shared" si="21"/>
        <v>Veronika Ward</v>
      </c>
      <c r="F406" s="16" t="str">
        <f t="shared" si="22"/>
        <v>(202) 290-7184</v>
      </c>
      <c r="G406" s="66" t="s">
        <v>3783</v>
      </c>
      <c r="H406" s="40" t="s">
        <v>103</v>
      </c>
      <c r="I406" s="50" t="s">
        <v>3774</v>
      </c>
      <c r="J406" s="50" t="s">
        <v>1237</v>
      </c>
      <c r="K406" s="50" t="s">
        <v>3775</v>
      </c>
      <c r="L406" s="50" t="s">
        <v>3776</v>
      </c>
      <c r="M406" s="50" t="s">
        <v>39</v>
      </c>
      <c r="N406" s="52" t="s">
        <v>3784</v>
      </c>
      <c r="O406" s="52" t="s">
        <v>3785</v>
      </c>
      <c r="P406" s="52" t="s">
        <v>3786</v>
      </c>
      <c r="Q406" s="52" t="s">
        <v>3787</v>
      </c>
      <c r="R406" s="52">
        <v>20009.0</v>
      </c>
      <c r="S406" s="52" t="s">
        <v>59</v>
      </c>
      <c r="T406" s="52" t="s">
        <v>3788</v>
      </c>
      <c r="U406" s="52">
        <v>1.0</v>
      </c>
      <c r="V406" s="52">
        <v>0.0</v>
      </c>
      <c r="W406" s="52">
        <v>1.0</v>
      </c>
      <c r="X406" s="52" t="s">
        <v>2566</v>
      </c>
      <c r="Y406" s="52" t="s">
        <v>47</v>
      </c>
      <c r="Z406" s="52" t="s">
        <v>61</v>
      </c>
      <c r="AA406" s="53" t="s">
        <v>3789</v>
      </c>
      <c r="AB406" s="52" t="s">
        <v>2069</v>
      </c>
      <c r="AC406" s="52">
        <v>12.0</v>
      </c>
      <c r="AD406" s="53" t="s">
        <v>3790</v>
      </c>
    </row>
    <row r="407">
      <c r="A407" s="54">
        <v>45908.50427290509</v>
      </c>
      <c r="B407" s="14">
        <f t="shared" si="1"/>
        <v>45908</v>
      </c>
      <c r="C407" s="15" t="s">
        <v>31</v>
      </c>
      <c r="D407" s="15" t="s">
        <v>3791</v>
      </c>
      <c r="E407" s="58" t="str">
        <f t="shared" si="21"/>
        <v>Crystal  Johnson </v>
      </c>
      <c r="F407" s="16" t="str">
        <f t="shared" si="22"/>
        <v>(202) 270-5532</v>
      </c>
      <c r="G407" s="66" t="s">
        <v>3792</v>
      </c>
      <c r="H407" s="40" t="s">
        <v>103</v>
      </c>
      <c r="I407" s="50" t="s">
        <v>3138</v>
      </c>
      <c r="J407" s="50" t="s">
        <v>3139</v>
      </c>
      <c r="K407" s="50" t="s">
        <v>1745</v>
      </c>
      <c r="L407" s="50" t="s">
        <v>3140</v>
      </c>
      <c r="M407" s="50" t="s">
        <v>39</v>
      </c>
      <c r="N407" s="52" t="s">
        <v>3793</v>
      </c>
      <c r="O407" s="52" t="s">
        <v>2760</v>
      </c>
      <c r="P407" s="52" t="s">
        <v>3794</v>
      </c>
      <c r="Q407" s="52">
        <v>202.0</v>
      </c>
      <c r="R407" s="52">
        <v>20009.0</v>
      </c>
      <c r="S407" s="52" t="s">
        <v>59</v>
      </c>
      <c r="T407" s="52" t="s">
        <v>3795</v>
      </c>
      <c r="U407" s="52">
        <v>3.0</v>
      </c>
      <c r="V407" s="52">
        <v>0.0</v>
      </c>
      <c r="W407" s="52">
        <v>3.0</v>
      </c>
      <c r="X407" s="52" t="s">
        <v>2605</v>
      </c>
      <c r="Y407" s="52" t="s">
        <v>47</v>
      </c>
      <c r="Z407" s="52" t="s">
        <v>61</v>
      </c>
      <c r="AA407" s="53" t="s">
        <v>3796</v>
      </c>
      <c r="AB407" s="52" t="s">
        <v>2069</v>
      </c>
      <c r="AC407" s="52">
        <v>6.0</v>
      </c>
      <c r="AD407" s="53" t="s">
        <v>3797</v>
      </c>
    </row>
    <row r="408">
      <c r="A408" s="54">
        <v>45908.61844011574</v>
      </c>
      <c r="B408" s="14">
        <f t="shared" si="1"/>
        <v>45908</v>
      </c>
      <c r="C408" s="15" t="s">
        <v>643</v>
      </c>
      <c r="D408" s="15" t="s">
        <v>3798</v>
      </c>
      <c r="E408" s="15" t="str">
        <f t="shared" si="21"/>
        <v>Laphedona  Johnson</v>
      </c>
      <c r="F408" s="16" t="str">
        <f t="shared" si="22"/>
        <v>(202) 486-4099</v>
      </c>
      <c r="G408" s="66" t="s">
        <v>3799</v>
      </c>
      <c r="H408" s="40" t="s">
        <v>103</v>
      </c>
      <c r="I408" s="50" t="s">
        <v>3800</v>
      </c>
      <c r="J408" s="50" t="s">
        <v>3801</v>
      </c>
      <c r="K408" s="50" t="s">
        <v>3802</v>
      </c>
      <c r="L408" s="50" t="s">
        <v>3803</v>
      </c>
      <c r="M408" s="50" t="s">
        <v>39</v>
      </c>
      <c r="N408" s="52" t="s">
        <v>3804</v>
      </c>
      <c r="O408" s="52" t="s">
        <v>388</v>
      </c>
      <c r="P408" s="52" t="s">
        <v>3805</v>
      </c>
      <c r="Q408" s="52" t="s">
        <v>3806</v>
      </c>
      <c r="R408" s="52">
        <v>20024.0</v>
      </c>
      <c r="S408" s="52" t="s">
        <v>562</v>
      </c>
      <c r="T408" s="52" t="s">
        <v>3807</v>
      </c>
      <c r="U408" s="52">
        <v>1.0</v>
      </c>
      <c r="V408" s="52">
        <v>4.0</v>
      </c>
      <c r="W408" s="52">
        <v>5.0</v>
      </c>
      <c r="X408" s="52" t="s">
        <v>2566</v>
      </c>
      <c r="Y408" s="52" t="s">
        <v>85</v>
      </c>
      <c r="Z408" s="52" t="s">
        <v>166</v>
      </c>
      <c r="AA408" s="53" t="s">
        <v>3808</v>
      </c>
      <c r="AB408" s="52" t="s">
        <v>2069</v>
      </c>
      <c r="AC408" s="52">
        <v>6.0</v>
      </c>
      <c r="AD408" s="53" t="s">
        <v>3809</v>
      </c>
    </row>
    <row r="409">
      <c r="A409" s="54">
        <v>45908.69741136574</v>
      </c>
      <c r="B409" s="14">
        <f t="shared" si="1"/>
        <v>45908</v>
      </c>
      <c r="C409" s="15" t="s">
        <v>643</v>
      </c>
      <c r="D409" s="15" t="s">
        <v>3810</v>
      </c>
      <c r="E409" s="15" t="str">
        <f t="shared" si="21"/>
        <v>Edward Hawkins</v>
      </c>
      <c r="F409" s="16" t="str">
        <f t="shared" si="22"/>
        <v>(202) 650-3471</v>
      </c>
      <c r="G409" s="66" t="s">
        <v>3811</v>
      </c>
      <c r="H409" s="40" t="s">
        <v>66</v>
      </c>
      <c r="I409" s="50" t="s">
        <v>1850</v>
      </c>
      <c r="J409" s="50" t="s">
        <v>1689</v>
      </c>
      <c r="K409" s="50" t="s">
        <v>2011</v>
      </c>
      <c r="L409" s="50" t="s">
        <v>3084</v>
      </c>
      <c r="M409" s="50" t="s">
        <v>39</v>
      </c>
      <c r="N409" s="52" t="s">
        <v>184</v>
      </c>
      <c r="O409" s="52" t="s">
        <v>532</v>
      </c>
      <c r="P409" s="52" t="s">
        <v>3812</v>
      </c>
      <c r="Q409" s="52">
        <v>110.0</v>
      </c>
      <c r="R409" s="52">
        <v>20032.0</v>
      </c>
      <c r="S409" s="52" t="s">
        <v>59</v>
      </c>
      <c r="T409" s="52" t="s">
        <v>3813</v>
      </c>
      <c r="U409" s="52">
        <v>1.0</v>
      </c>
      <c r="V409" s="52">
        <v>0.0</v>
      </c>
      <c r="W409" s="52">
        <v>1.0</v>
      </c>
      <c r="X409" s="52" t="s">
        <v>2605</v>
      </c>
      <c r="Y409" s="52" t="s">
        <v>47</v>
      </c>
      <c r="Z409" s="52" t="s">
        <v>458</v>
      </c>
      <c r="AA409" s="53" t="s">
        <v>3814</v>
      </c>
      <c r="AB409" s="52" t="s">
        <v>2059</v>
      </c>
      <c r="AC409" s="52">
        <v>12.0</v>
      </c>
      <c r="AD409" s="53" t="s">
        <v>3815</v>
      </c>
    </row>
    <row r="410">
      <c r="A410" s="54">
        <v>45909.524967916666</v>
      </c>
      <c r="B410" s="14">
        <f t="shared" si="1"/>
        <v>45909</v>
      </c>
      <c r="C410" s="15" t="s">
        <v>643</v>
      </c>
      <c r="D410" s="15" t="s">
        <v>3816</v>
      </c>
      <c r="E410" s="15" t="str">
        <f t="shared" si="21"/>
        <v>Myisha Wilson</v>
      </c>
      <c r="F410" s="16" t="str">
        <f t="shared" si="22"/>
        <v>(202) 607-5540</v>
      </c>
      <c r="G410" s="66" t="s">
        <v>3817</v>
      </c>
      <c r="H410" s="40" t="s">
        <v>103</v>
      </c>
      <c r="I410" s="50" t="s">
        <v>1850</v>
      </c>
      <c r="J410" s="50" t="s">
        <v>1689</v>
      </c>
      <c r="K410" s="50" t="s">
        <v>1691</v>
      </c>
      <c r="L410" s="50" t="s">
        <v>3084</v>
      </c>
      <c r="M410" s="50" t="s">
        <v>39</v>
      </c>
      <c r="N410" s="52" t="s">
        <v>3818</v>
      </c>
      <c r="O410" s="52" t="s">
        <v>3819</v>
      </c>
      <c r="P410" s="52" t="s">
        <v>3820</v>
      </c>
      <c r="Q410" s="52">
        <v>2.0</v>
      </c>
      <c r="R410" s="52">
        <v>20002.0</v>
      </c>
      <c r="S410" s="52" t="s">
        <v>74</v>
      </c>
      <c r="T410" s="52" t="s">
        <v>3821</v>
      </c>
      <c r="U410" s="52">
        <v>2.0</v>
      </c>
      <c r="V410" s="52">
        <v>2.0</v>
      </c>
      <c r="W410" s="52">
        <v>4.0</v>
      </c>
      <c r="X410" s="52" t="s">
        <v>2594</v>
      </c>
      <c r="Y410" s="52" t="s">
        <v>85</v>
      </c>
      <c r="Z410" s="52" t="s">
        <v>61</v>
      </c>
      <c r="AA410" s="53" t="s">
        <v>3822</v>
      </c>
      <c r="AB410" s="52" t="s">
        <v>2751</v>
      </c>
      <c r="AC410" s="52">
        <v>12.0</v>
      </c>
      <c r="AD410" s="53" t="s">
        <v>3823</v>
      </c>
    </row>
    <row r="411">
      <c r="A411" s="54">
        <v>45909.52764796297</v>
      </c>
      <c r="B411" s="14">
        <f t="shared" si="1"/>
        <v>45909</v>
      </c>
      <c r="C411" s="15" t="s">
        <v>643</v>
      </c>
      <c r="D411" s="15" t="s">
        <v>3824</v>
      </c>
      <c r="E411" s="15" t="str">
        <f t="shared" si="21"/>
        <v>Andre Lewis</v>
      </c>
      <c r="F411" s="16" t="str">
        <f t="shared" si="22"/>
        <v>(202) 847-8364</v>
      </c>
      <c r="G411" s="66" t="s">
        <v>3825</v>
      </c>
      <c r="H411" s="40" t="s">
        <v>103</v>
      </c>
      <c r="I411" s="50" t="s">
        <v>1850</v>
      </c>
      <c r="J411" s="50" t="s">
        <v>1689</v>
      </c>
      <c r="K411" s="50" t="s">
        <v>1691</v>
      </c>
      <c r="L411" s="50" t="s">
        <v>3084</v>
      </c>
      <c r="M411" s="50" t="s">
        <v>39</v>
      </c>
      <c r="N411" s="52" t="s">
        <v>254</v>
      </c>
      <c r="O411" s="52" t="s">
        <v>833</v>
      </c>
      <c r="P411" s="52" t="s">
        <v>3826</v>
      </c>
      <c r="Q411" s="52">
        <v>211.0</v>
      </c>
      <c r="R411" s="52">
        <v>20019.0</v>
      </c>
      <c r="S411" s="52" t="s">
        <v>74</v>
      </c>
      <c r="T411" s="52" t="s">
        <v>3827</v>
      </c>
      <c r="U411" s="52">
        <v>1.0</v>
      </c>
      <c r="V411" s="52">
        <v>0.0</v>
      </c>
      <c r="W411" s="52">
        <v>1.0</v>
      </c>
      <c r="X411" s="52" t="s">
        <v>2566</v>
      </c>
      <c r="Y411" s="52" t="s">
        <v>47</v>
      </c>
      <c r="Z411" s="52" t="s">
        <v>458</v>
      </c>
      <c r="AA411" s="53" t="s">
        <v>3828</v>
      </c>
      <c r="AB411" s="52" t="s">
        <v>2751</v>
      </c>
      <c r="AC411" s="52">
        <v>12.0</v>
      </c>
      <c r="AD411" s="53" t="s">
        <v>3829</v>
      </c>
    </row>
    <row r="412">
      <c r="A412" s="54">
        <v>45909.56431188657</v>
      </c>
      <c r="B412" s="14">
        <f t="shared" si="1"/>
        <v>45909</v>
      </c>
      <c r="C412" s="15" t="s">
        <v>643</v>
      </c>
      <c r="D412" s="15" t="s">
        <v>3830</v>
      </c>
      <c r="E412" s="15" t="str">
        <f t="shared" si="21"/>
        <v>Michael  Powell</v>
      </c>
      <c r="F412" s="16" t="str">
        <f t="shared" si="22"/>
        <v>(202) 300-8800</v>
      </c>
      <c r="G412" s="66" t="s">
        <v>3657</v>
      </c>
      <c r="H412" s="40" t="s">
        <v>103</v>
      </c>
      <c r="I412" s="50" t="s">
        <v>1340</v>
      </c>
      <c r="J412" s="50" t="s">
        <v>1341</v>
      </c>
      <c r="K412" s="50" t="s">
        <v>3831</v>
      </c>
      <c r="L412" s="50" t="s">
        <v>3832</v>
      </c>
      <c r="M412" s="50" t="s">
        <v>39</v>
      </c>
      <c r="N412" s="52" t="s">
        <v>3833</v>
      </c>
      <c r="O412" s="52" t="s">
        <v>3834</v>
      </c>
      <c r="P412" s="52" t="s">
        <v>3835</v>
      </c>
      <c r="Q412" s="52">
        <v>401.0</v>
      </c>
      <c r="R412" s="52">
        <v>20001.0</v>
      </c>
      <c r="S412" s="52" t="s">
        <v>59</v>
      </c>
      <c r="T412" s="52" t="s">
        <v>3836</v>
      </c>
      <c r="U412" s="52">
        <v>2.0</v>
      </c>
      <c r="V412" s="52">
        <v>0.0</v>
      </c>
      <c r="W412" s="52">
        <v>2.0</v>
      </c>
      <c r="X412" s="52" t="s">
        <v>2632</v>
      </c>
      <c r="Y412" s="52" t="s">
        <v>47</v>
      </c>
      <c r="Z412" s="52" t="s">
        <v>61</v>
      </c>
      <c r="AA412" s="53" t="s">
        <v>3837</v>
      </c>
      <c r="AB412" s="52" t="s">
        <v>2059</v>
      </c>
      <c r="AC412" s="52">
        <v>12.0</v>
      </c>
      <c r="AD412" s="53" t="s">
        <v>3838</v>
      </c>
    </row>
    <row r="413">
      <c r="A413" s="54">
        <v>45915.30287136574</v>
      </c>
      <c r="B413" s="14">
        <f t="shared" si="1"/>
        <v>45915</v>
      </c>
      <c r="C413" s="15" t="s">
        <v>643</v>
      </c>
      <c r="D413" s="15" t="s">
        <v>3839</v>
      </c>
      <c r="E413" s="15" t="str">
        <f t="shared" si="21"/>
        <v>Glasshebar Anderson Somerville </v>
      </c>
      <c r="F413" s="16" t="str">
        <f t="shared" si="22"/>
        <v>(202) 878-4979</v>
      </c>
      <c r="G413" s="66" t="s">
        <v>3840</v>
      </c>
      <c r="H413" s="68" t="s">
        <v>103</v>
      </c>
      <c r="I413" s="50" t="s">
        <v>3841</v>
      </c>
      <c r="J413" s="50" t="s">
        <v>3842</v>
      </c>
      <c r="K413" s="50" t="s">
        <v>3843</v>
      </c>
      <c r="L413" s="50" t="s">
        <v>3844</v>
      </c>
      <c r="M413" s="50" t="s">
        <v>39</v>
      </c>
      <c r="N413" s="52" t="s">
        <v>3845</v>
      </c>
      <c r="O413" s="52" t="s">
        <v>3846</v>
      </c>
      <c r="P413" s="52" t="s">
        <v>3847</v>
      </c>
      <c r="Q413" s="52">
        <v>106.0</v>
      </c>
      <c r="R413" s="52">
        <v>20020.0</v>
      </c>
      <c r="S413" s="52" t="s">
        <v>44</v>
      </c>
      <c r="T413" s="52" t="s">
        <v>3848</v>
      </c>
      <c r="U413" s="52">
        <v>1.0</v>
      </c>
      <c r="V413" s="52">
        <v>0.0</v>
      </c>
      <c r="W413" s="52">
        <v>1.0</v>
      </c>
      <c r="X413" s="52" t="s">
        <v>2605</v>
      </c>
      <c r="Y413" s="52" t="s">
        <v>47</v>
      </c>
      <c r="Z413" s="52" t="s">
        <v>48</v>
      </c>
      <c r="AA413" s="53" t="s">
        <v>3849</v>
      </c>
      <c r="AB413" s="52" t="s">
        <v>2069</v>
      </c>
      <c r="AC413" s="52">
        <v>12.0</v>
      </c>
      <c r="AD413" s="53" t="s">
        <v>3850</v>
      </c>
    </row>
    <row r="414">
      <c r="A414" s="62">
        <v>45915.30667331019</v>
      </c>
      <c r="B414" s="14">
        <f t="shared" si="1"/>
        <v>45915</v>
      </c>
      <c r="C414" s="15" t="s">
        <v>643</v>
      </c>
      <c r="D414" s="15" t="s">
        <v>3851</v>
      </c>
      <c r="E414" s="15" t="str">
        <f t="shared" si="21"/>
        <v>Deroscoe Wright </v>
      </c>
      <c r="F414" s="16" t="str">
        <f t="shared" si="22"/>
        <v>(404) 552-3933</v>
      </c>
      <c r="G414" s="66" t="s">
        <v>3840</v>
      </c>
      <c r="H414" s="68" t="s">
        <v>103</v>
      </c>
      <c r="I414" s="50" t="s">
        <v>3841</v>
      </c>
      <c r="J414" s="50" t="s">
        <v>3842</v>
      </c>
      <c r="K414" s="50" t="s">
        <v>3843</v>
      </c>
      <c r="L414" s="50" t="s">
        <v>3844</v>
      </c>
      <c r="M414" s="50" t="s">
        <v>39</v>
      </c>
      <c r="N414" s="52" t="s">
        <v>3852</v>
      </c>
      <c r="O414" s="52" t="s">
        <v>3853</v>
      </c>
      <c r="P414" s="52" t="s">
        <v>3854</v>
      </c>
      <c r="Q414" s="52" t="s">
        <v>3855</v>
      </c>
      <c r="R414" s="52">
        <v>20020.0</v>
      </c>
      <c r="S414" s="52" t="s">
        <v>44</v>
      </c>
      <c r="T414" s="52" t="s">
        <v>3856</v>
      </c>
      <c r="U414" s="52">
        <v>1.0</v>
      </c>
      <c r="V414" s="52">
        <v>0.0</v>
      </c>
      <c r="W414" s="52">
        <v>1.0</v>
      </c>
      <c r="X414" s="52" t="s">
        <v>2605</v>
      </c>
      <c r="Y414" s="52" t="s">
        <v>47</v>
      </c>
      <c r="Z414" s="52" t="s">
        <v>122</v>
      </c>
      <c r="AA414" s="53" t="s">
        <v>3857</v>
      </c>
      <c r="AB414" s="52" t="s">
        <v>2069</v>
      </c>
      <c r="AC414" s="52">
        <v>12.0</v>
      </c>
      <c r="AD414" s="53" t="s">
        <v>3858</v>
      </c>
    </row>
    <row r="415">
      <c r="A415" s="54">
        <v>45917.44661107639</v>
      </c>
      <c r="B415" s="14">
        <f t="shared" si="1"/>
        <v>45917</v>
      </c>
      <c r="C415" s="15" t="s">
        <v>643</v>
      </c>
      <c r="D415" s="15" t="s">
        <v>3859</v>
      </c>
      <c r="E415" s="15" t="str">
        <f t="shared" si="21"/>
        <v>Luis Escobar</v>
      </c>
      <c r="F415" s="16" t="str">
        <f t="shared" si="22"/>
        <v>(202) 391-3515</v>
      </c>
      <c r="G415" s="66" t="s">
        <v>3860</v>
      </c>
      <c r="H415" s="40" t="s">
        <v>646</v>
      </c>
      <c r="I415" s="50" t="s">
        <v>3861</v>
      </c>
      <c r="J415" s="50" t="s">
        <v>3862</v>
      </c>
      <c r="K415" s="50" t="s">
        <v>1000</v>
      </c>
      <c r="L415" s="50" t="s">
        <v>3863</v>
      </c>
      <c r="M415" s="50" t="s">
        <v>39</v>
      </c>
      <c r="N415" s="52" t="s">
        <v>2469</v>
      </c>
      <c r="O415" s="52" t="s">
        <v>3864</v>
      </c>
      <c r="P415" s="52" t="s">
        <v>3865</v>
      </c>
      <c r="Q415" s="52">
        <v>204.0</v>
      </c>
      <c r="R415" s="52">
        <v>20012.0</v>
      </c>
      <c r="S415" s="52" t="s">
        <v>59</v>
      </c>
      <c r="T415" s="52" t="s">
        <v>3863</v>
      </c>
      <c r="U415" s="52">
        <v>1.0</v>
      </c>
      <c r="V415" s="52">
        <v>0.0</v>
      </c>
      <c r="W415" s="52">
        <v>1.0</v>
      </c>
      <c r="X415" s="52" t="s">
        <v>2632</v>
      </c>
      <c r="Y415" s="52" t="s">
        <v>47</v>
      </c>
      <c r="Z415" s="52" t="s">
        <v>3866</v>
      </c>
      <c r="AA415" s="53" t="s">
        <v>3867</v>
      </c>
      <c r="AB415" s="52" t="s">
        <v>2069</v>
      </c>
      <c r="AC415" s="52">
        <v>3.0</v>
      </c>
      <c r="AD415" s="53" t="s">
        <v>3868</v>
      </c>
    </row>
    <row r="416">
      <c r="A416" s="54">
        <v>45917.53358127315</v>
      </c>
      <c r="B416" s="14">
        <f t="shared" si="1"/>
        <v>45917</v>
      </c>
      <c r="C416" s="15" t="s">
        <v>643</v>
      </c>
      <c r="D416" s="15" t="s">
        <v>3869</v>
      </c>
      <c r="E416" s="15" t="str">
        <f t="shared" si="21"/>
        <v>Fredreicia Drew</v>
      </c>
      <c r="F416" s="16" t="str">
        <f t="shared" si="22"/>
        <v>(202) 286-3812</v>
      </c>
      <c r="G416" s="66" t="s">
        <v>3870</v>
      </c>
      <c r="H416" s="68" t="s">
        <v>103</v>
      </c>
      <c r="I416" s="50" t="s">
        <v>3871</v>
      </c>
      <c r="J416" s="50" t="s">
        <v>3872</v>
      </c>
      <c r="K416" s="50" t="s">
        <v>3873</v>
      </c>
      <c r="L416" s="50" t="s">
        <v>3874</v>
      </c>
      <c r="M416" s="50" t="s">
        <v>39</v>
      </c>
      <c r="N416" s="53" t="s">
        <v>3875</v>
      </c>
      <c r="O416" s="53" t="s">
        <v>3876</v>
      </c>
      <c r="P416" s="53" t="s">
        <v>3877</v>
      </c>
      <c r="Q416" s="69"/>
      <c r="R416" s="53">
        <v>20001.0</v>
      </c>
      <c r="S416" s="53" t="s">
        <v>59</v>
      </c>
      <c r="T416" s="53" t="s">
        <v>3878</v>
      </c>
      <c r="U416" s="53">
        <v>2.0</v>
      </c>
      <c r="V416" s="53">
        <v>2.0</v>
      </c>
      <c r="W416" s="53">
        <v>4.0</v>
      </c>
      <c r="X416" s="53" t="s">
        <v>2605</v>
      </c>
      <c r="Y416" s="53" t="s">
        <v>85</v>
      </c>
      <c r="Z416" s="53" t="s">
        <v>61</v>
      </c>
      <c r="AA416" s="53" t="s">
        <v>3879</v>
      </c>
      <c r="AB416" s="53" t="s">
        <v>2069</v>
      </c>
      <c r="AC416" s="53">
        <v>12.0</v>
      </c>
      <c r="AD416" s="53" t="s">
        <v>3880</v>
      </c>
    </row>
    <row r="417">
      <c r="A417" s="54">
        <v>45923.61946744213</v>
      </c>
      <c r="B417" s="14">
        <f t="shared" si="1"/>
        <v>45923</v>
      </c>
      <c r="C417" s="15" t="s">
        <v>643</v>
      </c>
      <c r="D417" s="15" t="s">
        <v>3881</v>
      </c>
      <c r="E417" s="15" t="str">
        <f t="shared" si="21"/>
        <v>Monica Bolden</v>
      </c>
      <c r="F417" s="16" t="str">
        <f t="shared" si="22"/>
        <v>(202) 553-1218</v>
      </c>
      <c r="G417" s="66" t="s">
        <v>3882</v>
      </c>
      <c r="H417" s="40" t="s">
        <v>103</v>
      </c>
      <c r="I417" s="50" t="s">
        <v>3280</v>
      </c>
      <c r="J417" s="50" t="s">
        <v>3281</v>
      </c>
      <c r="K417" s="50" t="s">
        <v>3883</v>
      </c>
      <c r="L417" s="50" t="s">
        <v>3282</v>
      </c>
      <c r="M417" s="50" t="s">
        <v>39</v>
      </c>
      <c r="N417" s="53" t="s">
        <v>948</v>
      </c>
      <c r="O417" s="53" t="s">
        <v>3884</v>
      </c>
      <c r="P417" s="53" t="s">
        <v>3885</v>
      </c>
      <c r="Q417" s="53">
        <v>421.0</v>
      </c>
      <c r="R417" s="53">
        <v>20003.0</v>
      </c>
      <c r="S417" s="53" t="s">
        <v>44</v>
      </c>
      <c r="T417" s="53" t="s">
        <v>3886</v>
      </c>
      <c r="U417" s="53">
        <v>2.0</v>
      </c>
      <c r="V417" s="53">
        <v>0.0</v>
      </c>
      <c r="W417" s="53">
        <v>2.0</v>
      </c>
      <c r="X417" s="53" t="s">
        <v>2594</v>
      </c>
      <c r="Y417" s="53" t="s">
        <v>47</v>
      </c>
      <c r="Z417" s="53" t="s">
        <v>48</v>
      </c>
      <c r="AA417" s="53" t="s">
        <v>3887</v>
      </c>
      <c r="AB417" s="53" t="s">
        <v>2059</v>
      </c>
      <c r="AC417" s="53">
        <v>12.0</v>
      </c>
      <c r="AD417" s="53" t="s">
        <v>3888</v>
      </c>
    </row>
    <row r="418">
      <c r="A418" s="54">
        <v>45923.69778739584</v>
      </c>
      <c r="B418" s="14">
        <f t="shared" si="1"/>
        <v>45923</v>
      </c>
      <c r="C418" s="15" t="s">
        <v>643</v>
      </c>
      <c r="D418" s="15" t="s">
        <v>3889</v>
      </c>
      <c r="E418" s="15" t="str">
        <f t="shared" si="21"/>
        <v>Yuridin Rodriguez </v>
      </c>
      <c r="F418" s="16" t="str">
        <f t="shared" si="22"/>
        <v>(202) 607-1643</v>
      </c>
      <c r="G418" s="66" t="s">
        <v>3890</v>
      </c>
      <c r="H418" s="40" t="s">
        <v>646</v>
      </c>
      <c r="I418" s="50" t="s">
        <v>1953</v>
      </c>
      <c r="J418" s="50" t="s">
        <v>841</v>
      </c>
      <c r="K418" s="50" t="s">
        <v>150</v>
      </c>
      <c r="L418" s="50" t="s">
        <v>2304</v>
      </c>
      <c r="M418" s="50" t="s">
        <v>39</v>
      </c>
      <c r="N418" s="53" t="s">
        <v>3891</v>
      </c>
      <c r="O418" s="53" t="s">
        <v>3892</v>
      </c>
      <c r="P418" s="53" t="s">
        <v>3893</v>
      </c>
      <c r="Q418" s="53" t="s">
        <v>3894</v>
      </c>
      <c r="R418" s="53">
        <v>20002.0</v>
      </c>
      <c r="S418" s="53" t="s">
        <v>74</v>
      </c>
      <c r="T418" s="53" t="s">
        <v>3895</v>
      </c>
      <c r="U418" s="53">
        <v>3.0</v>
      </c>
      <c r="V418" s="53">
        <v>3.0</v>
      </c>
      <c r="W418" s="53">
        <v>6.0</v>
      </c>
      <c r="X418" s="53" t="s">
        <v>2632</v>
      </c>
      <c r="Y418" s="53" t="s">
        <v>85</v>
      </c>
      <c r="Z418" s="53" t="s">
        <v>458</v>
      </c>
      <c r="AA418" s="53" t="s">
        <v>3896</v>
      </c>
      <c r="AB418" s="53" t="s">
        <v>2059</v>
      </c>
      <c r="AC418" s="53">
        <v>3.0</v>
      </c>
      <c r="AD418" s="53" t="s">
        <v>3897</v>
      </c>
      <c r="AE418" s="61" t="s">
        <v>3898</v>
      </c>
    </row>
    <row r="419">
      <c r="A419" s="54">
        <v>45924.54447908565</v>
      </c>
      <c r="B419" s="14">
        <f t="shared" si="1"/>
        <v>45924</v>
      </c>
      <c r="C419" s="15" t="s">
        <v>643</v>
      </c>
      <c r="D419" s="15" t="s">
        <v>3899</v>
      </c>
      <c r="E419" s="58" t="str">
        <f t="shared" si="21"/>
        <v>Latrell  Luckey </v>
      </c>
      <c r="F419" s="16" t="str">
        <f t="shared" si="22"/>
        <v>(202) 425-8523</v>
      </c>
      <c r="G419" s="66" t="s">
        <v>3900</v>
      </c>
      <c r="H419" s="40" t="s">
        <v>66</v>
      </c>
      <c r="I419" s="50" t="s">
        <v>3901</v>
      </c>
      <c r="J419" s="50" t="s">
        <v>3902</v>
      </c>
      <c r="K419" s="50" t="s">
        <v>3074</v>
      </c>
      <c r="L419" s="50" t="s">
        <v>3903</v>
      </c>
      <c r="M419" s="50" t="s">
        <v>39</v>
      </c>
      <c r="N419" s="53" t="s">
        <v>3904</v>
      </c>
      <c r="O419" s="53" t="s">
        <v>3905</v>
      </c>
      <c r="P419" s="53" t="s">
        <v>3906</v>
      </c>
      <c r="Q419" s="53">
        <v>101.0</v>
      </c>
      <c r="R419" s="53">
        <v>20002.0</v>
      </c>
      <c r="S419" s="53" t="s">
        <v>74</v>
      </c>
      <c r="T419" s="53" t="s">
        <v>3907</v>
      </c>
      <c r="U419" s="53">
        <v>1.0</v>
      </c>
      <c r="V419" s="53">
        <v>0.0</v>
      </c>
      <c r="W419" s="53">
        <v>1.0</v>
      </c>
      <c r="X419" s="53" t="s">
        <v>2632</v>
      </c>
      <c r="Y419" s="53" t="s">
        <v>85</v>
      </c>
      <c r="Z419" s="53" t="s">
        <v>48</v>
      </c>
      <c r="AA419" s="53" t="s">
        <v>3908</v>
      </c>
      <c r="AB419" s="53" t="s">
        <v>2059</v>
      </c>
      <c r="AC419" s="53">
        <v>12.0</v>
      </c>
      <c r="AD419" s="53" t="s">
        <v>3909</v>
      </c>
    </row>
    <row r="420">
      <c r="A420" s="54">
        <v>45924.54947761574</v>
      </c>
      <c r="B420" s="14">
        <f t="shared" si="1"/>
        <v>45924</v>
      </c>
      <c r="C420" s="15" t="s">
        <v>643</v>
      </c>
      <c r="D420" s="15" t="s">
        <v>3910</v>
      </c>
      <c r="E420" s="15" t="str">
        <f t="shared" si="21"/>
        <v>David  Alde</v>
      </c>
      <c r="F420" s="16" t="str">
        <f t="shared" si="22"/>
        <v>(301) 460-6129</v>
      </c>
      <c r="G420" s="66" t="s">
        <v>3911</v>
      </c>
      <c r="H420" s="40" t="s">
        <v>103</v>
      </c>
      <c r="I420" s="50" t="s">
        <v>1270</v>
      </c>
      <c r="J420" s="50" t="s">
        <v>1271</v>
      </c>
      <c r="K420" s="50" t="s">
        <v>3074</v>
      </c>
      <c r="L420" s="50" t="s">
        <v>3903</v>
      </c>
      <c r="M420" s="50" t="s">
        <v>39</v>
      </c>
      <c r="N420" s="53" t="s">
        <v>3912</v>
      </c>
      <c r="O420" s="53" t="s">
        <v>3913</v>
      </c>
      <c r="P420" s="53" t="s">
        <v>3914</v>
      </c>
      <c r="Q420" s="53">
        <v>610.0</v>
      </c>
      <c r="R420" s="53">
        <v>20009.0</v>
      </c>
      <c r="S420" s="53" t="s">
        <v>59</v>
      </c>
      <c r="T420" s="53" t="s">
        <v>3915</v>
      </c>
      <c r="U420" s="53">
        <v>1.0</v>
      </c>
      <c r="V420" s="53">
        <v>0.0</v>
      </c>
      <c r="W420" s="53">
        <v>1.0</v>
      </c>
      <c r="X420" s="53" t="s">
        <v>2605</v>
      </c>
      <c r="Y420" s="53" t="s">
        <v>47</v>
      </c>
      <c r="Z420" s="53" t="s">
        <v>48</v>
      </c>
      <c r="AA420" s="53" t="s">
        <v>3916</v>
      </c>
      <c r="AB420" s="53" t="s">
        <v>2059</v>
      </c>
      <c r="AC420" s="53">
        <v>12.0</v>
      </c>
      <c r="AD420" s="53" t="s">
        <v>3917</v>
      </c>
    </row>
    <row r="421">
      <c r="A421" s="54">
        <v>45925.4593411574</v>
      </c>
      <c r="B421" s="14">
        <f t="shared" si="1"/>
        <v>45925</v>
      </c>
      <c r="C421" s="15" t="s">
        <v>643</v>
      </c>
      <c r="D421" s="15" t="s">
        <v>3830</v>
      </c>
      <c r="E421" s="15" t="str">
        <f t="shared" si="21"/>
        <v>Michael  Powell</v>
      </c>
      <c r="F421" s="16" t="str">
        <f t="shared" si="22"/>
        <v>(202) 300-8800</v>
      </c>
      <c r="G421" s="66" t="s">
        <v>3918</v>
      </c>
      <c r="H421" s="40" t="s">
        <v>103</v>
      </c>
      <c r="I421" s="50" t="s">
        <v>1340</v>
      </c>
      <c r="J421" s="50" t="s">
        <v>3919</v>
      </c>
      <c r="K421" s="50" t="s">
        <v>3831</v>
      </c>
      <c r="L421" s="50" t="s">
        <v>3832</v>
      </c>
      <c r="M421" s="50" t="s">
        <v>39</v>
      </c>
      <c r="N421" s="53" t="s">
        <v>3833</v>
      </c>
      <c r="O421" s="53" t="s">
        <v>3834</v>
      </c>
      <c r="P421" s="53" t="s">
        <v>3920</v>
      </c>
      <c r="Q421" s="53">
        <v>401.0</v>
      </c>
      <c r="R421" s="53">
        <v>20001.0</v>
      </c>
      <c r="S421" s="53" t="s">
        <v>59</v>
      </c>
      <c r="T421" s="53" t="s">
        <v>3836</v>
      </c>
      <c r="U421" s="53">
        <v>2.0</v>
      </c>
      <c r="V421" s="53">
        <v>0.0</v>
      </c>
      <c r="W421" s="53">
        <v>2.0</v>
      </c>
      <c r="X421" s="53" t="s">
        <v>2632</v>
      </c>
      <c r="Y421" s="53" t="s">
        <v>47</v>
      </c>
      <c r="Z421" s="53" t="s">
        <v>61</v>
      </c>
      <c r="AA421" s="53" t="s">
        <v>3921</v>
      </c>
      <c r="AB421" s="53" t="s">
        <v>2059</v>
      </c>
      <c r="AC421" s="53">
        <v>7.0</v>
      </c>
      <c r="AD421" s="53" t="s">
        <v>3922</v>
      </c>
    </row>
    <row r="422">
      <c r="A422" s="54">
        <v>45925.509129467595</v>
      </c>
      <c r="B422" s="14">
        <f t="shared" si="1"/>
        <v>45925</v>
      </c>
      <c r="C422" s="15" t="s">
        <v>643</v>
      </c>
      <c r="D422" s="15" t="s">
        <v>3923</v>
      </c>
      <c r="E422" s="15" t="str">
        <f t="shared" si="21"/>
        <v>Patricia  Trim</v>
      </c>
      <c r="F422" s="16" t="str">
        <f t="shared" si="22"/>
        <v>(202) 971-2727</v>
      </c>
      <c r="G422" s="66" t="s">
        <v>3924</v>
      </c>
      <c r="H422" s="40" t="s">
        <v>103</v>
      </c>
      <c r="I422" s="50" t="s">
        <v>3841</v>
      </c>
      <c r="J422" s="50" t="s">
        <v>3842</v>
      </c>
      <c r="K422" s="50" t="s">
        <v>3925</v>
      </c>
      <c r="L422" s="50" t="s">
        <v>3844</v>
      </c>
      <c r="M422" s="50" t="s">
        <v>39</v>
      </c>
      <c r="N422" s="53" t="s">
        <v>3926</v>
      </c>
      <c r="O422" s="53" t="s">
        <v>3927</v>
      </c>
      <c r="P422" s="53" t="s">
        <v>3928</v>
      </c>
      <c r="Q422" s="53" t="s">
        <v>3929</v>
      </c>
      <c r="R422" s="53">
        <v>20017.0</v>
      </c>
      <c r="S422" s="53" t="s">
        <v>44</v>
      </c>
      <c r="T422" s="53" t="s">
        <v>3930</v>
      </c>
      <c r="U422" s="53">
        <v>1.0</v>
      </c>
      <c r="V422" s="53">
        <v>0.0</v>
      </c>
      <c r="W422" s="53">
        <v>1.0</v>
      </c>
      <c r="X422" s="53" t="s">
        <v>2700</v>
      </c>
      <c r="Y422" s="53" t="s">
        <v>47</v>
      </c>
      <c r="Z422" s="53" t="s">
        <v>48</v>
      </c>
      <c r="AA422" s="53" t="s">
        <v>3931</v>
      </c>
      <c r="AB422" s="53" t="s">
        <v>2069</v>
      </c>
      <c r="AC422" s="53">
        <v>12.0</v>
      </c>
      <c r="AD422" s="53" t="s">
        <v>3932</v>
      </c>
    </row>
    <row r="423">
      <c r="A423" s="54">
        <v>45926.43233215278</v>
      </c>
      <c r="B423" s="14">
        <f t="shared" si="1"/>
        <v>45926</v>
      </c>
      <c r="C423" s="15" t="s">
        <v>643</v>
      </c>
      <c r="D423" s="15" t="s">
        <v>3933</v>
      </c>
      <c r="E423" s="15" t="str">
        <f t="shared" si="21"/>
        <v>Nicole Russell</v>
      </c>
      <c r="F423" s="16" t="str">
        <f t="shared" si="22"/>
        <v>(240) 616-5977</v>
      </c>
      <c r="G423" s="66" t="s">
        <v>3657</v>
      </c>
      <c r="H423" s="40" t="s">
        <v>103</v>
      </c>
      <c r="I423" s="50" t="s">
        <v>3934</v>
      </c>
      <c r="J423" s="50" t="s">
        <v>3935</v>
      </c>
      <c r="K423" s="50" t="s">
        <v>3936</v>
      </c>
      <c r="L423" s="50" t="s">
        <v>3937</v>
      </c>
      <c r="M423" s="50" t="s">
        <v>39</v>
      </c>
      <c r="N423" s="53" t="s">
        <v>1307</v>
      </c>
      <c r="O423" s="53" t="s">
        <v>3938</v>
      </c>
      <c r="P423" s="53" t="s">
        <v>3939</v>
      </c>
      <c r="Q423" s="53" t="s">
        <v>3940</v>
      </c>
      <c r="R423" s="53">
        <v>20002.0</v>
      </c>
      <c r="S423" s="53" t="s">
        <v>74</v>
      </c>
      <c r="T423" s="53" t="s">
        <v>3941</v>
      </c>
      <c r="U423" s="53">
        <v>1.0</v>
      </c>
      <c r="V423" s="53">
        <v>0.0</v>
      </c>
      <c r="W423" s="53">
        <v>1.0</v>
      </c>
      <c r="X423" s="53" t="s">
        <v>2594</v>
      </c>
      <c r="Y423" s="53" t="s">
        <v>47</v>
      </c>
      <c r="Z423" s="53" t="s">
        <v>61</v>
      </c>
      <c r="AA423" s="53" t="s">
        <v>3942</v>
      </c>
      <c r="AB423" s="53" t="s">
        <v>2751</v>
      </c>
      <c r="AC423" s="53">
        <v>12.0</v>
      </c>
      <c r="AD423" s="53" t="s">
        <v>3943</v>
      </c>
    </row>
    <row r="424">
      <c r="A424" s="54">
        <v>45927.43232638889</v>
      </c>
      <c r="B424" s="14">
        <f t="shared" si="1"/>
        <v>45927</v>
      </c>
      <c r="C424" s="15" t="s">
        <v>643</v>
      </c>
      <c r="D424" s="15" t="s">
        <v>3944</v>
      </c>
      <c r="E424" s="15" t="str">
        <f t="shared" si="21"/>
        <v>Michelle Hatfield</v>
      </c>
      <c r="F424" s="16" t="str">
        <f t="shared" si="22"/>
        <v>(202) 567-1875</v>
      </c>
      <c r="G424" s="66" t="s">
        <v>3945</v>
      </c>
      <c r="H424" s="40" t="s">
        <v>103</v>
      </c>
      <c r="I424" s="50" t="s">
        <v>2455</v>
      </c>
      <c r="J424" s="50" t="s">
        <v>286</v>
      </c>
      <c r="K424" s="50" t="s">
        <v>3712</v>
      </c>
      <c r="L424" s="50" t="s">
        <v>2457</v>
      </c>
      <c r="M424" s="50" t="s">
        <v>39</v>
      </c>
      <c r="N424" s="53" t="s">
        <v>173</v>
      </c>
      <c r="O424" s="53" t="s">
        <v>3946</v>
      </c>
      <c r="P424" s="53" t="s">
        <v>3947</v>
      </c>
      <c r="Q424" s="53">
        <v>703.0</v>
      </c>
      <c r="R424" s="53">
        <v>20001.0</v>
      </c>
      <c r="S424" s="53" t="s">
        <v>59</v>
      </c>
      <c r="T424" s="53" t="s">
        <v>3948</v>
      </c>
      <c r="U424" s="53">
        <v>1.0</v>
      </c>
      <c r="V424" s="53">
        <v>0.0</v>
      </c>
      <c r="W424" s="53">
        <v>1.0</v>
      </c>
      <c r="X424" s="53" t="s">
        <v>2641</v>
      </c>
      <c r="Y424" s="53" t="s">
        <v>47</v>
      </c>
      <c r="Z424" s="53" t="s">
        <v>3949</v>
      </c>
      <c r="AA424" s="53" t="s">
        <v>3950</v>
      </c>
      <c r="AB424" s="53" t="s">
        <v>2069</v>
      </c>
      <c r="AC424" s="53">
        <v>2.0</v>
      </c>
      <c r="AD424" s="53" t="s">
        <v>3951</v>
      </c>
      <c r="AE424" s="61" t="s">
        <v>3952</v>
      </c>
    </row>
    <row r="425">
      <c r="A425" s="54">
        <v>45928.43232638889</v>
      </c>
      <c r="B425" s="14">
        <f t="shared" si="1"/>
        <v>45928</v>
      </c>
      <c r="C425" s="15" t="s">
        <v>643</v>
      </c>
      <c r="D425" s="15" t="s">
        <v>3953</v>
      </c>
      <c r="E425" s="15" t="str">
        <f t="shared" si="21"/>
        <v>Joseph Kabore</v>
      </c>
      <c r="F425" s="16" t="str">
        <f t="shared" si="22"/>
        <v>(202) 559-4924</v>
      </c>
      <c r="G425" s="66" t="s">
        <v>3954</v>
      </c>
      <c r="H425" s="40" t="s">
        <v>66</v>
      </c>
      <c r="I425" s="50" t="s">
        <v>3955</v>
      </c>
      <c r="J425" s="50" t="s">
        <v>3956</v>
      </c>
      <c r="K425" s="50" t="s">
        <v>3957</v>
      </c>
      <c r="L425" s="50" t="s">
        <v>3958</v>
      </c>
      <c r="M425" s="50" t="s">
        <v>39</v>
      </c>
      <c r="N425" s="53" t="s">
        <v>387</v>
      </c>
      <c r="O425" s="53" t="s">
        <v>3959</v>
      </c>
      <c r="P425" s="53" t="s">
        <v>3960</v>
      </c>
      <c r="Q425" s="53">
        <v>101.0</v>
      </c>
      <c r="R425" s="53">
        <v>20011.0</v>
      </c>
      <c r="S425" s="53" t="s">
        <v>74</v>
      </c>
      <c r="T425" s="53" t="s">
        <v>3958</v>
      </c>
      <c r="U425" s="53">
        <v>1.0</v>
      </c>
      <c r="V425" s="53">
        <v>0.0</v>
      </c>
      <c r="W425" s="53">
        <v>1.0</v>
      </c>
      <c r="X425" s="53" t="s">
        <v>2605</v>
      </c>
      <c r="Y425" s="53" t="s">
        <v>47</v>
      </c>
      <c r="Z425" s="53" t="s">
        <v>48</v>
      </c>
      <c r="AA425" s="53" t="s">
        <v>3961</v>
      </c>
      <c r="AB425" s="53" t="s">
        <v>2069</v>
      </c>
      <c r="AC425" s="53">
        <v>12.0</v>
      </c>
      <c r="AD425" s="53" t="s">
        <v>3962</v>
      </c>
    </row>
    <row r="426">
      <c r="A426" s="54">
        <v>45929.43232638889</v>
      </c>
      <c r="B426" s="14">
        <f t="shared" si="1"/>
        <v>45929</v>
      </c>
      <c r="C426" s="15" t="s">
        <v>643</v>
      </c>
      <c r="D426" s="15" t="s">
        <v>3963</v>
      </c>
      <c r="E426" s="15" t="str">
        <f t="shared" si="21"/>
        <v>Mack Wynter</v>
      </c>
      <c r="F426" s="16" t="str">
        <f t="shared" si="22"/>
        <v>(301) 996-5588</v>
      </c>
      <c r="G426" s="66" t="s">
        <v>3964</v>
      </c>
      <c r="H426" s="40" t="s">
        <v>66</v>
      </c>
      <c r="I426" s="50" t="s">
        <v>3462</v>
      </c>
      <c r="J426" s="50" t="s">
        <v>3463</v>
      </c>
      <c r="K426" s="50" t="s">
        <v>3965</v>
      </c>
      <c r="L426" s="50" t="s">
        <v>3465</v>
      </c>
      <c r="M426" s="50" t="s">
        <v>39</v>
      </c>
      <c r="N426" s="53" t="s">
        <v>2994</v>
      </c>
      <c r="O426" s="53" t="s">
        <v>3966</v>
      </c>
      <c r="P426" s="53" t="s">
        <v>3967</v>
      </c>
      <c r="Q426" s="69"/>
      <c r="R426" s="53">
        <v>20002.0</v>
      </c>
      <c r="S426" s="53" t="s">
        <v>59</v>
      </c>
      <c r="T426" s="53" t="s">
        <v>3968</v>
      </c>
      <c r="U426" s="53">
        <v>2.0</v>
      </c>
      <c r="V426" s="53">
        <v>0.0</v>
      </c>
      <c r="W426" s="53">
        <v>2.0</v>
      </c>
      <c r="X426" s="53" t="s">
        <v>2632</v>
      </c>
      <c r="Y426" s="53" t="s">
        <v>47</v>
      </c>
      <c r="Z426" s="53" t="s">
        <v>236</v>
      </c>
      <c r="AA426" s="53" t="s">
        <v>3969</v>
      </c>
      <c r="AB426" s="53" t="s">
        <v>2069</v>
      </c>
      <c r="AC426" s="53">
        <v>12.0</v>
      </c>
      <c r="AD426" s="53" t="s">
        <v>3970</v>
      </c>
    </row>
    <row r="427">
      <c r="A427" s="54">
        <v>45930.43232638889</v>
      </c>
      <c r="B427" s="14">
        <f t="shared" si="1"/>
        <v>45930</v>
      </c>
      <c r="C427" s="15" t="s">
        <v>643</v>
      </c>
      <c r="D427" s="15" t="s">
        <v>3971</v>
      </c>
      <c r="E427" s="15" t="str">
        <f t="shared" si="21"/>
        <v>Alicia Byrd</v>
      </c>
      <c r="F427" s="16" t="str">
        <f t="shared" si="22"/>
        <v>(301) 537-3193</v>
      </c>
      <c r="G427" s="66" t="s">
        <v>3657</v>
      </c>
      <c r="H427" s="40" t="s">
        <v>66</v>
      </c>
      <c r="I427" s="50" t="s">
        <v>3462</v>
      </c>
      <c r="J427" s="50" t="s">
        <v>3463</v>
      </c>
      <c r="K427" s="50" t="s">
        <v>3972</v>
      </c>
      <c r="L427" s="50" t="s">
        <v>3465</v>
      </c>
      <c r="M427" s="50" t="s">
        <v>39</v>
      </c>
      <c r="N427" s="53" t="s">
        <v>3766</v>
      </c>
      <c r="O427" s="53" t="s">
        <v>3973</v>
      </c>
      <c r="P427" s="53" t="s">
        <v>3974</v>
      </c>
      <c r="Q427" s="53" t="s">
        <v>3975</v>
      </c>
      <c r="R427" s="53">
        <v>20032.0</v>
      </c>
      <c r="S427" s="53" t="s">
        <v>44</v>
      </c>
      <c r="T427" s="53" t="s">
        <v>3976</v>
      </c>
      <c r="U427" s="53">
        <v>4.0</v>
      </c>
      <c r="V427" s="53">
        <v>2.0</v>
      </c>
      <c r="W427" s="53">
        <v>6.0</v>
      </c>
      <c r="X427" s="53" t="s">
        <v>2632</v>
      </c>
      <c r="Y427" s="53" t="s">
        <v>85</v>
      </c>
      <c r="Z427" s="53" t="s">
        <v>236</v>
      </c>
      <c r="AA427" s="53" t="s">
        <v>3977</v>
      </c>
      <c r="AB427" s="53" t="s">
        <v>2069</v>
      </c>
      <c r="AC427" s="53">
        <v>12.0</v>
      </c>
      <c r="AD427" s="53" t="s">
        <v>3978</v>
      </c>
    </row>
    <row r="428">
      <c r="A428" s="54">
        <v>45931.43232638889</v>
      </c>
      <c r="B428" s="14">
        <f t="shared" si="1"/>
        <v>45931</v>
      </c>
      <c r="C428" s="15" t="s">
        <v>643</v>
      </c>
      <c r="D428" s="15" t="s">
        <v>3979</v>
      </c>
      <c r="E428" s="15" t="str">
        <f t="shared" si="21"/>
        <v>Dawntay Satterwhite</v>
      </c>
      <c r="F428" s="16" t="str">
        <f t="shared" si="22"/>
        <v>(202) 445-4968</v>
      </c>
      <c r="G428" s="66" t="s">
        <v>3980</v>
      </c>
      <c r="H428" s="40" t="s">
        <v>66</v>
      </c>
      <c r="I428" s="50" t="s">
        <v>3981</v>
      </c>
      <c r="J428" s="50" t="s">
        <v>3982</v>
      </c>
      <c r="K428" s="50" t="s">
        <v>3983</v>
      </c>
      <c r="L428" s="50" t="s">
        <v>3984</v>
      </c>
      <c r="M428" s="50" t="s">
        <v>39</v>
      </c>
      <c r="N428" s="53" t="s">
        <v>3985</v>
      </c>
      <c r="O428" s="53" t="s">
        <v>3986</v>
      </c>
      <c r="P428" s="53" t="s">
        <v>3987</v>
      </c>
      <c r="Q428" s="53" t="s">
        <v>3408</v>
      </c>
      <c r="R428" s="53">
        <v>20001.0</v>
      </c>
      <c r="S428" s="53" t="s">
        <v>59</v>
      </c>
      <c r="T428" s="53" t="s">
        <v>3988</v>
      </c>
      <c r="U428" s="53">
        <v>1.0</v>
      </c>
      <c r="V428" s="53">
        <v>2.0</v>
      </c>
      <c r="W428" s="53">
        <v>3.0</v>
      </c>
      <c r="X428" s="53" t="s">
        <v>2566</v>
      </c>
      <c r="Y428" s="53" t="s">
        <v>85</v>
      </c>
      <c r="Z428" s="53" t="s">
        <v>458</v>
      </c>
      <c r="AA428" s="53" t="s">
        <v>3989</v>
      </c>
      <c r="AB428" s="53" t="s">
        <v>2069</v>
      </c>
      <c r="AC428" s="53">
        <v>6.0</v>
      </c>
      <c r="AD428" s="53" t="s">
        <v>3990</v>
      </c>
    </row>
    <row r="429">
      <c r="A429" s="54">
        <v>45932.43232638889</v>
      </c>
      <c r="B429" s="14">
        <f t="shared" si="1"/>
        <v>45932</v>
      </c>
      <c r="C429" s="15" t="s">
        <v>643</v>
      </c>
      <c r="D429" s="15" t="s">
        <v>3991</v>
      </c>
      <c r="E429" s="15" t="str">
        <f t="shared" si="21"/>
        <v>Tracy Pierce</v>
      </c>
      <c r="F429" s="16" t="str">
        <f t="shared" si="22"/>
        <v>(202) 971-2278</v>
      </c>
      <c r="G429" s="66" t="s">
        <v>3992</v>
      </c>
      <c r="H429" s="40" t="s">
        <v>103</v>
      </c>
      <c r="I429" s="50" t="s">
        <v>2797</v>
      </c>
      <c r="J429" s="50" t="s">
        <v>2798</v>
      </c>
      <c r="K429" s="50" t="s">
        <v>3993</v>
      </c>
      <c r="L429" s="50" t="s">
        <v>2800</v>
      </c>
      <c r="M429" s="50" t="s">
        <v>39</v>
      </c>
      <c r="N429" s="53" t="s">
        <v>40</v>
      </c>
      <c r="O429" s="53" t="s">
        <v>3994</v>
      </c>
      <c r="P429" s="53" t="s">
        <v>3995</v>
      </c>
      <c r="Q429" s="53">
        <v>13.0</v>
      </c>
      <c r="R429" s="53">
        <v>20020.0</v>
      </c>
      <c r="S429" s="53" t="s">
        <v>44</v>
      </c>
      <c r="T429" s="53" t="s">
        <v>3996</v>
      </c>
      <c r="U429" s="53">
        <v>3.0</v>
      </c>
      <c r="V429" s="53">
        <v>0.0</v>
      </c>
      <c r="W429" s="53">
        <v>3.0</v>
      </c>
      <c r="X429" s="53" t="s">
        <v>2641</v>
      </c>
      <c r="Y429" s="53" t="s">
        <v>85</v>
      </c>
      <c r="Z429" s="53" t="s">
        <v>48</v>
      </c>
      <c r="AA429" s="53" t="s">
        <v>3997</v>
      </c>
      <c r="AB429" s="53" t="s">
        <v>2069</v>
      </c>
      <c r="AC429" s="53">
        <v>12.0</v>
      </c>
      <c r="AD429" s="53" t="s">
        <v>3998</v>
      </c>
    </row>
    <row r="430">
      <c r="A430" s="54">
        <v>45933.43232638889</v>
      </c>
      <c r="B430" s="14">
        <f t="shared" si="1"/>
        <v>45933</v>
      </c>
      <c r="C430" s="15" t="s">
        <v>643</v>
      </c>
      <c r="D430" s="15" t="s">
        <v>3816</v>
      </c>
      <c r="E430" s="15" t="str">
        <f t="shared" si="21"/>
        <v>Myisha  Wilson</v>
      </c>
      <c r="F430" s="16" t="str">
        <f t="shared" si="22"/>
        <v>(202) 607-5540</v>
      </c>
      <c r="G430" s="66" t="s">
        <v>3999</v>
      </c>
      <c r="H430" s="40" t="s">
        <v>103</v>
      </c>
      <c r="I430" s="50" t="s">
        <v>4000</v>
      </c>
      <c r="J430" s="50" t="s">
        <v>4001</v>
      </c>
      <c r="K430" s="50" t="s">
        <v>311</v>
      </c>
      <c r="L430" s="50" t="s">
        <v>4002</v>
      </c>
      <c r="M430" s="50" t="s">
        <v>39</v>
      </c>
      <c r="N430" s="53" t="s">
        <v>4003</v>
      </c>
      <c r="O430" s="53" t="s">
        <v>3819</v>
      </c>
      <c r="P430" s="53" t="s">
        <v>3820</v>
      </c>
      <c r="Q430" s="53" t="s">
        <v>1485</v>
      </c>
      <c r="R430" s="53">
        <v>20002.0</v>
      </c>
      <c r="S430" s="53" t="s">
        <v>74</v>
      </c>
      <c r="T430" s="53" t="s">
        <v>3821</v>
      </c>
      <c r="U430" s="53">
        <v>2.0</v>
      </c>
      <c r="V430" s="53">
        <v>1.0</v>
      </c>
      <c r="W430" s="53">
        <v>3.0</v>
      </c>
      <c r="X430" s="53" t="s">
        <v>2594</v>
      </c>
      <c r="Y430" s="53" t="s">
        <v>85</v>
      </c>
      <c r="Z430" s="53" t="s">
        <v>61</v>
      </c>
      <c r="AA430" s="53" t="s">
        <v>4004</v>
      </c>
      <c r="AB430" s="53" t="s">
        <v>2069</v>
      </c>
      <c r="AC430" s="53">
        <v>12.0</v>
      </c>
      <c r="AD430" s="53" t="s">
        <v>4005</v>
      </c>
    </row>
    <row r="431">
      <c r="A431" s="54">
        <v>45937.480521516205</v>
      </c>
      <c r="B431" s="14">
        <f t="shared" si="1"/>
        <v>45937</v>
      </c>
      <c r="C431" s="15" t="s">
        <v>643</v>
      </c>
      <c r="D431" s="15" t="s">
        <v>4006</v>
      </c>
      <c r="E431" s="15" t="str">
        <f t="shared" si="21"/>
        <v>Marlene Todd</v>
      </c>
      <c r="F431" s="16" t="str">
        <f t="shared" si="22"/>
        <v>(240) 444-9220</v>
      </c>
      <c r="G431" s="66" t="s">
        <v>4007</v>
      </c>
      <c r="H431" s="40" t="s">
        <v>66</v>
      </c>
      <c r="I431" s="50" t="s">
        <v>4008</v>
      </c>
      <c r="J431" s="50" t="s">
        <v>4009</v>
      </c>
      <c r="K431" s="50" t="s">
        <v>1406</v>
      </c>
      <c r="L431" s="50" t="s">
        <v>4010</v>
      </c>
      <c r="M431" s="50" t="s">
        <v>39</v>
      </c>
      <c r="N431" s="52" t="s">
        <v>4011</v>
      </c>
      <c r="O431" s="52" t="s">
        <v>4012</v>
      </c>
      <c r="P431" s="52" t="s">
        <v>4013</v>
      </c>
      <c r="Q431" s="52" t="s">
        <v>856</v>
      </c>
      <c r="R431" s="52">
        <v>20020.0</v>
      </c>
      <c r="S431" s="52" t="s">
        <v>44</v>
      </c>
      <c r="T431" s="52" t="s">
        <v>4014</v>
      </c>
      <c r="U431" s="52">
        <v>2.0</v>
      </c>
      <c r="V431" s="52">
        <v>1.0</v>
      </c>
      <c r="W431" s="52">
        <v>3.0</v>
      </c>
      <c r="X431" s="52" t="s">
        <v>2566</v>
      </c>
      <c r="Y431" s="52" t="s">
        <v>85</v>
      </c>
      <c r="Z431" s="52" t="s">
        <v>236</v>
      </c>
      <c r="AA431" s="53" t="s">
        <v>4015</v>
      </c>
      <c r="AB431" s="52" t="s">
        <v>2069</v>
      </c>
      <c r="AC431" s="52">
        <v>12.0</v>
      </c>
      <c r="AD431" s="53" t="s">
        <v>4016</v>
      </c>
    </row>
    <row r="432">
      <c r="A432" s="54">
        <v>45939.40728752315</v>
      </c>
      <c r="B432" s="14">
        <f t="shared" si="1"/>
        <v>45939</v>
      </c>
      <c r="C432" s="15" t="s">
        <v>643</v>
      </c>
      <c r="D432" s="15" t="s">
        <v>4017</v>
      </c>
      <c r="E432" s="15" t="str">
        <f t="shared" si="21"/>
        <v>Reather  James</v>
      </c>
      <c r="F432" s="16" t="str">
        <f t="shared" si="22"/>
        <v>(202) 802-0725</v>
      </c>
      <c r="G432" s="66" t="s">
        <v>4018</v>
      </c>
      <c r="H432" s="40" t="s">
        <v>66</v>
      </c>
      <c r="I432" s="50" t="s">
        <v>4019</v>
      </c>
      <c r="J432" s="50" t="s">
        <v>4020</v>
      </c>
      <c r="K432" s="50" t="s">
        <v>37</v>
      </c>
      <c r="L432" s="50" t="s">
        <v>4021</v>
      </c>
      <c r="M432" s="50" t="s">
        <v>39</v>
      </c>
      <c r="N432" s="52" t="s">
        <v>4022</v>
      </c>
      <c r="O432" s="52" t="s">
        <v>442</v>
      </c>
      <c r="P432" s="52" t="s">
        <v>4023</v>
      </c>
      <c r="Q432" s="52">
        <v>202.0</v>
      </c>
      <c r="R432" s="52">
        <v>20019.0</v>
      </c>
      <c r="S432" s="52" t="s">
        <v>44</v>
      </c>
      <c r="T432" s="52" t="s">
        <v>4024</v>
      </c>
      <c r="U432" s="52">
        <v>1.0</v>
      </c>
      <c r="V432" s="52">
        <v>0.0</v>
      </c>
      <c r="W432" s="52">
        <v>1.0</v>
      </c>
      <c r="X432" s="52" t="s">
        <v>2641</v>
      </c>
      <c r="Y432" s="52" t="s">
        <v>85</v>
      </c>
      <c r="Z432" s="52" t="s">
        <v>61</v>
      </c>
      <c r="AA432" s="53" t="s">
        <v>4025</v>
      </c>
      <c r="AB432" s="52" t="s">
        <v>2059</v>
      </c>
      <c r="AC432" s="52">
        <v>6.0</v>
      </c>
      <c r="AD432" s="53" t="s">
        <v>4026</v>
      </c>
    </row>
    <row r="433">
      <c r="A433" s="54">
        <v>45939.56671893518</v>
      </c>
      <c r="B433" s="14">
        <f t="shared" si="1"/>
        <v>45939</v>
      </c>
      <c r="C433" s="15" t="s">
        <v>643</v>
      </c>
      <c r="D433" s="15" t="s">
        <v>4027</v>
      </c>
      <c r="E433" s="15" t="str">
        <f t="shared" si="21"/>
        <v>Eleanora Wilson </v>
      </c>
      <c r="F433" s="16" t="str">
        <f t="shared" si="22"/>
        <v>(202) 597-0353</v>
      </c>
      <c r="G433" s="66" t="s">
        <v>4028</v>
      </c>
      <c r="H433" s="40" t="s">
        <v>103</v>
      </c>
      <c r="I433" s="50" t="s">
        <v>4029</v>
      </c>
      <c r="J433" s="50" t="s">
        <v>4030</v>
      </c>
      <c r="K433" s="50" t="s">
        <v>4031</v>
      </c>
      <c r="L433" s="50" t="s">
        <v>4032</v>
      </c>
      <c r="M433" s="50" t="s">
        <v>39</v>
      </c>
      <c r="N433" s="52" t="s">
        <v>4033</v>
      </c>
      <c r="O433" s="52" t="s">
        <v>4034</v>
      </c>
      <c r="P433" s="52" t="s">
        <v>4035</v>
      </c>
      <c r="Q433" s="52">
        <v>512.0</v>
      </c>
      <c r="R433" s="52">
        <v>20011.0</v>
      </c>
      <c r="S433" s="52" t="s">
        <v>59</v>
      </c>
      <c r="T433" s="52" t="s">
        <v>4036</v>
      </c>
      <c r="U433" s="52">
        <v>1.0</v>
      </c>
      <c r="V433" s="52">
        <v>0.0</v>
      </c>
      <c r="W433" s="52">
        <v>1.0</v>
      </c>
      <c r="X433" s="52" t="s">
        <v>2700</v>
      </c>
      <c r="Y433" s="52" t="s">
        <v>47</v>
      </c>
      <c r="Z433" s="52" t="s">
        <v>4037</v>
      </c>
      <c r="AA433" s="53" t="s">
        <v>4038</v>
      </c>
      <c r="AB433" s="52" t="s">
        <v>2069</v>
      </c>
      <c r="AC433" s="52">
        <v>4.0</v>
      </c>
      <c r="AD433" s="53" t="s">
        <v>4039</v>
      </c>
    </row>
    <row r="434">
      <c r="A434" s="54">
        <v>45943.49434741898</v>
      </c>
      <c r="B434" s="14">
        <f t="shared" si="1"/>
        <v>45943</v>
      </c>
      <c r="C434" s="15" t="s">
        <v>643</v>
      </c>
      <c r="D434" s="15" t="s">
        <v>1945</v>
      </c>
      <c r="E434" s="15" t="str">
        <f t="shared" si="21"/>
        <v>Mary  Chaney</v>
      </c>
      <c r="F434" s="16" t="str">
        <f t="shared" si="22"/>
        <v>(202) 845-1411</v>
      </c>
      <c r="G434" s="66" t="s">
        <v>4040</v>
      </c>
      <c r="H434" s="40" t="s">
        <v>66</v>
      </c>
      <c r="I434" s="50" t="s">
        <v>2538</v>
      </c>
      <c r="J434" s="50" t="s">
        <v>2539</v>
      </c>
      <c r="K434" s="50" t="s">
        <v>2646</v>
      </c>
      <c r="L434" s="50" t="s">
        <v>2540</v>
      </c>
      <c r="M434" s="50" t="s">
        <v>39</v>
      </c>
      <c r="N434" s="52" t="s">
        <v>3317</v>
      </c>
      <c r="O434" s="52" t="s">
        <v>3318</v>
      </c>
      <c r="P434" s="52" t="s">
        <v>4041</v>
      </c>
      <c r="Q434" s="52" t="s">
        <v>3320</v>
      </c>
      <c r="R434" s="52">
        <v>20020.0</v>
      </c>
      <c r="S434" s="52" t="s">
        <v>44</v>
      </c>
      <c r="T434" s="52" t="s">
        <v>3321</v>
      </c>
      <c r="U434" s="52">
        <v>1.0</v>
      </c>
      <c r="V434" s="52">
        <v>0.0</v>
      </c>
      <c r="W434" s="52">
        <v>1.0</v>
      </c>
      <c r="X434" s="52" t="s">
        <v>2605</v>
      </c>
      <c r="Y434" s="52" t="s">
        <v>47</v>
      </c>
      <c r="Z434" s="52" t="s">
        <v>48</v>
      </c>
      <c r="AA434" s="53" t="s">
        <v>4042</v>
      </c>
      <c r="AB434" s="52" t="s">
        <v>2069</v>
      </c>
      <c r="AC434" s="52">
        <v>12.0</v>
      </c>
      <c r="AD434" s="53" t="s">
        <v>4043</v>
      </c>
    </row>
    <row r="435">
      <c r="A435" s="54">
        <v>45943.49793856482</v>
      </c>
      <c r="B435" s="14">
        <f t="shared" si="1"/>
        <v>45943</v>
      </c>
      <c r="C435" s="15" t="s">
        <v>643</v>
      </c>
      <c r="D435" s="15" t="s">
        <v>4044</v>
      </c>
      <c r="E435" s="15" t="str">
        <f t="shared" si="21"/>
        <v>Sonora Marshall</v>
      </c>
      <c r="F435" s="16" t="str">
        <f t="shared" si="22"/>
        <v>(202) 830-8984</v>
      </c>
      <c r="G435" s="66" t="s">
        <v>4018</v>
      </c>
      <c r="H435" s="40" t="s">
        <v>66</v>
      </c>
      <c r="I435" s="50" t="s">
        <v>2538</v>
      </c>
      <c r="J435" s="50" t="s">
        <v>2539</v>
      </c>
      <c r="K435" s="50" t="s">
        <v>2646</v>
      </c>
      <c r="L435" s="50" t="s">
        <v>2540</v>
      </c>
      <c r="M435" s="50" t="s">
        <v>39</v>
      </c>
      <c r="N435" s="52" t="s">
        <v>4045</v>
      </c>
      <c r="O435" s="52" t="s">
        <v>1916</v>
      </c>
      <c r="P435" s="52" t="s">
        <v>4046</v>
      </c>
      <c r="Q435" s="52">
        <v>301.0</v>
      </c>
      <c r="R435" s="52">
        <v>20020.0</v>
      </c>
      <c r="S435" s="52" t="s">
        <v>44</v>
      </c>
      <c r="T435" s="52" t="s">
        <v>4047</v>
      </c>
      <c r="U435" s="52">
        <v>1.0</v>
      </c>
      <c r="V435" s="52">
        <v>0.0</v>
      </c>
      <c r="W435" s="52">
        <v>1.0</v>
      </c>
      <c r="X435" s="52" t="s">
        <v>2641</v>
      </c>
      <c r="Y435" s="52" t="s">
        <v>47</v>
      </c>
      <c r="Z435" s="52" t="s">
        <v>166</v>
      </c>
      <c r="AA435" s="53" t="s">
        <v>4048</v>
      </c>
      <c r="AB435" s="52" t="s">
        <v>2069</v>
      </c>
      <c r="AC435" s="52">
        <v>6.0</v>
      </c>
      <c r="AD435" s="53" t="s">
        <v>4049</v>
      </c>
    </row>
    <row r="436">
      <c r="A436" s="54">
        <v>45945.552172118056</v>
      </c>
      <c r="B436" s="14">
        <f t="shared" si="1"/>
        <v>45945</v>
      </c>
      <c r="C436" s="15" t="s">
        <v>643</v>
      </c>
      <c r="D436" s="15" t="s">
        <v>4050</v>
      </c>
      <c r="E436" s="15" t="str">
        <f t="shared" si="21"/>
        <v>James Browne </v>
      </c>
      <c r="F436" s="16" t="str">
        <f t="shared" si="22"/>
        <v>(240) 962-3689</v>
      </c>
      <c r="G436" s="66" t="s">
        <v>4051</v>
      </c>
      <c r="H436" s="40" t="s">
        <v>103</v>
      </c>
      <c r="I436" s="50" t="s">
        <v>4052</v>
      </c>
      <c r="J436" s="50" t="s">
        <v>1341</v>
      </c>
      <c r="K436" s="50" t="s">
        <v>4053</v>
      </c>
      <c r="L436" s="50" t="s">
        <v>3832</v>
      </c>
      <c r="M436" s="50" t="s">
        <v>39</v>
      </c>
      <c r="N436" s="52" t="s">
        <v>442</v>
      </c>
      <c r="O436" s="52" t="s">
        <v>4054</v>
      </c>
      <c r="P436" s="52" t="s">
        <v>4055</v>
      </c>
      <c r="Q436" s="52">
        <v>101.0</v>
      </c>
      <c r="R436" s="52">
        <v>20011.0</v>
      </c>
      <c r="S436" s="52" t="s">
        <v>59</v>
      </c>
      <c r="T436" s="52" t="s">
        <v>4056</v>
      </c>
      <c r="U436" s="52">
        <v>1.0</v>
      </c>
      <c r="V436" s="52">
        <v>0.0</v>
      </c>
      <c r="W436" s="52">
        <v>1.0</v>
      </c>
      <c r="X436" s="52" t="s">
        <v>2641</v>
      </c>
      <c r="Y436" s="52" t="s">
        <v>47</v>
      </c>
      <c r="Z436" s="52" t="s">
        <v>61</v>
      </c>
      <c r="AA436" s="53" t="s">
        <v>4057</v>
      </c>
      <c r="AB436" s="52" t="s">
        <v>2059</v>
      </c>
      <c r="AC436" s="52">
        <v>12.0</v>
      </c>
      <c r="AD436" s="53" t="s">
        <v>4058</v>
      </c>
    </row>
    <row r="437">
      <c r="A437" s="54">
        <v>45947.559513518514</v>
      </c>
      <c r="B437" s="14">
        <f t="shared" si="1"/>
        <v>45947</v>
      </c>
      <c r="C437" s="15" t="s">
        <v>643</v>
      </c>
      <c r="D437" s="15" t="s">
        <v>4059</v>
      </c>
      <c r="E437" s="15" t="str">
        <f t="shared" si="21"/>
        <v>Kim Curry</v>
      </c>
      <c r="F437" s="16" t="str">
        <f t="shared" si="22"/>
        <v>(202) 373-2879</v>
      </c>
      <c r="G437" s="66" t="s">
        <v>4060</v>
      </c>
      <c r="H437" s="40" t="s">
        <v>66</v>
      </c>
      <c r="I437" s="50" t="s">
        <v>1794</v>
      </c>
      <c r="J437" s="50" t="s">
        <v>1795</v>
      </c>
      <c r="K437" s="50" t="s">
        <v>1796</v>
      </c>
      <c r="L437" s="50" t="s">
        <v>3659</v>
      </c>
      <c r="M437" s="50" t="s">
        <v>39</v>
      </c>
      <c r="N437" s="52" t="s">
        <v>2851</v>
      </c>
      <c r="O437" s="52" t="s">
        <v>4061</v>
      </c>
      <c r="P437" s="52" t="s">
        <v>4062</v>
      </c>
      <c r="Q437" s="52" t="s">
        <v>4063</v>
      </c>
      <c r="R437" s="52">
        <v>20012.0</v>
      </c>
      <c r="S437" s="52" t="s">
        <v>59</v>
      </c>
      <c r="T437" s="52" t="s">
        <v>4064</v>
      </c>
      <c r="U437" s="52">
        <v>1.0</v>
      </c>
      <c r="V437" s="52">
        <v>0.0</v>
      </c>
      <c r="W437" s="52">
        <v>1.0</v>
      </c>
      <c r="X437" s="52" t="s">
        <v>2594</v>
      </c>
      <c r="Y437" s="52" t="s">
        <v>47</v>
      </c>
      <c r="Z437" s="52" t="s">
        <v>4065</v>
      </c>
      <c r="AA437" s="53" t="s">
        <v>4066</v>
      </c>
      <c r="AB437" s="52" t="s">
        <v>2069</v>
      </c>
      <c r="AC437" s="52">
        <v>5.0</v>
      </c>
      <c r="AD437" s="53" t="s">
        <v>4067</v>
      </c>
      <c r="AE437" s="61" t="s">
        <v>4068</v>
      </c>
    </row>
    <row r="438">
      <c r="A438" s="54">
        <v>45951.46579837963</v>
      </c>
      <c r="B438" s="14">
        <f t="shared" si="1"/>
        <v>45951</v>
      </c>
      <c r="C438" s="15" t="s">
        <v>643</v>
      </c>
      <c r="D438" s="15" t="s">
        <v>4069</v>
      </c>
      <c r="E438" s="15" t="str">
        <f t="shared" si="21"/>
        <v>Jacqueline Greene</v>
      </c>
      <c r="F438" s="16" t="str">
        <f t="shared" si="22"/>
        <v>(202) 594-1832</v>
      </c>
      <c r="G438" s="66" t="s">
        <v>4070</v>
      </c>
      <c r="H438" s="40" t="s">
        <v>103</v>
      </c>
      <c r="I438" s="50" t="s">
        <v>1850</v>
      </c>
      <c r="J438" s="50" t="s">
        <v>1689</v>
      </c>
      <c r="K438" s="50" t="s">
        <v>1691</v>
      </c>
      <c r="L438" s="50" t="s">
        <v>3084</v>
      </c>
      <c r="M438" s="50" t="s">
        <v>39</v>
      </c>
      <c r="N438" s="52" t="s">
        <v>652</v>
      </c>
      <c r="O438" s="52" t="s">
        <v>4071</v>
      </c>
      <c r="P438" s="52" t="s">
        <v>4072</v>
      </c>
      <c r="Q438" s="52">
        <v>23.0</v>
      </c>
      <c r="R438" s="52">
        <v>20032.0</v>
      </c>
      <c r="S438" s="52" t="s">
        <v>44</v>
      </c>
      <c r="T438" s="52" t="s">
        <v>4073</v>
      </c>
      <c r="U438" s="52">
        <v>3.0</v>
      </c>
      <c r="V438" s="52">
        <v>2.0</v>
      </c>
      <c r="W438" s="52">
        <v>5.0</v>
      </c>
      <c r="X438" s="52" t="s">
        <v>2261</v>
      </c>
      <c r="Y438" s="52" t="s">
        <v>47</v>
      </c>
      <c r="Z438" s="52" t="s">
        <v>458</v>
      </c>
      <c r="AA438" s="53" t="s">
        <v>1679</v>
      </c>
      <c r="AB438" s="52" t="s">
        <v>2751</v>
      </c>
      <c r="AC438" s="52">
        <v>12.0</v>
      </c>
      <c r="AD438" s="53" t="s">
        <v>4074</v>
      </c>
    </row>
    <row r="439">
      <c r="A439" s="54">
        <v>45952.55455965278</v>
      </c>
      <c r="B439" s="14">
        <f t="shared" si="1"/>
        <v>45952</v>
      </c>
      <c r="C439" s="15" t="s">
        <v>643</v>
      </c>
      <c r="D439" s="15" t="s">
        <v>4075</v>
      </c>
      <c r="E439" s="15" t="str">
        <f t="shared" si="21"/>
        <v>Angela  Butts</v>
      </c>
      <c r="F439" s="16" t="str">
        <f t="shared" si="22"/>
        <v>(202) 697-8249</v>
      </c>
      <c r="G439" s="66" t="s">
        <v>4076</v>
      </c>
      <c r="H439" s="40" t="s">
        <v>103</v>
      </c>
      <c r="I439" s="50" t="s">
        <v>4077</v>
      </c>
      <c r="J439" s="50" t="s">
        <v>2586</v>
      </c>
      <c r="K439" s="50" t="s">
        <v>4078</v>
      </c>
      <c r="L439" s="50" t="s">
        <v>2588</v>
      </c>
      <c r="M439" s="50" t="s">
        <v>39</v>
      </c>
      <c r="N439" s="52" t="s">
        <v>4079</v>
      </c>
      <c r="O439" s="52" t="s">
        <v>4080</v>
      </c>
      <c r="P439" s="52" t="s">
        <v>4081</v>
      </c>
      <c r="Q439" s="59"/>
      <c r="R439" s="52">
        <v>20002.0</v>
      </c>
      <c r="S439" s="52" t="s">
        <v>74</v>
      </c>
      <c r="T439" s="52" t="s">
        <v>4082</v>
      </c>
      <c r="U439" s="52">
        <v>1.0</v>
      </c>
      <c r="V439" s="52">
        <v>0.0</v>
      </c>
      <c r="W439" s="52">
        <v>1.0</v>
      </c>
      <c r="X439" s="52" t="s">
        <v>2771</v>
      </c>
      <c r="Y439" s="52" t="s">
        <v>47</v>
      </c>
      <c r="Z439" s="52" t="s">
        <v>4083</v>
      </c>
      <c r="AA439" s="53" t="s">
        <v>4084</v>
      </c>
      <c r="AB439" s="52" t="s">
        <v>2059</v>
      </c>
      <c r="AC439" s="52">
        <v>4.0</v>
      </c>
      <c r="AD439" s="53" t="s">
        <v>4085</v>
      </c>
    </row>
    <row r="440">
      <c r="A440" s="54">
        <v>45953.39407391204</v>
      </c>
      <c r="B440" s="14">
        <f t="shared" si="1"/>
        <v>45953</v>
      </c>
      <c r="C440" s="15" t="s">
        <v>643</v>
      </c>
      <c r="D440" s="15" t="s">
        <v>4086</v>
      </c>
      <c r="E440" s="15" t="str">
        <f t="shared" si="21"/>
        <v>Corrine Garrett</v>
      </c>
      <c r="F440" s="16" t="str">
        <f t="shared" si="22"/>
        <v>(202) 361-0906</v>
      </c>
      <c r="G440" s="66" t="s">
        <v>4087</v>
      </c>
      <c r="H440" s="40" t="s">
        <v>103</v>
      </c>
      <c r="I440" s="50" t="s">
        <v>2538</v>
      </c>
      <c r="J440" s="50" t="s">
        <v>2539</v>
      </c>
      <c r="K440" s="50" t="s">
        <v>2646</v>
      </c>
      <c r="L440" s="50" t="s">
        <v>2540</v>
      </c>
      <c r="M440" s="50" t="s">
        <v>39</v>
      </c>
      <c r="N440" s="52" t="s">
        <v>4088</v>
      </c>
      <c r="O440" s="52" t="s">
        <v>2258</v>
      </c>
      <c r="P440" s="52" t="s">
        <v>4089</v>
      </c>
      <c r="Q440" s="52">
        <v>306.0</v>
      </c>
      <c r="R440" s="52">
        <v>20002.0</v>
      </c>
      <c r="S440" s="52" t="s">
        <v>74</v>
      </c>
      <c r="T440" s="52" t="s">
        <v>4090</v>
      </c>
      <c r="U440" s="52">
        <v>2.0</v>
      </c>
      <c r="V440" s="52">
        <v>0.0</v>
      </c>
      <c r="W440" s="52">
        <v>2.0</v>
      </c>
      <c r="X440" s="52" t="s">
        <v>2700</v>
      </c>
      <c r="Y440" s="52" t="s">
        <v>47</v>
      </c>
      <c r="Z440" s="52" t="s">
        <v>61</v>
      </c>
      <c r="AA440" s="53" t="s">
        <v>4091</v>
      </c>
      <c r="AB440" s="52" t="s">
        <v>2069</v>
      </c>
      <c r="AC440" s="52">
        <v>12.0</v>
      </c>
      <c r="AD440" s="53" t="s">
        <v>4092</v>
      </c>
    </row>
    <row r="441">
      <c r="A441" s="54">
        <v>45958.402800717595</v>
      </c>
      <c r="B441" s="14">
        <f t="shared" si="1"/>
        <v>45958</v>
      </c>
      <c r="C441" s="15" t="s">
        <v>643</v>
      </c>
      <c r="D441" s="15" t="s">
        <v>2272</v>
      </c>
      <c r="E441" s="15" t="str">
        <f t="shared" si="21"/>
        <v>Nakita  Baylor </v>
      </c>
      <c r="F441" s="16" t="str">
        <f t="shared" si="22"/>
        <v>(771) 221-0573</v>
      </c>
      <c r="G441" s="66" t="s">
        <v>4093</v>
      </c>
      <c r="H441" s="40" t="s">
        <v>103</v>
      </c>
      <c r="I441" s="50" t="s">
        <v>4094</v>
      </c>
      <c r="J441" s="50" t="s">
        <v>4095</v>
      </c>
      <c r="K441" s="50" t="s">
        <v>4096</v>
      </c>
      <c r="L441" s="50" t="s">
        <v>4097</v>
      </c>
      <c r="M441" s="50" t="s">
        <v>39</v>
      </c>
      <c r="N441" s="52" t="s">
        <v>4098</v>
      </c>
      <c r="O441" s="52" t="s">
        <v>4099</v>
      </c>
      <c r="P441" s="52" t="s">
        <v>4100</v>
      </c>
      <c r="Q441" s="52">
        <v>102.0</v>
      </c>
      <c r="R441" s="52">
        <v>20032.0</v>
      </c>
      <c r="S441" s="52" t="s">
        <v>562</v>
      </c>
      <c r="T441" s="52" t="s">
        <v>4101</v>
      </c>
      <c r="U441" s="52">
        <v>2.0</v>
      </c>
      <c r="V441" s="52">
        <v>2.0</v>
      </c>
      <c r="W441" s="52">
        <v>4.0</v>
      </c>
      <c r="X441" s="52" t="s">
        <v>2632</v>
      </c>
      <c r="Y441" s="52" t="s">
        <v>85</v>
      </c>
      <c r="Z441" s="52" t="s">
        <v>458</v>
      </c>
      <c r="AA441" s="53" t="s">
        <v>4102</v>
      </c>
      <c r="AB441" s="52" t="s">
        <v>2069</v>
      </c>
      <c r="AC441" s="52">
        <v>4.0</v>
      </c>
      <c r="AD441" s="53" t="s">
        <v>4103</v>
      </c>
    </row>
    <row r="442">
      <c r="A442" s="54">
        <v>45959.454179305554</v>
      </c>
      <c r="B442" s="14">
        <f t="shared" si="1"/>
        <v>45959</v>
      </c>
      <c r="C442" s="15" t="s">
        <v>643</v>
      </c>
      <c r="D442" s="15" t="s">
        <v>4104</v>
      </c>
      <c r="E442" s="58" t="str">
        <f t="shared" si="21"/>
        <v>Patrise  Holden </v>
      </c>
      <c r="F442" s="16" t="str">
        <f t="shared" si="22"/>
        <v>(202) 489-7413</v>
      </c>
      <c r="G442" s="66" t="s">
        <v>4105</v>
      </c>
      <c r="H442" s="40" t="s">
        <v>66</v>
      </c>
      <c r="I442" s="50" t="s">
        <v>4106</v>
      </c>
      <c r="J442" s="50" t="s">
        <v>4107</v>
      </c>
      <c r="K442" s="50" t="s">
        <v>4108</v>
      </c>
      <c r="L442" s="50" t="s">
        <v>4109</v>
      </c>
      <c r="M442" s="50" t="s">
        <v>39</v>
      </c>
      <c r="N442" s="52" t="s">
        <v>4110</v>
      </c>
      <c r="O442" s="52" t="s">
        <v>4111</v>
      </c>
      <c r="P442" s="52" t="s">
        <v>4112</v>
      </c>
      <c r="Q442" s="52" t="s">
        <v>4113</v>
      </c>
      <c r="R442" s="52">
        <v>20032.0</v>
      </c>
      <c r="S442" s="52" t="s">
        <v>562</v>
      </c>
      <c r="T442" s="52" t="s">
        <v>4114</v>
      </c>
      <c r="U442" s="52">
        <v>1.0</v>
      </c>
      <c r="V442" s="52">
        <v>0.0</v>
      </c>
      <c r="W442" s="52">
        <v>1.0</v>
      </c>
      <c r="X442" s="52" t="s">
        <v>2594</v>
      </c>
      <c r="Y442" s="52" t="s">
        <v>47</v>
      </c>
      <c r="Z442" s="52" t="s">
        <v>48</v>
      </c>
      <c r="AA442" s="53" t="s">
        <v>4115</v>
      </c>
      <c r="AB442" s="52" t="s">
        <v>2059</v>
      </c>
      <c r="AC442" s="52">
        <v>12.0</v>
      </c>
      <c r="AD442" s="53" t="s">
        <v>4116</v>
      </c>
    </row>
    <row r="443">
      <c r="A443" s="54">
        <v>45959.5750105787</v>
      </c>
      <c r="B443" s="14">
        <f t="shared" si="1"/>
        <v>45959</v>
      </c>
      <c r="C443" s="15" t="s">
        <v>643</v>
      </c>
      <c r="D443" s="15" t="s">
        <v>4117</v>
      </c>
      <c r="E443" s="15" t="str">
        <f t="shared" si="21"/>
        <v>Pierre Pollard</v>
      </c>
      <c r="F443" s="16" t="str">
        <f t="shared" si="22"/>
        <v>(202) 770-6254</v>
      </c>
      <c r="G443" s="66" t="s">
        <v>4118</v>
      </c>
      <c r="H443" s="40" t="s">
        <v>103</v>
      </c>
      <c r="I443" s="50" t="s">
        <v>1850</v>
      </c>
      <c r="J443" s="50" t="s">
        <v>1689</v>
      </c>
      <c r="K443" s="50" t="s">
        <v>1691</v>
      </c>
      <c r="L443" s="50" t="s">
        <v>3344</v>
      </c>
      <c r="M443" s="50" t="s">
        <v>39</v>
      </c>
      <c r="N443" s="52" t="s">
        <v>4119</v>
      </c>
      <c r="O443" s="52" t="s">
        <v>4120</v>
      </c>
      <c r="P443" s="52" t="s">
        <v>4121</v>
      </c>
      <c r="Q443" s="52">
        <v>905.0</v>
      </c>
      <c r="R443" s="52">
        <v>20007.0</v>
      </c>
      <c r="S443" s="52" t="s">
        <v>59</v>
      </c>
      <c r="T443" s="52" t="s">
        <v>4122</v>
      </c>
      <c r="U443" s="52">
        <v>1.0</v>
      </c>
      <c r="V443" s="52">
        <v>3.0</v>
      </c>
      <c r="W443" s="52">
        <v>4.0</v>
      </c>
      <c r="X443" s="52" t="s">
        <v>2632</v>
      </c>
      <c r="Y443" s="52" t="s">
        <v>85</v>
      </c>
      <c r="Z443" s="52" t="s">
        <v>236</v>
      </c>
      <c r="AA443" s="53" t="s">
        <v>4123</v>
      </c>
      <c r="AB443" s="52" t="s">
        <v>2059</v>
      </c>
      <c r="AC443" s="52">
        <v>12.0</v>
      </c>
      <c r="AD443" s="53" t="s">
        <v>4124</v>
      </c>
    </row>
    <row r="444">
      <c r="A444" s="54">
        <v>45960.597954826386</v>
      </c>
      <c r="B444" s="14">
        <f t="shared" si="1"/>
        <v>45960</v>
      </c>
      <c r="C444" s="15" t="s">
        <v>643</v>
      </c>
      <c r="D444" s="15" t="s">
        <v>2608</v>
      </c>
      <c r="E444" s="15" t="str">
        <f t="shared" si="21"/>
        <v>DANIELLE RYALS</v>
      </c>
      <c r="F444" s="16" t="str">
        <f t="shared" si="22"/>
        <v>(202) 315-7710</v>
      </c>
      <c r="G444" s="66" t="s">
        <v>4125</v>
      </c>
      <c r="H444" s="40" t="s">
        <v>103</v>
      </c>
      <c r="I444" s="50" t="s">
        <v>1135</v>
      </c>
      <c r="J444" s="50" t="s">
        <v>1136</v>
      </c>
      <c r="K444" s="50" t="s">
        <v>116</v>
      </c>
      <c r="L444" s="50" t="s">
        <v>3688</v>
      </c>
      <c r="M444" s="50" t="s">
        <v>39</v>
      </c>
      <c r="N444" s="52" t="s">
        <v>4126</v>
      </c>
      <c r="O444" s="52" t="s">
        <v>4127</v>
      </c>
      <c r="P444" s="52" t="s">
        <v>4128</v>
      </c>
      <c r="Q444" s="52" t="s">
        <v>4129</v>
      </c>
      <c r="R444" s="52">
        <v>20019.0</v>
      </c>
      <c r="S444" s="52" t="s">
        <v>74</v>
      </c>
      <c r="T444" s="52" t="s">
        <v>4130</v>
      </c>
      <c r="U444" s="52">
        <v>3.0</v>
      </c>
      <c r="V444" s="52">
        <v>4.0</v>
      </c>
      <c r="W444" s="52">
        <v>7.0</v>
      </c>
      <c r="X444" s="52" t="s">
        <v>2632</v>
      </c>
      <c r="Y444" s="52" t="s">
        <v>85</v>
      </c>
      <c r="Z444" s="52" t="s">
        <v>48</v>
      </c>
      <c r="AA444" s="52" t="s">
        <v>4131</v>
      </c>
      <c r="AB444" s="52" t="s">
        <v>2069</v>
      </c>
      <c r="AC444" s="52">
        <v>12.0</v>
      </c>
      <c r="AD444" s="53" t="s">
        <v>4132</v>
      </c>
    </row>
    <row r="445">
      <c r="A445" s="54">
        <v>45965.60296203704</v>
      </c>
      <c r="B445" s="14">
        <f t="shared" si="1"/>
        <v>45965</v>
      </c>
      <c r="C445" s="15" t="s">
        <v>643</v>
      </c>
      <c r="D445" s="15" t="s">
        <v>4133</v>
      </c>
      <c r="E445" s="15" t="str">
        <f t="shared" si="21"/>
        <v>Doris Stephens</v>
      </c>
      <c r="F445" s="16" t="str">
        <f t="shared" si="22"/>
        <v>(202) 200-2967</v>
      </c>
      <c r="G445" s="66" t="s">
        <v>4134</v>
      </c>
      <c r="H445" s="40" t="s">
        <v>103</v>
      </c>
      <c r="I445" s="50" t="s">
        <v>4135</v>
      </c>
      <c r="J445" s="50" t="s">
        <v>4136</v>
      </c>
      <c r="K445" s="50" t="s">
        <v>150</v>
      </c>
      <c r="L445" s="50" t="s">
        <v>4137</v>
      </c>
      <c r="M445" s="50" t="s">
        <v>39</v>
      </c>
      <c r="N445" s="52" t="s">
        <v>368</v>
      </c>
      <c r="O445" s="52" t="s">
        <v>4138</v>
      </c>
      <c r="P445" s="52" t="s">
        <v>4139</v>
      </c>
      <c r="Q445" s="52" t="s">
        <v>4140</v>
      </c>
      <c r="R445" s="52">
        <v>20019.0</v>
      </c>
      <c r="S445" s="52" t="s">
        <v>74</v>
      </c>
      <c r="T445" s="52" t="s">
        <v>4141</v>
      </c>
      <c r="U445" s="52">
        <v>1.0</v>
      </c>
      <c r="V445" s="52">
        <v>0.0</v>
      </c>
      <c r="W445" s="52">
        <v>1.0</v>
      </c>
      <c r="X445" s="52" t="s">
        <v>2641</v>
      </c>
      <c r="Y445" s="52" t="s">
        <v>47</v>
      </c>
      <c r="Z445" s="52" t="s">
        <v>361</v>
      </c>
      <c r="AA445" s="52" t="s">
        <v>4142</v>
      </c>
      <c r="AB445" s="52" t="s">
        <v>2069</v>
      </c>
      <c r="AC445" s="52">
        <v>12.0</v>
      </c>
      <c r="AD445" s="53" t="s">
        <v>4143</v>
      </c>
    </row>
    <row r="446">
      <c r="A446" s="54">
        <v>45966.460284305555</v>
      </c>
      <c r="B446" s="14">
        <f t="shared" si="1"/>
        <v>45966</v>
      </c>
      <c r="C446" s="15" t="s">
        <v>643</v>
      </c>
      <c r="D446" s="15" t="s">
        <v>4144</v>
      </c>
      <c r="E446" s="15" t="str">
        <f t="shared" si="21"/>
        <v>Kiri Morton</v>
      </c>
      <c r="F446" s="16" t="str">
        <f t="shared" si="22"/>
        <v>(202) 860-1874</v>
      </c>
      <c r="G446" s="66" t="s">
        <v>4145</v>
      </c>
      <c r="H446" s="40" t="s">
        <v>103</v>
      </c>
      <c r="I446" s="50" t="s">
        <v>1850</v>
      </c>
      <c r="J446" s="50" t="s">
        <v>1689</v>
      </c>
      <c r="K446" s="50" t="s">
        <v>1691</v>
      </c>
      <c r="L446" s="50" t="s">
        <v>3084</v>
      </c>
      <c r="M446" s="50" t="s">
        <v>39</v>
      </c>
      <c r="N446" s="52" t="s">
        <v>4146</v>
      </c>
      <c r="O446" s="52" t="s">
        <v>4147</v>
      </c>
      <c r="P446" s="52" t="s">
        <v>4148</v>
      </c>
      <c r="Q446" s="52">
        <v>323.0</v>
      </c>
      <c r="R446" s="52">
        <v>20011.0</v>
      </c>
      <c r="S446" s="52" t="s">
        <v>59</v>
      </c>
      <c r="T446" s="52" t="s">
        <v>4149</v>
      </c>
      <c r="U446" s="52">
        <v>2.0</v>
      </c>
      <c r="V446" s="52">
        <v>0.0</v>
      </c>
      <c r="W446" s="52">
        <v>2.0</v>
      </c>
      <c r="X446" s="52" t="s">
        <v>2771</v>
      </c>
      <c r="Y446" s="52" t="s">
        <v>47</v>
      </c>
      <c r="Z446" s="52" t="s">
        <v>236</v>
      </c>
      <c r="AA446" s="52" t="s">
        <v>4150</v>
      </c>
      <c r="AB446" s="52" t="s">
        <v>2059</v>
      </c>
      <c r="AC446" s="52">
        <v>12.0</v>
      </c>
      <c r="AD446" s="53" t="s">
        <v>4151</v>
      </c>
    </row>
    <row r="447">
      <c r="A447" s="54">
        <v>45968.56878715278</v>
      </c>
      <c r="B447" s="14">
        <f t="shared" si="1"/>
        <v>45968</v>
      </c>
      <c r="C447" s="15" t="s">
        <v>643</v>
      </c>
      <c r="D447" s="15" t="s">
        <v>4152</v>
      </c>
      <c r="E447" s="15" t="str">
        <f t="shared" si="21"/>
        <v>Arlene  Smith</v>
      </c>
      <c r="F447" s="16" t="str">
        <f t="shared" si="22"/>
        <v>(202) 438-2764</v>
      </c>
      <c r="G447" s="66" t="s">
        <v>3980</v>
      </c>
      <c r="H447" s="40" t="s">
        <v>66</v>
      </c>
      <c r="I447" s="50" t="s">
        <v>2538</v>
      </c>
      <c r="J447" s="50" t="s">
        <v>2539</v>
      </c>
      <c r="K447" s="50" t="s">
        <v>1619</v>
      </c>
      <c r="L447" s="50" t="s">
        <v>2540</v>
      </c>
      <c r="M447" s="50" t="s">
        <v>39</v>
      </c>
      <c r="N447" s="52" t="s">
        <v>4153</v>
      </c>
      <c r="O447" s="52" t="s">
        <v>1062</v>
      </c>
      <c r="P447" s="52" t="s">
        <v>4154</v>
      </c>
      <c r="Q447" s="59"/>
      <c r="R447" s="52">
        <v>20020.0</v>
      </c>
      <c r="S447" s="52" t="s">
        <v>44</v>
      </c>
      <c r="T447" s="52" t="s">
        <v>4155</v>
      </c>
      <c r="U447" s="52">
        <v>1.0</v>
      </c>
      <c r="V447" s="52">
        <v>1.0</v>
      </c>
      <c r="W447" s="52">
        <v>2.0</v>
      </c>
      <c r="X447" s="52" t="s">
        <v>2605</v>
      </c>
      <c r="Y447" s="52" t="s">
        <v>85</v>
      </c>
      <c r="Z447" s="52" t="s">
        <v>61</v>
      </c>
      <c r="AA447" s="52" t="s">
        <v>4156</v>
      </c>
      <c r="AB447" s="52" t="s">
        <v>2069</v>
      </c>
      <c r="AC447" s="52">
        <v>12.0</v>
      </c>
      <c r="AD447" s="53" t="s">
        <v>4157</v>
      </c>
    </row>
    <row r="448">
      <c r="A448" s="54">
        <v>45972.49147684028</v>
      </c>
      <c r="B448" s="14">
        <f t="shared" si="1"/>
        <v>45972</v>
      </c>
      <c r="C448" s="15" t="s">
        <v>643</v>
      </c>
      <c r="D448" s="15" t="s">
        <v>4158</v>
      </c>
      <c r="E448" s="15" t="str">
        <f t="shared" si="21"/>
        <v>Sherrie McGrier</v>
      </c>
      <c r="F448" s="16" t="str">
        <f t="shared" si="22"/>
        <v>(202) 981-3857</v>
      </c>
      <c r="G448" s="66" t="s">
        <v>4159</v>
      </c>
      <c r="H448" s="40" t="s">
        <v>66</v>
      </c>
      <c r="I448" s="50" t="s">
        <v>213</v>
      </c>
      <c r="J448" s="50" t="s">
        <v>4160</v>
      </c>
      <c r="K448" s="50" t="s">
        <v>116</v>
      </c>
      <c r="L448" s="50" t="s">
        <v>2294</v>
      </c>
      <c r="M448" s="50" t="s">
        <v>39</v>
      </c>
      <c r="N448" s="52" t="s">
        <v>4161</v>
      </c>
      <c r="O448" s="52" t="s">
        <v>4162</v>
      </c>
      <c r="P448" s="52" t="s">
        <v>4163</v>
      </c>
      <c r="Q448" s="52" t="s">
        <v>360</v>
      </c>
      <c r="R448" s="52">
        <v>20019.0</v>
      </c>
      <c r="S448" s="52" t="s">
        <v>74</v>
      </c>
      <c r="T448" s="52" t="s">
        <v>4164</v>
      </c>
      <c r="U448" s="52">
        <v>1.0</v>
      </c>
      <c r="V448" s="52">
        <v>1.0</v>
      </c>
      <c r="W448" s="52">
        <v>2.0</v>
      </c>
      <c r="X448" s="52" t="s">
        <v>2594</v>
      </c>
      <c r="Y448" s="52" t="s">
        <v>85</v>
      </c>
      <c r="Z448" s="52" t="s">
        <v>166</v>
      </c>
      <c r="AA448" s="52" t="s">
        <v>4165</v>
      </c>
      <c r="AB448" s="52" t="s">
        <v>2059</v>
      </c>
      <c r="AC448" s="52">
        <v>4.0</v>
      </c>
      <c r="AD448" s="52" t="s">
        <v>4166</v>
      </c>
    </row>
    <row r="449">
      <c r="A449" s="54">
        <v>45975.46360416667</v>
      </c>
      <c r="B449" s="14">
        <f t="shared" si="1"/>
        <v>45975</v>
      </c>
      <c r="C449" s="15" t="s">
        <v>643</v>
      </c>
      <c r="D449" s="15" t="s">
        <v>4167</v>
      </c>
      <c r="E449" s="15" t="str">
        <f t="shared" si="21"/>
        <v>Adrian Alexander</v>
      </c>
      <c r="F449" s="16" t="str">
        <f t="shared" si="22"/>
        <v>(202) 582-9439</v>
      </c>
      <c r="G449" s="66" t="s">
        <v>4159</v>
      </c>
      <c r="H449" s="40" t="s">
        <v>66</v>
      </c>
      <c r="I449" s="50" t="s">
        <v>1850</v>
      </c>
      <c r="J449" s="50" t="s">
        <v>1689</v>
      </c>
      <c r="K449" s="50" t="s">
        <v>1691</v>
      </c>
      <c r="L449" s="50" t="s">
        <v>3084</v>
      </c>
      <c r="M449" s="50" t="s">
        <v>39</v>
      </c>
      <c r="N449" s="52" t="s">
        <v>4168</v>
      </c>
      <c r="O449" s="52" t="s">
        <v>174</v>
      </c>
      <c r="P449" s="52" t="s">
        <v>4169</v>
      </c>
      <c r="Q449" s="52">
        <v>416.0</v>
      </c>
      <c r="R449" s="52">
        <v>20001.0</v>
      </c>
      <c r="S449" s="52" t="s">
        <v>59</v>
      </c>
      <c r="T449" s="52" t="s">
        <v>4170</v>
      </c>
      <c r="U449" s="52">
        <v>2.0</v>
      </c>
      <c r="V449" s="52">
        <v>0.0</v>
      </c>
      <c r="W449" s="52">
        <v>2.0</v>
      </c>
      <c r="X449" s="52" t="s">
        <v>2605</v>
      </c>
      <c r="Y449" s="52" t="s">
        <v>47</v>
      </c>
      <c r="Z449" s="52" t="s">
        <v>458</v>
      </c>
      <c r="AA449" s="52" t="s">
        <v>4171</v>
      </c>
      <c r="AB449" s="52" t="s">
        <v>2059</v>
      </c>
      <c r="AC449" s="52">
        <v>12.0</v>
      </c>
      <c r="AD449" s="52" t="s">
        <v>4172</v>
      </c>
    </row>
    <row r="450">
      <c r="A450" s="54">
        <v>45975.492740648144</v>
      </c>
      <c r="B450" s="14">
        <f t="shared" si="1"/>
        <v>45975</v>
      </c>
      <c r="C450" s="15" t="s">
        <v>643</v>
      </c>
      <c r="D450" s="15" t="s">
        <v>4173</v>
      </c>
      <c r="E450" s="15" t="str">
        <f t="shared" si="21"/>
        <v>Pierrette Garland</v>
      </c>
      <c r="F450" s="16" t="str">
        <f t="shared" si="22"/>
        <v>(202) 847-7802</v>
      </c>
      <c r="G450" s="66" t="s">
        <v>4159</v>
      </c>
      <c r="H450" s="40" t="s">
        <v>66</v>
      </c>
      <c r="I450" s="50" t="s">
        <v>1850</v>
      </c>
      <c r="J450" s="50" t="s">
        <v>1689</v>
      </c>
      <c r="K450" s="50" t="s">
        <v>1691</v>
      </c>
      <c r="L450" s="50" t="s">
        <v>3084</v>
      </c>
      <c r="M450" s="50" t="s">
        <v>39</v>
      </c>
      <c r="N450" s="52" t="s">
        <v>4174</v>
      </c>
      <c r="O450" s="52" t="s">
        <v>1633</v>
      </c>
      <c r="P450" s="52" t="s">
        <v>4175</v>
      </c>
      <c r="Q450" s="52">
        <v>2.0</v>
      </c>
      <c r="R450" s="52">
        <v>20002.0</v>
      </c>
      <c r="S450" s="52" t="s">
        <v>74</v>
      </c>
      <c r="T450" s="52" t="s">
        <v>4176</v>
      </c>
      <c r="U450" s="52">
        <v>2.0</v>
      </c>
      <c r="V450" s="52">
        <v>0.0</v>
      </c>
      <c r="W450" s="52">
        <v>2.0</v>
      </c>
      <c r="X450" s="52" t="s">
        <v>2641</v>
      </c>
      <c r="Y450" s="52" t="s">
        <v>47</v>
      </c>
      <c r="Z450" s="52" t="s">
        <v>458</v>
      </c>
      <c r="AA450" s="52" t="s">
        <v>4177</v>
      </c>
      <c r="AB450" s="52" t="s">
        <v>2059</v>
      </c>
      <c r="AC450" s="52">
        <v>12.0</v>
      </c>
      <c r="AD450" s="52" t="s">
        <v>4178</v>
      </c>
    </row>
    <row r="451">
      <c r="A451" s="54">
        <v>45979.52187545139</v>
      </c>
      <c r="B451" s="14">
        <f t="shared" si="1"/>
        <v>45979</v>
      </c>
      <c r="C451" s="15" t="s">
        <v>643</v>
      </c>
      <c r="D451" s="15" t="s">
        <v>4179</v>
      </c>
      <c r="E451" s="15" t="str">
        <f t="shared" si="21"/>
        <v>Patricia Ragland</v>
      </c>
      <c r="G451" s="66" t="s">
        <v>4159</v>
      </c>
      <c r="H451" s="40" t="s">
        <v>66</v>
      </c>
      <c r="I451" s="61" t="s">
        <v>4180</v>
      </c>
      <c r="J451" s="61" t="s">
        <v>4181</v>
      </c>
      <c r="K451" s="61" t="s">
        <v>4182</v>
      </c>
      <c r="L451" s="61" t="s">
        <v>4183</v>
      </c>
      <c r="M451" s="70" t="s">
        <v>39</v>
      </c>
      <c r="N451" s="61" t="s">
        <v>708</v>
      </c>
      <c r="O451" s="61" t="s">
        <v>4184</v>
      </c>
      <c r="P451" s="61" t="s">
        <v>4185</v>
      </c>
      <c r="R451" s="61">
        <v>20002.0</v>
      </c>
      <c r="S451" s="61" t="s">
        <v>74</v>
      </c>
      <c r="T451" s="61" t="s">
        <v>4186</v>
      </c>
      <c r="U451" s="61">
        <v>1.0</v>
      </c>
      <c r="V451" s="61">
        <v>0.0</v>
      </c>
      <c r="W451" s="61">
        <v>1.0</v>
      </c>
      <c r="X451" s="61" t="s">
        <v>2605</v>
      </c>
      <c r="Y451" s="61" t="s">
        <v>47</v>
      </c>
      <c r="Z451" s="61" t="s">
        <v>361</v>
      </c>
      <c r="AA451" s="61" t="s">
        <v>4187</v>
      </c>
      <c r="AB451" s="61" t="s">
        <v>2069</v>
      </c>
      <c r="AC451" s="61">
        <v>6.0</v>
      </c>
      <c r="AD451" s="61" t="s">
        <v>4188</v>
      </c>
    </row>
    <row r="452">
      <c r="A452" s="54">
        <v>45980.39786774306</v>
      </c>
      <c r="B452" s="14">
        <f t="shared" si="1"/>
        <v>45980</v>
      </c>
      <c r="C452" s="15" t="s">
        <v>643</v>
      </c>
      <c r="D452" s="15" t="s">
        <v>4189</v>
      </c>
      <c r="E452" s="15" t="str">
        <f t="shared" si="21"/>
        <v>Teona Watson</v>
      </c>
      <c r="G452" s="66" t="s">
        <v>4159</v>
      </c>
      <c r="H452" s="40" t="s">
        <v>66</v>
      </c>
      <c r="I452" s="61" t="s">
        <v>1850</v>
      </c>
      <c r="J452" s="61" t="s">
        <v>1689</v>
      </c>
      <c r="K452" s="61" t="s">
        <v>1691</v>
      </c>
      <c r="L452" s="61" t="s">
        <v>3084</v>
      </c>
      <c r="M452" s="70" t="s">
        <v>39</v>
      </c>
      <c r="N452" s="61" t="s">
        <v>4190</v>
      </c>
      <c r="O452" s="61" t="s">
        <v>4191</v>
      </c>
      <c r="P452" s="61" t="s">
        <v>4192</v>
      </c>
      <c r="Q452" s="61">
        <v>515.0</v>
      </c>
      <c r="R452" s="61">
        <v>20002.0</v>
      </c>
      <c r="S452" s="61" t="s">
        <v>74</v>
      </c>
      <c r="T452" s="61" t="s">
        <v>4193</v>
      </c>
      <c r="U452" s="61">
        <v>1.0</v>
      </c>
      <c r="V452" s="61">
        <v>0.0</v>
      </c>
      <c r="W452" s="61">
        <v>1.0</v>
      </c>
      <c r="X452" s="61" t="s">
        <v>2261</v>
      </c>
      <c r="Y452" s="61" t="s">
        <v>47</v>
      </c>
      <c r="Z452" s="61" t="s">
        <v>458</v>
      </c>
      <c r="AA452" s="61" t="s">
        <v>4194</v>
      </c>
      <c r="AB452" s="61" t="s">
        <v>2059</v>
      </c>
      <c r="AC452" s="61">
        <v>12.0</v>
      </c>
      <c r="AD452" s="61" t="s">
        <v>4195</v>
      </c>
    </row>
    <row r="453">
      <c r="A453" s="54">
        <v>45982.56036592592</v>
      </c>
      <c r="B453" s="14">
        <f t="shared" si="1"/>
        <v>45982</v>
      </c>
      <c r="C453" s="15" t="s">
        <v>643</v>
      </c>
      <c r="D453" s="15" t="s">
        <v>4196</v>
      </c>
      <c r="E453" s="15" t="str">
        <f t="shared" si="21"/>
        <v>Rosetta Archie</v>
      </c>
      <c r="G453" s="66" t="s">
        <v>4159</v>
      </c>
      <c r="H453" s="40" t="s">
        <v>66</v>
      </c>
      <c r="I453" s="61" t="s">
        <v>4197</v>
      </c>
      <c r="J453" s="61" t="s">
        <v>4198</v>
      </c>
      <c r="K453" s="61" t="s">
        <v>160</v>
      </c>
      <c r="L453" s="61" t="s">
        <v>4199</v>
      </c>
      <c r="M453" s="70" t="s">
        <v>39</v>
      </c>
      <c r="N453" s="61" t="s">
        <v>4200</v>
      </c>
      <c r="O453" s="61" t="s">
        <v>4201</v>
      </c>
      <c r="P453" s="61" t="s">
        <v>4202</v>
      </c>
      <c r="R453" s="61">
        <v>20032.0</v>
      </c>
      <c r="S453" s="61" t="s">
        <v>44</v>
      </c>
      <c r="T453" s="61" t="s">
        <v>4203</v>
      </c>
      <c r="U453" s="61">
        <v>1.0</v>
      </c>
      <c r="V453" s="61">
        <v>0.0</v>
      </c>
      <c r="W453" s="61">
        <v>1.0</v>
      </c>
      <c r="X453" s="61" t="s">
        <v>2605</v>
      </c>
      <c r="Y453" s="61" t="s">
        <v>47</v>
      </c>
      <c r="Z453" s="61" t="s">
        <v>61</v>
      </c>
      <c r="AA453" s="61" t="s">
        <v>4204</v>
      </c>
      <c r="AB453" s="61" t="s">
        <v>2059</v>
      </c>
      <c r="AC453" s="61">
        <v>12.0</v>
      </c>
      <c r="AD453" s="61" t="s">
        <v>4205</v>
      </c>
      <c r="AE453" s="61" t="s">
        <v>4206</v>
      </c>
    </row>
    <row r="454">
      <c r="A454" s="54">
        <v>45989.81898644676</v>
      </c>
      <c r="B454" s="14">
        <f t="shared" si="1"/>
        <v>45989</v>
      </c>
      <c r="C454" s="15" t="s">
        <v>643</v>
      </c>
      <c r="D454" s="15" t="s">
        <v>4207</v>
      </c>
      <c r="E454" s="15" t="str">
        <f t="shared" si="21"/>
        <v>James Long</v>
      </c>
      <c r="G454" s="66" t="s">
        <v>4159</v>
      </c>
      <c r="H454" s="71" t="s">
        <v>66</v>
      </c>
      <c r="I454" s="72" t="s">
        <v>1850</v>
      </c>
      <c r="J454" s="72" t="s">
        <v>1689</v>
      </c>
      <c r="K454" s="72" t="s">
        <v>1691</v>
      </c>
      <c r="L454" s="72" t="s">
        <v>3084</v>
      </c>
      <c r="M454" s="73" t="s">
        <v>39</v>
      </c>
      <c r="N454" s="61" t="s">
        <v>442</v>
      </c>
      <c r="O454" s="61" t="s">
        <v>4208</v>
      </c>
      <c r="P454" s="61" t="s">
        <v>4209</v>
      </c>
      <c r="Q454" s="61">
        <v>412.0</v>
      </c>
      <c r="R454" s="61">
        <v>20032.0</v>
      </c>
      <c r="S454" s="61" t="s">
        <v>562</v>
      </c>
      <c r="T454" s="61" t="s">
        <v>4210</v>
      </c>
      <c r="U454" s="61">
        <v>2.0</v>
      </c>
      <c r="V454" s="61">
        <v>2.0</v>
      </c>
      <c r="W454" s="61">
        <v>4.0</v>
      </c>
      <c r="X454" s="61" t="s">
        <v>2594</v>
      </c>
      <c r="Y454" s="61" t="s">
        <v>47</v>
      </c>
      <c r="Z454" s="61" t="s">
        <v>458</v>
      </c>
      <c r="AA454" s="61" t="s">
        <v>4211</v>
      </c>
      <c r="AB454" s="61" t="s">
        <v>2059</v>
      </c>
      <c r="AC454" s="61">
        <v>12.0</v>
      </c>
      <c r="AD454" s="61" t="s">
        <v>4212</v>
      </c>
    </row>
    <row r="455">
      <c r="A455" s="54">
        <v>45990.81898148148</v>
      </c>
      <c r="B455" s="14">
        <f t="shared" si="1"/>
        <v>45990</v>
      </c>
      <c r="C455" s="15" t="s">
        <v>643</v>
      </c>
      <c r="D455" s="15" t="s">
        <v>4213</v>
      </c>
      <c r="E455" s="15" t="str">
        <f t="shared" si="21"/>
        <v>Mary  Spears</v>
      </c>
      <c r="G455" s="66" t="s">
        <v>4159</v>
      </c>
      <c r="H455" s="71" t="s">
        <v>66</v>
      </c>
      <c r="I455" s="61" t="s">
        <v>4180</v>
      </c>
      <c r="J455" s="61" t="s">
        <v>4181</v>
      </c>
      <c r="K455" s="61" t="s">
        <v>4214</v>
      </c>
      <c r="L455" s="61" t="s">
        <v>4183</v>
      </c>
      <c r="M455" s="61" t="s">
        <v>39</v>
      </c>
      <c r="N455" s="61" t="s">
        <v>3317</v>
      </c>
      <c r="O455" s="61" t="s">
        <v>4215</v>
      </c>
      <c r="P455" s="61" t="s">
        <v>4216</v>
      </c>
      <c r="R455" s="61">
        <v>20019.0</v>
      </c>
      <c r="S455" s="61" t="s">
        <v>44</v>
      </c>
      <c r="T455" s="61" t="s">
        <v>4217</v>
      </c>
      <c r="U455" s="61">
        <v>2.0</v>
      </c>
      <c r="V455" s="61">
        <v>3.0</v>
      </c>
      <c r="W455" s="61">
        <v>5.0</v>
      </c>
      <c r="X455" s="61" t="s">
        <v>2641</v>
      </c>
      <c r="Y455" s="61" t="s">
        <v>47</v>
      </c>
      <c r="Z455" s="61" t="s">
        <v>48</v>
      </c>
      <c r="AA455" s="61" t="s">
        <v>4218</v>
      </c>
      <c r="AB455" s="61" t="s">
        <v>2069</v>
      </c>
      <c r="AC455" s="61">
        <v>6.0</v>
      </c>
      <c r="AD455" s="61" t="s">
        <v>4219</v>
      </c>
    </row>
    <row r="456">
      <c r="A456" s="54">
        <v>45991.81898148148</v>
      </c>
      <c r="B456" s="14">
        <f t="shared" si="1"/>
        <v>45991</v>
      </c>
      <c r="C456" s="15" t="s">
        <v>643</v>
      </c>
      <c r="D456" s="15" t="s">
        <v>4220</v>
      </c>
      <c r="E456" s="15" t="str">
        <f t="shared" si="21"/>
        <v>Marjorie  Gleaton</v>
      </c>
      <c r="G456" s="66" t="s">
        <v>4159</v>
      </c>
      <c r="H456" s="71" t="s">
        <v>66</v>
      </c>
      <c r="I456" s="61" t="s">
        <v>4221</v>
      </c>
      <c r="J456" s="61" t="s">
        <v>4222</v>
      </c>
      <c r="K456" s="61" t="s">
        <v>4223</v>
      </c>
      <c r="L456" s="61" t="s">
        <v>4224</v>
      </c>
      <c r="M456" s="61" t="s">
        <v>39</v>
      </c>
      <c r="N456" s="61" t="s">
        <v>4225</v>
      </c>
      <c r="O456" s="61" t="s">
        <v>4226</v>
      </c>
      <c r="P456" s="61" t="s">
        <v>4227</v>
      </c>
      <c r="Q456" s="61">
        <v>705.0</v>
      </c>
      <c r="R456" s="61">
        <v>20001.0</v>
      </c>
      <c r="S456" s="61" t="s">
        <v>59</v>
      </c>
      <c r="T456" s="61" t="s">
        <v>4228</v>
      </c>
      <c r="U456" s="61">
        <v>1.0</v>
      </c>
      <c r="V456" s="61">
        <v>0.0</v>
      </c>
      <c r="W456" s="61">
        <v>1.0</v>
      </c>
      <c r="X456" s="61" t="s">
        <v>2641</v>
      </c>
      <c r="Y456" s="61" t="s">
        <v>47</v>
      </c>
      <c r="Z456" s="61" t="s">
        <v>61</v>
      </c>
      <c r="AA456" s="61" t="s">
        <v>4229</v>
      </c>
      <c r="AB456" s="61" t="s">
        <v>2059</v>
      </c>
      <c r="AC456" s="61">
        <v>6.0</v>
      </c>
      <c r="AD456" s="61" t="s">
        <v>4230</v>
      </c>
    </row>
    <row r="457">
      <c r="A457" s="54">
        <v>45992.81898148148</v>
      </c>
      <c r="B457" s="14">
        <f t="shared" si="1"/>
        <v>45992</v>
      </c>
      <c r="C457" s="15" t="s">
        <v>643</v>
      </c>
      <c r="D457" s="15" t="s">
        <v>4231</v>
      </c>
      <c r="E457" s="15" t="str">
        <f t="shared" si="21"/>
        <v>Lydia  Lee</v>
      </c>
      <c r="G457" s="74" t="s">
        <v>4232</v>
      </c>
      <c r="H457" s="40" t="s">
        <v>103</v>
      </c>
      <c r="I457" s="75" t="s">
        <v>4233</v>
      </c>
      <c r="J457" s="75" t="s">
        <v>4234</v>
      </c>
      <c r="K457" s="75" t="s">
        <v>1000</v>
      </c>
      <c r="L457" s="75" t="s">
        <v>4235</v>
      </c>
      <c r="M457" s="75" t="s">
        <v>39</v>
      </c>
      <c r="N457" s="56" t="s">
        <v>3120</v>
      </c>
      <c r="O457" s="56" t="s">
        <v>771</v>
      </c>
      <c r="P457" s="56" t="s">
        <v>4236</v>
      </c>
      <c r="Q457" s="56">
        <v>203.0</v>
      </c>
      <c r="R457" s="56">
        <v>20016.0</v>
      </c>
      <c r="S457" s="56" t="s">
        <v>59</v>
      </c>
      <c r="T457" s="56" t="s">
        <v>4237</v>
      </c>
      <c r="U457" s="56">
        <v>1.0</v>
      </c>
      <c r="V457" s="56">
        <v>0.0</v>
      </c>
      <c r="W457" s="56">
        <v>1.0</v>
      </c>
      <c r="X457" s="56" t="s">
        <v>2700</v>
      </c>
      <c r="Y457" s="56" t="s">
        <v>47</v>
      </c>
      <c r="Z457" s="56" t="s">
        <v>61</v>
      </c>
      <c r="AA457" s="56" t="s">
        <v>4238</v>
      </c>
      <c r="AB457" s="56" t="s">
        <v>2069</v>
      </c>
      <c r="AC457" s="56">
        <v>12.0</v>
      </c>
      <c r="AD457" s="56" t="s">
        <v>4239</v>
      </c>
    </row>
    <row r="458">
      <c r="A458" s="54">
        <v>45993.81898148148</v>
      </c>
      <c r="B458" s="14">
        <f t="shared" si="1"/>
        <v>45993</v>
      </c>
      <c r="C458" s="15" t="s">
        <v>643</v>
      </c>
      <c r="D458" s="15" t="s">
        <v>4240</v>
      </c>
      <c r="E458" s="15" t="str">
        <f t="shared" si="21"/>
        <v>Sharon Gordon</v>
      </c>
      <c r="G458" s="66" t="s">
        <v>4159</v>
      </c>
      <c r="H458" s="71" t="s">
        <v>66</v>
      </c>
      <c r="I458" s="61" t="s">
        <v>4233</v>
      </c>
      <c r="J458" s="61" t="s">
        <v>4234</v>
      </c>
      <c r="K458" s="61" t="s">
        <v>1000</v>
      </c>
      <c r="L458" s="61" t="s">
        <v>4235</v>
      </c>
      <c r="M458" s="61" t="s">
        <v>39</v>
      </c>
      <c r="N458" s="61" t="s">
        <v>2390</v>
      </c>
      <c r="O458" s="61" t="s">
        <v>4241</v>
      </c>
      <c r="P458" s="61" t="s">
        <v>4242</v>
      </c>
      <c r="Q458" s="61">
        <v>103.0</v>
      </c>
      <c r="R458" s="61">
        <v>20020.0</v>
      </c>
      <c r="S458" s="61" t="s">
        <v>44</v>
      </c>
      <c r="T458" s="61" t="s">
        <v>4243</v>
      </c>
      <c r="U458" s="61">
        <v>1.0</v>
      </c>
      <c r="V458" s="61">
        <v>0.0</v>
      </c>
      <c r="W458" s="61">
        <v>1.0</v>
      </c>
      <c r="X458" s="61" t="s">
        <v>2605</v>
      </c>
      <c r="Y458" s="61" t="s">
        <v>47</v>
      </c>
      <c r="Z458" s="61" t="s">
        <v>48</v>
      </c>
      <c r="AA458" s="61" t="s">
        <v>4244</v>
      </c>
      <c r="AB458" s="61" t="s">
        <v>2069</v>
      </c>
      <c r="AC458" s="61">
        <v>12.0</v>
      </c>
      <c r="AD458" s="61" t="s">
        <v>4245</v>
      </c>
    </row>
    <row r="459">
      <c r="A459" s="54">
        <v>45994.81898148148</v>
      </c>
      <c r="B459" s="14">
        <f t="shared" si="1"/>
        <v>45994</v>
      </c>
      <c r="C459" s="15" t="s">
        <v>643</v>
      </c>
      <c r="D459" s="15" t="s">
        <v>2740</v>
      </c>
      <c r="E459" s="15" t="str">
        <f t="shared" si="21"/>
        <v>WIlliam Brown</v>
      </c>
      <c r="G459" s="66" t="s">
        <v>4159</v>
      </c>
      <c r="H459" s="71" t="s">
        <v>66</v>
      </c>
      <c r="I459" s="61" t="s">
        <v>4246</v>
      </c>
      <c r="J459" s="61" t="s">
        <v>4247</v>
      </c>
      <c r="K459" s="61" t="s">
        <v>4248</v>
      </c>
      <c r="L459" s="61" t="s">
        <v>4249</v>
      </c>
      <c r="M459" s="61" t="s">
        <v>39</v>
      </c>
      <c r="N459" s="61" t="s">
        <v>4250</v>
      </c>
      <c r="O459" s="61" t="s">
        <v>2358</v>
      </c>
      <c r="P459" s="61" t="s">
        <v>4251</v>
      </c>
      <c r="R459" s="61">
        <v>20020.0</v>
      </c>
      <c r="S459" s="61" t="s">
        <v>44</v>
      </c>
      <c r="T459" s="61" t="s">
        <v>4252</v>
      </c>
      <c r="U459" s="61">
        <v>1.0</v>
      </c>
      <c r="V459" s="61">
        <v>0.0</v>
      </c>
      <c r="W459" s="61">
        <v>1.0</v>
      </c>
      <c r="X459" s="61" t="s">
        <v>2700</v>
      </c>
      <c r="Y459" s="61" t="s">
        <v>47</v>
      </c>
      <c r="Z459" s="61" t="s">
        <v>122</v>
      </c>
      <c r="AA459" s="61" t="s">
        <v>4253</v>
      </c>
      <c r="AB459" s="61" t="s">
        <v>2069</v>
      </c>
      <c r="AC459" s="61">
        <v>12.0</v>
      </c>
      <c r="AD459" s="61" t="s">
        <v>4254</v>
      </c>
    </row>
    <row r="460">
      <c r="A460" s="54">
        <v>45995.81898148148</v>
      </c>
      <c r="B460" s="14">
        <f t="shared" si="1"/>
        <v>45995</v>
      </c>
      <c r="C460" s="15" t="s">
        <v>643</v>
      </c>
      <c r="D460" s="15" t="s">
        <v>4255</v>
      </c>
      <c r="E460" s="15" t="str">
        <f t="shared" si="21"/>
        <v>Chrystal McAlister</v>
      </c>
      <c r="G460" s="66" t="s">
        <v>4159</v>
      </c>
      <c r="H460" s="71" t="s">
        <v>66</v>
      </c>
      <c r="I460" s="61" t="s">
        <v>4256</v>
      </c>
      <c r="J460" s="61" t="s">
        <v>4257</v>
      </c>
      <c r="K460" s="61" t="s">
        <v>4258</v>
      </c>
      <c r="L460" s="61" t="s">
        <v>4259</v>
      </c>
      <c r="M460" s="61" t="s">
        <v>39</v>
      </c>
      <c r="N460" s="61" t="s">
        <v>638</v>
      </c>
      <c r="O460" s="61" t="s">
        <v>4260</v>
      </c>
      <c r="P460" s="61" t="s">
        <v>4261</v>
      </c>
      <c r="Q460" s="61">
        <v>116.0</v>
      </c>
      <c r="R460" s="61">
        <v>20009.0</v>
      </c>
      <c r="S460" s="61" t="s">
        <v>59</v>
      </c>
      <c r="T460" s="61" t="s">
        <v>4262</v>
      </c>
      <c r="U460" s="61">
        <v>1.0</v>
      </c>
      <c r="V460" s="61">
        <v>0.0</v>
      </c>
      <c r="W460" s="61">
        <v>1.0</v>
      </c>
      <c r="X460" s="61" t="s">
        <v>2641</v>
      </c>
      <c r="Y460" s="61" t="s">
        <v>47</v>
      </c>
      <c r="Z460" s="61" t="s">
        <v>48</v>
      </c>
      <c r="AA460" s="61" t="s">
        <v>4263</v>
      </c>
      <c r="AB460" s="61" t="s">
        <v>2069</v>
      </c>
      <c r="AC460" s="61">
        <v>12.0</v>
      </c>
      <c r="AD460" s="61" t="s">
        <v>4264</v>
      </c>
    </row>
    <row r="461">
      <c r="A461" s="76">
        <v>45996.885869502315</v>
      </c>
      <c r="H461" s="77"/>
      <c r="I461" s="61" t="s">
        <v>4265</v>
      </c>
      <c r="J461" s="61" t="s">
        <v>4266</v>
      </c>
      <c r="K461" s="61" t="s">
        <v>1000</v>
      </c>
      <c r="L461" s="61" t="s">
        <v>4267</v>
      </c>
      <c r="M461" s="61" t="s">
        <v>39</v>
      </c>
      <c r="N461" s="61" t="s">
        <v>938</v>
      </c>
      <c r="O461" s="61" t="s">
        <v>4268</v>
      </c>
      <c r="P461" s="61" t="s">
        <v>4269</v>
      </c>
      <c r="Q461" s="61" t="s">
        <v>4270</v>
      </c>
      <c r="R461" s="61">
        <v>20024.0</v>
      </c>
      <c r="S461" s="61" t="s">
        <v>562</v>
      </c>
      <c r="T461" s="61" t="s">
        <v>4271</v>
      </c>
      <c r="U461" s="61">
        <v>1.0</v>
      </c>
      <c r="V461" s="61">
        <v>0.0</v>
      </c>
      <c r="X461" s="61" t="s">
        <v>2632</v>
      </c>
      <c r="Y461" s="61" t="s">
        <v>47</v>
      </c>
      <c r="Z461" s="61" t="s">
        <v>61</v>
      </c>
      <c r="AA461" s="61" t="s">
        <v>4272</v>
      </c>
      <c r="AB461" s="61" t="s">
        <v>2059</v>
      </c>
      <c r="AC461" s="61">
        <v>24.0</v>
      </c>
      <c r="AD461" s="61" t="s">
        <v>4273</v>
      </c>
    </row>
    <row r="462">
      <c r="A462" s="76">
        <v>45996.89098361111</v>
      </c>
      <c r="H462" s="77"/>
      <c r="I462" s="61" t="s">
        <v>4274</v>
      </c>
      <c r="J462" s="61" t="s">
        <v>4275</v>
      </c>
      <c r="K462" s="61" t="s">
        <v>1272</v>
      </c>
      <c r="L462" s="61" t="s">
        <v>4276</v>
      </c>
      <c r="M462" s="61" t="s">
        <v>39</v>
      </c>
      <c r="N462" s="61" t="s">
        <v>4277</v>
      </c>
      <c r="O462" s="61" t="s">
        <v>4268</v>
      </c>
      <c r="P462" s="61" t="s">
        <v>4278</v>
      </c>
      <c r="Q462" s="61">
        <v>554.0</v>
      </c>
      <c r="R462" s="61">
        <v>20024.0</v>
      </c>
      <c r="S462" s="61" t="s">
        <v>562</v>
      </c>
      <c r="T462" s="61" t="s">
        <v>4276</v>
      </c>
      <c r="U462" s="61">
        <v>3.0</v>
      </c>
      <c r="V462" s="61">
        <v>3.0</v>
      </c>
      <c r="X462" s="61" t="s">
        <v>2261</v>
      </c>
      <c r="Y462" s="61" t="s">
        <v>47</v>
      </c>
      <c r="Z462" s="61" t="s">
        <v>61</v>
      </c>
      <c r="AA462" s="61" t="s">
        <v>4279</v>
      </c>
      <c r="AB462" s="61" t="s">
        <v>2059</v>
      </c>
      <c r="AC462" s="61">
        <v>24.0</v>
      </c>
      <c r="AD462" s="61" t="s">
        <v>4280</v>
      </c>
    </row>
    <row r="463">
      <c r="A463" s="54">
        <v>45990.81898148148</v>
      </c>
      <c r="B463" s="14">
        <v>45990.0</v>
      </c>
      <c r="C463" s="15" t="s">
        <v>643</v>
      </c>
      <c r="D463" s="15" t="s">
        <v>4281</v>
      </c>
      <c r="E463" s="15" t="s">
        <v>4282</v>
      </c>
      <c r="F463" s="16"/>
      <c r="G463" s="66" t="s">
        <v>4159</v>
      </c>
      <c r="H463" s="71" t="s">
        <v>66</v>
      </c>
      <c r="I463" s="78" t="s">
        <v>4283</v>
      </c>
      <c r="J463" s="79" t="s">
        <v>4284</v>
      </c>
      <c r="K463" s="79" t="s">
        <v>3404</v>
      </c>
      <c r="L463" s="79" t="s">
        <v>4285</v>
      </c>
      <c r="M463" s="80" t="s">
        <v>39</v>
      </c>
      <c r="N463" s="81" t="s">
        <v>4286</v>
      </c>
      <c r="O463" s="81" t="s">
        <v>4287</v>
      </c>
      <c r="P463" s="81" t="s">
        <v>4288</v>
      </c>
      <c r="Q463" s="82"/>
      <c r="R463" s="83">
        <v>20011.0</v>
      </c>
      <c r="S463" s="84" t="s">
        <v>59</v>
      </c>
      <c r="T463" s="85" t="s">
        <v>4289</v>
      </c>
      <c r="U463" s="86">
        <v>1.0</v>
      </c>
      <c r="V463" s="86">
        <v>0.0</v>
      </c>
      <c r="W463" s="87">
        <v>1.0</v>
      </c>
      <c r="X463" s="88" t="s">
        <v>2641</v>
      </c>
      <c r="Y463" s="88" t="s">
        <v>47</v>
      </c>
      <c r="Z463" s="81" t="s">
        <v>361</v>
      </c>
      <c r="AA463" s="81" t="s">
        <v>4290</v>
      </c>
      <c r="AB463" s="88" t="s">
        <v>2069</v>
      </c>
      <c r="AC463" s="89">
        <v>12.0</v>
      </c>
      <c r="AD463" s="90"/>
      <c r="AE463" s="25"/>
      <c r="AF463" s="12"/>
      <c r="AG463" s="12"/>
      <c r="AH463" s="12"/>
      <c r="AI463" s="12"/>
      <c r="AJ463" s="12"/>
      <c r="AK463" s="12"/>
    </row>
    <row r="464">
      <c r="A464" s="34"/>
      <c r="B464" s="14"/>
      <c r="C464" s="15"/>
      <c r="D464" s="15"/>
      <c r="E464" s="15"/>
      <c r="F464" s="16"/>
      <c r="G464" s="66"/>
      <c r="H464" s="40" t="s">
        <v>66</v>
      </c>
      <c r="I464" s="91"/>
      <c r="J464" s="92"/>
      <c r="K464" s="92"/>
      <c r="L464" s="92"/>
      <c r="M464" s="93"/>
      <c r="N464" s="94"/>
      <c r="O464" s="94"/>
      <c r="P464" s="94"/>
      <c r="Q464" s="23"/>
      <c r="R464" s="22"/>
      <c r="S464" s="22"/>
      <c r="T464" s="95"/>
      <c r="U464" s="22"/>
      <c r="V464" s="22"/>
      <c r="W464" s="23"/>
      <c r="X464" s="94"/>
      <c r="Y464" s="94"/>
      <c r="Z464" s="94"/>
      <c r="AA464" s="94"/>
      <c r="AB464" s="94"/>
      <c r="AC464" s="94"/>
      <c r="AD464" s="22"/>
      <c r="AE464" s="25"/>
      <c r="AF464" s="12"/>
      <c r="AG464" s="12"/>
      <c r="AH464" s="12"/>
      <c r="AI464" s="12"/>
      <c r="AJ464" s="12"/>
      <c r="AK464" s="12"/>
    </row>
    <row r="465">
      <c r="A465" s="34"/>
      <c r="B465" s="15"/>
      <c r="C465" s="15"/>
      <c r="D465" s="15"/>
      <c r="E465" s="15"/>
      <c r="F465" s="16"/>
      <c r="G465" s="30"/>
      <c r="H465" s="40"/>
      <c r="I465" s="17"/>
      <c r="J465" s="18"/>
      <c r="K465" s="18"/>
      <c r="L465" s="18"/>
      <c r="M465" s="27"/>
      <c r="N465" s="21"/>
      <c r="O465" s="21"/>
      <c r="P465" s="21"/>
      <c r="Q465" s="28"/>
      <c r="R465" s="21"/>
      <c r="S465" s="21"/>
      <c r="T465" s="29"/>
      <c r="U465" s="21"/>
      <c r="V465" s="21"/>
      <c r="W465" s="28"/>
      <c r="X465" s="21"/>
      <c r="Y465" s="21"/>
      <c r="Z465" s="22"/>
      <c r="AA465" s="22"/>
      <c r="AB465" s="21"/>
      <c r="AC465" s="21"/>
      <c r="AD465" s="22"/>
      <c r="AE465" s="25"/>
      <c r="AF465" s="12"/>
      <c r="AG465" s="12"/>
      <c r="AH465" s="12"/>
      <c r="AI465" s="12"/>
      <c r="AJ465" s="12"/>
      <c r="AK465" s="12"/>
    </row>
    <row r="466">
      <c r="A466" s="34"/>
      <c r="B466" s="15"/>
      <c r="C466" s="15"/>
      <c r="D466" s="15"/>
      <c r="E466" s="15"/>
      <c r="F466" s="16"/>
      <c r="G466" s="15"/>
      <c r="H466" s="96"/>
      <c r="I466" s="97"/>
      <c r="J466" s="98"/>
      <c r="K466" s="98"/>
      <c r="L466" s="97"/>
      <c r="M466" s="99"/>
      <c r="N466" s="28"/>
      <c r="O466" s="28"/>
      <c r="P466" s="28"/>
      <c r="Q466" s="23"/>
      <c r="R466" s="28"/>
      <c r="S466" s="28"/>
      <c r="T466" s="100"/>
      <c r="U466" s="28"/>
      <c r="V466" s="28"/>
      <c r="W466" s="28"/>
      <c r="X466" s="23"/>
      <c r="Y466" s="23"/>
      <c r="Z466" s="23"/>
      <c r="AA466" s="23"/>
      <c r="AB466" s="23"/>
      <c r="AC466" s="23"/>
      <c r="AD466" s="23"/>
      <c r="AE466" s="39"/>
      <c r="AF466" s="12"/>
      <c r="AG466" s="12"/>
      <c r="AH466" s="12"/>
      <c r="AI466" s="12"/>
      <c r="AJ466" s="12"/>
      <c r="AK466" s="12"/>
    </row>
    <row r="467">
      <c r="A467" s="98"/>
      <c r="B467" s="96"/>
      <c r="C467" s="96"/>
      <c r="D467" s="96"/>
      <c r="E467" s="15" t="str">
        <f t="shared" ref="E467:E486" si="23">N467&amp;" "&amp;O467</f>
        <v> </v>
      </c>
      <c r="F467" s="16" t="str">
        <f t="shared" ref="F467:F486" si="24">T467</f>
        <v/>
      </c>
      <c r="G467" s="96"/>
      <c r="H467" s="96"/>
      <c r="I467" s="97"/>
      <c r="J467" s="98"/>
      <c r="K467" s="98"/>
      <c r="L467" s="97"/>
      <c r="M467" s="99"/>
      <c r="N467" s="28"/>
      <c r="O467" s="28"/>
      <c r="P467" s="28"/>
      <c r="Q467" s="23"/>
      <c r="R467" s="28"/>
      <c r="S467" s="28"/>
      <c r="T467" s="100"/>
      <c r="U467" s="28"/>
      <c r="V467" s="28"/>
      <c r="W467" s="28"/>
      <c r="X467" s="23"/>
      <c r="Y467" s="23"/>
      <c r="Z467" s="23"/>
      <c r="AA467" s="23"/>
      <c r="AB467" s="23"/>
      <c r="AC467" s="23"/>
      <c r="AD467" s="23"/>
      <c r="AE467" s="39"/>
      <c r="AF467" s="12"/>
      <c r="AG467" s="12"/>
      <c r="AH467" s="12"/>
      <c r="AI467" s="12"/>
      <c r="AJ467" s="12"/>
      <c r="AK467" s="12"/>
    </row>
    <row r="468">
      <c r="A468" s="98"/>
      <c r="B468" s="96"/>
      <c r="C468" s="96"/>
      <c r="D468" s="96"/>
      <c r="E468" s="15" t="str">
        <f t="shared" si="23"/>
        <v> </v>
      </c>
      <c r="F468" s="16" t="str">
        <f t="shared" si="24"/>
        <v/>
      </c>
      <c r="G468" s="96"/>
      <c r="H468" s="96"/>
      <c r="I468" s="97"/>
      <c r="J468" s="98"/>
      <c r="K468" s="98"/>
      <c r="L468" s="97"/>
      <c r="M468" s="99"/>
      <c r="N468" s="28"/>
      <c r="O468" s="28"/>
      <c r="P468" s="28"/>
      <c r="Q468" s="23"/>
      <c r="R468" s="28"/>
      <c r="S468" s="28"/>
      <c r="T468" s="100"/>
      <c r="U468" s="28"/>
      <c r="V468" s="28"/>
      <c r="W468" s="28"/>
      <c r="X468" s="23"/>
      <c r="Y468" s="23"/>
      <c r="Z468" s="23"/>
      <c r="AA468" s="23"/>
      <c r="AB468" s="23"/>
      <c r="AC468" s="23"/>
      <c r="AD468" s="23"/>
      <c r="AE468" s="39"/>
      <c r="AF468" s="12"/>
      <c r="AG468" s="12"/>
      <c r="AH468" s="12"/>
      <c r="AI468" s="12"/>
      <c r="AJ468" s="12"/>
      <c r="AK468" s="12"/>
    </row>
    <row r="469">
      <c r="A469" s="98"/>
      <c r="B469" s="96"/>
      <c r="C469" s="96"/>
      <c r="D469" s="96"/>
      <c r="E469" s="15" t="str">
        <f t="shared" si="23"/>
        <v> </v>
      </c>
      <c r="F469" s="16" t="str">
        <f t="shared" si="24"/>
        <v/>
      </c>
      <c r="G469" s="96"/>
      <c r="H469" s="96"/>
      <c r="I469" s="97"/>
      <c r="J469" s="98"/>
      <c r="K469" s="98"/>
      <c r="L469" s="97"/>
      <c r="M469" s="99"/>
      <c r="N469" s="28"/>
      <c r="O469" s="28"/>
      <c r="P469" s="28"/>
      <c r="Q469" s="23"/>
      <c r="R469" s="28"/>
      <c r="S469" s="28"/>
      <c r="T469" s="100"/>
      <c r="U469" s="28"/>
      <c r="V469" s="28"/>
      <c r="W469" s="28"/>
      <c r="X469" s="23"/>
      <c r="Y469" s="23"/>
      <c r="Z469" s="23"/>
      <c r="AA469" s="23"/>
      <c r="AB469" s="23"/>
      <c r="AC469" s="23"/>
      <c r="AD469" s="23"/>
      <c r="AE469" s="39"/>
      <c r="AF469" s="12"/>
      <c r="AG469" s="12"/>
      <c r="AH469" s="12"/>
      <c r="AI469" s="12"/>
      <c r="AJ469" s="12"/>
      <c r="AK469" s="12"/>
    </row>
    <row r="470">
      <c r="A470" s="98"/>
      <c r="B470" s="96"/>
      <c r="C470" s="96"/>
      <c r="D470" s="96"/>
      <c r="E470" s="15" t="str">
        <f t="shared" si="23"/>
        <v> </v>
      </c>
      <c r="F470" s="16" t="str">
        <f t="shared" si="24"/>
        <v/>
      </c>
      <c r="G470" s="96"/>
      <c r="H470" s="96"/>
      <c r="I470" s="97"/>
      <c r="J470" s="98"/>
      <c r="K470" s="98"/>
      <c r="L470" s="97"/>
      <c r="M470" s="99"/>
      <c r="N470" s="28"/>
      <c r="O470" s="28"/>
      <c r="P470" s="28"/>
      <c r="Q470" s="23"/>
      <c r="R470" s="28"/>
      <c r="S470" s="28"/>
      <c r="T470" s="100"/>
      <c r="U470" s="28"/>
      <c r="V470" s="28"/>
      <c r="W470" s="28"/>
      <c r="X470" s="23"/>
      <c r="Y470" s="23"/>
      <c r="Z470" s="23"/>
      <c r="AA470" s="23"/>
      <c r="AB470" s="23"/>
      <c r="AC470" s="23"/>
      <c r="AD470" s="23"/>
      <c r="AE470" s="39"/>
      <c r="AF470" s="12"/>
      <c r="AG470" s="12"/>
      <c r="AH470" s="12"/>
      <c r="AI470" s="12"/>
      <c r="AJ470" s="12"/>
      <c r="AK470" s="12"/>
    </row>
    <row r="471">
      <c r="A471" s="98"/>
      <c r="B471" s="96"/>
      <c r="C471" s="96"/>
      <c r="D471" s="96"/>
      <c r="E471" s="15" t="str">
        <f t="shared" si="23"/>
        <v> </v>
      </c>
      <c r="F471" s="16" t="str">
        <f t="shared" si="24"/>
        <v/>
      </c>
      <c r="G471" s="96"/>
      <c r="H471" s="96"/>
      <c r="I471" s="97"/>
      <c r="J471" s="98"/>
      <c r="K471" s="98"/>
      <c r="L471" s="97"/>
      <c r="M471" s="99"/>
      <c r="N471" s="28"/>
      <c r="O471" s="28"/>
      <c r="P471" s="28"/>
      <c r="Q471" s="23"/>
      <c r="R471" s="28"/>
      <c r="S471" s="28"/>
      <c r="T471" s="100"/>
      <c r="U471" s="28"/>
      <c r="V471" s="28"/>
      <c r="W471" s="28"/>
      <c r="X471" s="23"/>
      <c r="Y471" s="23"/>
      <c r="Z471" s="23"/>
      <c r="AA471" s="23"/>
      <c r="AB471" s="23"/>
      <c r="AC471" s="23"/>
      <c r="AD471" s="23"/>
      <c r="AE471" s="39"/>
      <c r="AF471" s="12"/>
      <c r="AG471" s="12"/>
      <c r="AH471" s="12"/>
      <c r="AI471" s="12"/>
      <c r="AJ471" s="12"/>
      <c r="AK471" s="12"/>
    </row>
    <row r="472">
      <c r="A472" s="98"/>
      <c r="B472" s="96"/>
      <c r="C472" s="96"/>
      <c r="D472" s="96"/>
      <c r="E472" s="15" t="str">
        <f t="shared" si="23"/>
        <v> </v>
      </c>
      <c r="F472" s="16" t="str">
        <f t="shared" si="24"/>
        <v/>
      </c>
      <c r="G472" s="96"/>
      <c r="H472" s="96"/>
      <c r="I472" s="97"/>
      <c r="J472" s="98"/>
      <c r="K472" s="98"/>
      <c r="L472" s="97"/>
      <c r="M472" s="99"/>
      <c r="N472" s="28"/>
      <c r="O472" s="28"/>
      <c r="P472" s="28"/>
      <c r="Q472" s="23"/>
      <c r="R472" s="28"/>
      <c r="S472" s="28"/>
      <c r="T472" s="100"/>
      <c r="U472" s="28"/>
      <c r="V472" s="28"/>
      <c r="W472" s="28"/>
      <c r="X472" s="23"/>
      <c r="Y472" s="23"/>
      <c r="Z472" s="23"/>
      <c r="AA472" s="23"/>
      <c r="AB472" s="23"/>
      <c r="AC472" s="23"/>
      <c r="AD472" s="23"/>
      <c r="AE472" s="39"/>
      <c r="AF472" s="12"/>
      <c r="AG472" s="12"/>
      <c r="AH472" s="12"/>
      <c r="AI472" s="12"/>
      <c r="AJ472" s="12"/>
      <c r="AK472" s="12"/>
    </row>
    <row r="473">
      <c r="A473" s="98"/>
      <c r="B473" s="96"/>
      <c r="C473" s="96"/>
      <c r="D473" s="96"/>
      <c r="E473" s="15" t="str">
        <f t="shared" si="23"/>
        <v> </v>
      </c>
      <c r="F473" s="16" t="str">
        <f t="shared" si="24"/>
        <v/>
      </c>
      <c r="G473" s="96"/>
      <c r="H473" s="96"/>
      <c r="I473" s="97"/>
      <c r="J473" s="98"/>
      <c r="K473" s="98"/>
      <c r="L473" s="97"/>
      <c r="M473" s="99"/>
      <c r="N473" s="28"/>
      <c r="O473" s="28"/>
      <c r="P473" s="28"/>
      <c r="Q473" s="23"/>
      <c r="R473" s="28"/>
      <c r="S473" s="28"/>
      <c r="T473" s="100"/>
      <c r="U473" s="28"/>
      <c r="V473" s="28"/>
      <c r="W473" s="28"/>
      <c r="X473" s="23"/>
      <c r="Y473" s="23"/>
      <c r="Z473" s="23"/>
      <c r="AA473" s="23"/>
      <c r="AB473" s="23"/>
      <c r="AC473" s="23"/>
      <c r="AD473" s="23"/>
      <c r="AE473" s="39"/>
      <c r="AF473" s="12"/>
      <c r="AG473" s="12"/>
      <c r="AH473" s="12"/>
      <c r="AI473" s="12"/>
      <c r="AJ473" s="12"/>
      <c r="AK473" s="12"/>
    </row>
    <row r="474">
      <c r="A474" s="98"/>
      <c r="B474" s="96"/>
      <c r="C474" s="96"/>
      <c r="D474" s="96"/>
      <c r="E474" s="15" t="str">
        <f t="shared" si="23"/>
        <v> </v>
      </c>
      <c r="F474" s="16" t="str">
        <f t="shared" si="24"/>
        <v/>
      </c>
      <c r="G474" s="96"/>
      <c r="H474" s="96"/>
      <c r="I474" s="97"/>
      <c r="J474" s="98"/>
      <c r="K474" s="98"/>
      <c r="L474" s="97"/>
      <c r="M474" s="99"/>
      <c r="N474" s="28"/>
      <c r="O474" s="28"/>
      <c r="P474" s="28"/>
      <c r="Q474" s="23"/>
      <c r="R474" s="28"/>
      <c r="S474" s="28"/>
      <c r="T474" s="100"/>
      <c r="U474" s="28"/>
      <c r="V474" s="28"/>
      <c r="W474" s="28"/>
      <c r="X474" s="23"/>
      <c r="Y474" s="23"/>
      <c r="Z474" s="23"/>
      <c r="AA474" s="23"/>
      <c r="AB474" s="23"/>
      <c r="AC474" s="23"/>
      <c r="AD474" s="23"/>
      <c r="AE474" s="39"/>
      <c r="AF474" s="12"/>
      <c r="AG474" s="12"/>
      <c r="AH474" s="12"/>
      <c r="AI474" s="12"/>
      <c r="AJ474" s="12"/>
      <c r="AK474" s="12"/>
    </row>
    <row r="475">
      <c r="A475" s="98"/>
      <c r="B475" s="96"/>
      <c r="C475" s="96"/>
      <c r="D475" s="96"/>
      <c r="E475" s="15" t="str">
        <f t="shared" si="23"/>
        <v> </v>
      </c>
      <c r="F475" s="16" t="str">
        <f t="shared" si="24"/>
        <v/>
      </c>
      <c r="G475" s="96"/>
      <c r="H475" s="96"/>
      <c r="I475" s="97"/>
      <c r="J475" s="98"/>
      <c r="K475" s="98"/>
      <c r="L475" s="97"/>
      <c r="M475" s="99"/>
      <c r="N475" s="28"/>
      <c r="O475" s="28"/>
      <c r="P475" s="28"/>
      <c r="Q475" s="23"/>
      <c r="R475" s="28"/>
      <c r="S475" s="28"/>
      <c r="T475" s="100"/>
      <c r="U475" s="28"/>
      <c r="V475" s="28"/>
      <c r="W475" s="28"/>
      <c r="X475" s="23"/>
      <c r="Y475" s="23"/>
      <c r="Z475" s="23"/>
      <c r="AA475" s="23"/>
      <c r="AB475" s="23"/>
      <c r="AC475" s="23"/>
      <c r="AD475" s="23"/>
      <c r="AE475" s="39"/>
      <c r="AF475" s="12"/>
      <c r="AG475" s="12"/>
      <c r="AH475" s="12"/>
      <c r="AI475" s="12"/>
      <c r="AJ475" s="12"/>
      <c r="AK475" s="12"/>
    </row>
    <row r="476">
      <c r="A476" s="98"/>
      <c r="B476" s="96"/>
      <c r="C476" s="96"/>
      <c r="D476" s="96"/>
      <c r="E476" s="15" t="str">
        <f t="shared" si="23"/>
        <v> </v>
      </c>
      <c r="F476" s="16" t="str">
        <f t="shared" si="24"/>
        <v/>
      </c>
      <c r="G476" s="96"/>
      <c r="H476" s="96"/>
      <c r="I476" s="97"/>
      <c r="J476" s="98"/>
      <c r="K476" s="98"/>
      <c r="L476" s="97"/>
      <c r="M476" s="99"/>
      <c r="N476" s="28"/>
      <c r="O476" s="28"/>
      <c r="P476" s="28"/>
      <c r="Q476" s="23"/>
      <c r="R476" s="28"/>
      <c r="S476" s="28"/>
      <c r="T476" s="100"/>
      <c r="U476" s="28"/>
      <c r="V476" s="28"/>
      <c r="W476" s="28"/>
      <c r="X476" s="23"/>
      <c r="Y476" s="23"/>
      <c r="Z476" s="23"/>
      <c r="AA476" s="23"/>
      <c r="AB476" s="23"/>
      <c r="AC476" s="23"/>
      <c r="AD476" s="23"/>
      <c r="AE476" s="39"/>
      <c r="AF476" s="12"/>
      <c r="AG476" s="12"/>
      <c r="AH476" s="12"/>
      <c r="AI476" s="12"/>
      <c r="AJ476" s="12"/>
      <c r="AK476" s="12"/>
    </row>
    <row r="477">
      <c r="A477" s="98"/>
      <c r="B477" s="96"/>
      <c r="C477" s="96"/>
      <c r="D477" s="96"/>
      <c r="E477" s="15" t="str">
        <f t="shared" si="23"/>
        <v> </v>
      </c>
      <c r="F477" s="16" t="str">
        <f t="shared" si="24"/>
        <v/>
      </c>
      <c r="G477" s="96"/>
      <c r="H477" s="96"/>
      <c r="I477" s="97"/>
      <c r="J477" s="98"/>
      <c r="K477" s="98"/>
      <c r="L477" s="97"/>
      <c r="M477" s="99"/>
      <c r="N477" s="28"/>
      <c r="O477" s="28"/>
      <c r="P477" s="28"/>
      <c r="Q477" s="23"/>
      <c r="R477" s="28"/>
      <c r="S477" s="28"/>
      <c r="T477" s="100"/>
      <c r="U477" s="28"/>
      <c r="V477" s="28"/>
      <c r="W477" s="28"/>
      <c r="X477" s="23"/>
      <c r="Y477" s="23"/>
      <c r="Z477" s="23"/>
      <c r="AA477" s="23"/>
      <c r="AB477" s="23"/>
      <c r="AC477" s="23"/>
      <c r="AD477" s="23"/>
      <c r="AE477" s="39"/>
      <c r="AF477" s="12"/>
      <c r="AG477" s="12"/>
      <c r="AH477" s="12"/>
      <c r="AI477" s="12"/>
      <c r="AJ477" s="12"/>
      <c r="AK477" s="12"/>
    </row>
    <row r="478">
      <c r="A478" s="98"/>
      <c r="B478" s="96"/>
      <c r="C478" s="96"/>
      <c r="D478" s="96"/>
      <c r="E478" s="15" t="str">
        <f t="shared" si="23"/>
        <v> </v>
      </c>
      <c r="F478" s="16" t="str">
        <f t="shared" si="24"/>
        <v/>
      </c>
      <c r="G478" s="96"/>
      <c r="H478" s="96"/>
      <c r="I478" s="97"/>
      <c r="J478" s="98"/>
      <c r="K478" s="98"/>
      <c r="L478" s="97"/>
      <c r="M478" s="99"/>
      <c r="N478" s="28"/>
      <c r="O478" s="28"/>
      <c r="P478" s="28"/>
      <c r="Q478" s="23"/>
      <c r="R478" s="28"/>
      <c r="S478" s="28"/>
      <c r="T478" s="100"/>
      <c r="U478" s="28"/>
      <c r="V478" s="28"/>
      <c r="W478" s="28"/>
      <c r="X478" s="23"/>
      <c r="Y478" s="23"/>
      <c r="Z478" s="23"/>
      <c r="AA478" s="23"/>
      <c r="AB478" s="23"/>
      <c r="AC478" s="23"/>
      <c r="AD478" s="23"/>
      <c r="AE478" s="39"/>
      <c r="AF478" s="12"/>
      <c r="AG478" s="12"/>
      <c r="AH478" s="12"/>
      <c r="AI478" s="12"/>
      <c r="AJ478" s="12"/>
      <c r="AK478" s="12"/>
    </row>
    <row r="479">
      <c r="A479" s="98"/>
      <c r="B479" s="96"/>
      <c r="C479" s="96"/>
      <c r="D479" s="96"/>
      <c r="E479" s="15" t="str">
        <f t="shared" si="23"/>
        <v> </v>
      </c>
      <c r="F479" s="16" t="str">
        <f t="shared" si="24"/>
        <v/>
      </c>
      <c r="G479" s="96"/>
      <c r="H479" s="96"/>
      <c r="I479" s="97"/>
      <c r="J479" s="98"/>
      <c r="K479" s="98"/>
      <c r="L479" s="97"/>
      <c r="M479" s="99"/>
      <c r="N479" s="28"/>
      <c r="O479" s="28"/>
      <c r="P479" s="28"/>
      <c r="Q479" s="23"/>
      <c r="R479" s="28"/>
      <c r="S479" s="28"/>
      <c r="T479" s="100"/>
      <c r="U479" s="28"/>
      <c r="V479" s="28"/>
      <c r="W479" s="28"/>
      <c r="X479" s="23"/>
      <c r="Y479" s="23"/>
      <c r="Z479" s="23"/>
      <c r="AA479" s="23"/>
      <c r="AB479" s="23"/>
      <c r="AC479" s="23"/>
      <c r="AD479" s="23"/>
      <c r="AE479" s="39"/>
      <c r="AF479" s="12"/>
      <c r="AG479" s="12"/>
      <c r="AH479" s="12"/>
      <c r="AI479" s="12"/>
      <c r="AJ479" s="12"/>
      <c r="AK479" s="12"/>
    </row>
    <row r="480">
      <c r="A480" s="98"/>
      <c r="B480" s="96"/>
      <c r="C480" s="96"/>
      <c r="D480" s="96"/>
      <c r="E480" s="15" t="str">
        <f t="shared" si="23"/>
        <v> </v>
      </c>
      <c r="F480" s="16" t="str">
        <f t="shared" si="24"/>
        <v/>
      </c>
      <c r="G480" s="96"/>
      <c r="H480" s="96"/>
      <c r="I480" s="97"/>
      <c r="J480" s="98"/>
      <c r="K480" s="98"/>
      <c r="L480" s="97"/>
      <c r="M480" s="99"/>
      <c r="N480" s="28"/>
      <c r="O480" s="28"/>
      <c r="P480" s="28"/>
      <c r="Q480" s="23"/>
      <c r="R480" s="28"/>
      <c r="S480" s="28"/>
      <c r="T480" s="100"/>
      <c r="U480" s="28"/>
      <c r="V480" s="28"/>
      <c r="W480" s="28"/>
      <c r="X480" s="23"/>
      <c r="Y480" s="23"/>
      <c r="Z480" s="23"/>
      <c r="AA480" s="23"/>
      <c r="AB480" s="23"/>
      <c r="AC480" s="23"/>
      <c r="AD480" s="23"/>
      <c r="AE480" s="39"/>
      <c r="AF480" s="12"/>
      <c r="AG480" s="12"/>
      <c r="AH480" s="12"/>
      <c r="AI480" s="12"/>
      <c r="AJ480" s="12"/>
      <c r="AK480" s="12"/>
    </row>
    <row r="481">
      <c r="A481" s="98"/>
      <c r="B481" s="96"/>
      <c r="C481" s="96"/>
      <c r="D481" s="96"/>
      <c r="E481" s="15" t="str">
        <f t="shared" si="23"/>
        <v> </v>
      </c>
      <c r="F481" s="16" t="str">
        <f t="shared" si="24"/>
        <v/>
      </c>
      <c r="G481" s="96"/>
      <c r="H481" s="96"/>
      <c r="I481" s="97"/>
      <c r="J481" s="98"/>
      <c r="K481" s="98"/>
      <c r="L481" s="97"/>
      <c r="M481" s="99"/>
      <c r="N481" s="28"/>
      <c r="O481" s="28"/>
      <c r="P481" s="28"/>
      <c r="Q481" s="23"/>
      <c r="R481" s="28"/>
      <c r="S481" s="28"/>
      <c r="T481" s="100"/>
      <c r="U481" s="28"/>
      <c r="V481" s="28"/>
      <c r="W481" s="28"/>
      <c r="X481" s="23"/>
      <c r="Y481" s="23"/>
      <c r="Z481" s="23"/>
      <c r="AA481" s="23"/>
      <c r="AB481" s="23"/>
      <c r="AC481" s="23"/>
      <c r="AD481" s="23"/>
      <c r="AE481" s="39"/>
      <c r="AF481" s="12"/>
      <c r="AG481" s="12"/>
      <c r="AH481" s="12"/>
      <c r="AI481" s="12"/>
      <c r="AJ481" s="12"/>
      <c r="AK481" s="12"/>
    </row>
    <row r="482">
      <c r="A482" s="98"/>
      <c r="B482" s="96"/>
      <c r="C482" s="96"/>
      <c r="D482" s="96"/>
      <c r="E482" s="15" t="str">
        <f t="shared" si="23"/>
        <v> </v>
      </c>
      <c r="F482" s="16" t="str">
        <f t="shared" si="24"/>
        <v/>
      </c>
      <c r="G482" s="96"/>
      <c r="H482" s="96"/>
      <c r="I482" s="97"/>
      <c r="J482" s="98"/>
      <c r="K482" s="98"/>
      <c r="L482" s="97"/>
      <c r="M482" s="99"/>
      <c r="N482" s="28"/>
      <c r="O482" s="28"/>
      <c r="P482" s="28"/>
      <c r="Q482" s="23"/>
      <c r="R482" s="28"/>
      <c r="S482" s="28"/>
      <c r="T482" s="100"/>
      <c r="U482" s="28"/>
      <c r="V482" s="28"/>
      <c r="W482" s="28"/>
      <c r="X482" s="23"/>
      <c r="Y482" s="23"/>
      <c r="Z482" s="23"/>
      <c r="AA482" s="23"/>
      <c r="AB482" s="23"/>
      <c r="AC482" s="23"/>
      <c r="AD482" s="23"/>
      <c r="AE482" s="39"/>
      <c r="AF482" s="12"/>
      <c r="AG482" s="12"/>
      <c r="AH482" s="12"/>
      <c r="AI482" s="12"/>
      <c r="AJ482" s="12"/>
      <c r="AK482" s="12"/>
    </row>
    <row r="483">
      <c r="A483" s="98"/>
      <c r="B483" s="96"/>
      <c r="C483" s="96"/>
      <c r="D483" s="96"/>
      <c r="E483" s="15" t="str">
        <f t="shared" si="23"/>
        <v> </v>
      </c>
      <c r="F483" s="16" t="str">
        <f t="shared" si="24"/>
        <v/>
      </c>
      <c r="G483" s="96"/>
      <c r="H483" s="96"/>
      <c r="I483" s="97"/>
      <c r="J483" s="98"/>
      <c r="K483" s="98"/>
      <c r="L483" s="97"/>
      <c r="M483" s="99"/>
      <c r="N483" s="28"/>
      <c r="O483" s="28"/>
      <c r="P483" s="28"/>
      <c r="Q483" s="23"/>
      <c r="R483" s="28"/>
      <c r="S483" s="28"/>
      <c r="T483" s="100"/>
      <c r="U483" s="28"/>
      <c r="V483" s="28"/>
      <c r="W483" s="28"/>
      <c r="X483" s="23"/>
      <c r="Y483" s="23"/>
      <c r="Z483" s="23"/>
      <c r="AA483" s="23"/>
      <c r="AB483" s="23"/>
      <c r="AC483" s="23"/>
      <c r="AD483" s="23"/>
      <c r="AE483" s="39"/>
      <c r="AF483" s="12"/>
      <c r="AG483" s="12"/>
      <c r="AH483" s="12"/>
      <c r="AI483" s="12"/>
      <c r="AJ483" s="12"/>
      <c r="AK483" s="12"/>
    </row>
    <row r="484">
      <c r="A484" s="98"/>
      <c r="B484" s="96"/>
      <c r="C484" s="96"/>
      <c r="D484" s="96"/>
      <c r="E484" s="15" t="str">
        <f t="shared" si="23"/>
        <v> </v>
      </c>
      <c r="F484" s="16" t="str">
        <f t="shared" si="24"/>
        <v/>
      </c>
      <c r="G484" s="96"/>
      <c r="H484" s="96"/>
      <c r="I484" s="97"/>
      <c r="J484" s="98"/>
      <c r="K484" s="98"/>
      <c r="L484" s="97"/>
      <c r="M484" s="99"/>
      <c r="N484" s="28"/>
      <c r="O484" s="28"/>
      <c r="P484" s="28"/>
      <c r="Q484" s="23"/>
      <c r="R484" s="28"/>
      <c r="S484" s="28"/>
      <c r="T484" s="100"/>
      <c r="U484" s="28"/>
      <c r="V484" s="28"/>
      <c r="W484" s="28"/>
      <c r="X484" s="23"/>
      <c r="Y484" s="23"/>
      <c r="Z484" s="23"/>
      <c r="AA484" s="23"/>
      <c r="AB484" s="23"/>
      <c r="AC484" s="23"/>
      <c r="AD484" s="23"/>
      <c r="AE484" s="39"/>
      <c r="AF484" s="12"/>
      <c r="AG484" s="12"/>
      <c r="AH484" s="12"/>
      <c r="AI484" s="12"/>
      <c r="AJ484" s="12"/>
      <c r="AK484" s="12"/>
    </row>
    <row r="485">
      <c r="A485" s="98"/>
      <c r="B485" s="96"/>
      <c r="C485" s="96"/>
      <c r="D485" s="96"/>
      <c r="E485" s="15" t="str">
        <f t="shared" si="23"/>
        <v> </v>
      </c>
      <c r="F485" s="16" t="str">
        <f t="shared" si="24"/>
        <v/>
      </c>
      <c r="G485" s="96"/>
      <c r="H485" s="96"/>
      <c r="I485" s="97"/>
      <c r="J485" s="98"/>
      <c r="K485" s="98"/>
      <c r="L485" s="97"/>
      <c r="M485" s="99"/>
      <c r="N485" s="28"/>
      <c r="O485" s="28"/>
      <c r="P485" s="28"/>
      <c r="Q485" s="23"/>
      <c r="R485" s="28"/>
      <c r="S485" s="28"/>
      <c r="T485" s="100"/>
      <c r="U485" s="28"/>
      <c r="V485" s="28"/>
      <c r="W485" s="28"/>
      <c r="X485" s="23"/>
      <c r="Y485" s="23"/>
      <c r="Z485" s="23"/>
      <c r="AA485" s="23"/>
      <c r="AB485" s="23"/>
      <c r="AC485" s="23"/>
      <c r="AD485" s="23"/>
      <c r="AE485" s="39"/>
      <c r="AF485" s="12"/>
      <c r="AG485" s="12"/>
      <c r="AH485" s="12"/>
      <c r="AI485" s="12"/>
      <c r="AJ485" s="12"/>
      <c r="AK485" s="12"/>
    </row>
    <row r="486">
      <c r="A486" s="98"/>
      <c r="B486" s="96"/>
      <c r="C486" s="96"/>
      <c r="D486" s="96"/>
      <c r="E486" s="15" t="str">
        <f t="shared" si="23"/>
        <v> </v>
      </c>
      <c r="F486" s="16" t="str">
        <f t="shared" si="24"/>
        <v/>
      </c>
      <c r="G486" s="96"/>
      <c r="H486" s="96"/>
      <c r="I486" s="97"/>
      <c r="J486" s="98"/>
      <c r="K486" s="98"/>
      <c r="L486" s="97"/>
      <c r="M486" s="99"/>
      <c r="N486" s="28"/>
      <c r="O486" s="28"/>
      <c r="P486" s="28"/>
      <c r="Q486" s="23"/>
      <c r="R486" s="28"/>
      <c r="S486" s="28"/>
      <c r="T486" s="100"/>
      <c r="U486" s="28"/>
      <c r="V486" s="28"/>
      <c r="W486" s="28"/>
      <c r="X486" s="23"/>
      <c r="Y486" s="23"/>
      <c r="Z486" s="23"/>
      <c r="AA486" s="23"/>
      <c r="AB486" s="23"/>
      <c r="AC486" s="23"/>
      <c r="AD486" s="23"/>
      <c r="AE486" s="39"/>
      <c r="AF486" s="12"/>
      <c r="AG486" s="12"/>
      <c r="AH486" s="12"/>
      <c r="AI486" s="12"/>
      <c r="AJ486" s="12"/>
      <c r="AK486" s="12"/>
    </row>
  </sheetData>
  <dataValidations>
    <dataValidation type="list" allowBlank="1" showErrorMessage="1" sqref="H2:H486">
      <formula1>"SCHEDULED,NEEDS NEW DELIVERY,SPANISH SPEAKING,NO DELIVERY NEEDED,UNRESPONSIVE - FOLLOW UP WITH CW"</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24.13"/>
    <col customWidth="1" min="3" max="3" width="21.63"/>
    <col customWidth="1" min="4" max="4" width="28.63"/>
    <col customWidth="1" min="5" max="5" width="19.13"/>
    <col customWidth="1" min="6" max="6" width="24.25"/>
    <col customWidth="1" min="7" max="7" width="24.5"/>
    <col customWidth="1" min="8" max="8" width="23.0"/>
    <col customWidth="1" min="9" max="9" width="19.5"/>
    <col customWidth="1" min="10" max="10" width="22.5"/>
    <col customWidth="1" min="11" max="11" width="24.0"/>
    <col customWidth="1" min="12" max="12" width="20.38"/>
    <col hidden="1" min="13" max="13" width="12.63"/>
  </cols>
  <sheetData>
    <row r="1" ht="54.75" customHeight="1">
      <c r="A1" s="101" t="s">
        <v>3</v>
      </c>
      <c r="B1" s="102" t="s">
        <v>4291</v>
      </c>
      <c r="C1" s="102" t="s">
        <v>4292</v>
      </c>
      <c r="D1" s="103" t="s">
        <v>4293</v>
      </c>
      <c r="E1" s="104" t="s">
        <v>4294</v>
      </c>
      <c r="F1" s="103" t="s">
        <v>4295</v>
      </c>
      <c r="G1" s="103" t="s">
        <v>4296</v>
      </c>
      <c r="H1" s="103" t="s">
        <v>4297</v>
      </c>
      <c r="I1" s="105" t="s">
        <v>4298</v>
      </c>
      <c r="J1" s="106" t="s">
        <v>4299</v>
      </c>
      <c r="K1" s="107" t="str">
        <f>IFERROR(__xludf.DUMMYFUNCTION("{""Escalate to Caseworker?"";
ARRAYFORMULA(
  IF(A2:A537="""","""",
    IF(REGEXMATCH(LOWER(TRIM(D2:D537)),""^(inactive|waitlisted)$""),
       """",
       IF(N(J2:J537)&gt;=3,""ESCALATE"","""")
    )
  )
)}"),"Escalate to Caseworker?")</f>
        <v>Escalate to Caseworker?</v>
      </c>
      <c r="L1" s="108" t="str">
        <f>IFERROR(__xludf.DUMMYFUNCTION("{""Next Follow-Up Date"";
ARRAYFORMULA(
  IF(A2:A537="""","""",
    IF(I2:I537&lt;&gt;"""", TO_DATE(I2:I537-7),
      IF(LOWER(TRIM(G2:G537))=""scheduled"", IF(E2:E537&lt;&gt;"""", TO_DATE(E2:E537+45), """"),
        IF(LOWER(TRIM(G2:G537))=""reached - call back requ"&amp;"ested"", IF(E2:E537&lt;&gt;"""", TO_DATE(E2:E537+7), """"),
          IF(
            (LOWER(TRIM(G2:G537))=""voicemail"")
            + (LOWER(TRIM(G2:G537))=""can't reach"")
            + (LOWER(TRIM(G2:G537))=""need spanish speeker""),
            IF(E2:E537"&amp;"&lt;&gt;"""", TO_DATE(E2:E537+7), """"),
            """"
          )
        )
      )
    )
  )
)}"),"Next Follow-Up Date")</f>
        <v>Next Follow-Up Date</v>
      </c>
      <c r="M1" s="109" t="str">
        <f t="array" ref="M1:M2">{"Status Weight (debug)";
 IF(A2:A537="","",
    IF(UPPER(TRIM(K2:K537))="ESCALATE",0,
      IF(LOWER(TRIM(D2:D537))="active client",1,
      IF(LOWER(TRIM(D2:D537))="recertifying",2,
      IF(LOWER(TRIM(D2:D537))="waitlisted",3,
      IF(LOWER(TRIM(D2:D537))="inactive",4,5)))))
  )}</f>
        <v>#REF!</v>
      </c>
      <c r="N1" s="110"/>
      <c r="O1" s="110"/>
      <c r="P1" s="110"/>
      <c r="Q1" s="110"/>
      <c r="R1" s="110"/>
      <c r="S1" s="110"/>
      <c r="T1" s="110"/>
      <c r="U1" s="110"/>
      <c r="V1" s="110"/>
      <c r="W1" s="110"/>
      <c r="X1" s="110"/>
      <c r="Y1" s="110"/>
      <c r="Z1" s="110"/>
      <c r="AA1" s="110"/>
      <c r="AB1" s="110"/>
      <c r="AC1" s="110"/>
      <c r="AD1" s="110"/>
    </row>
    <row r="2">
      <c r="A2" s="111" t="s">
        <v>975</v>
      </c>
      <c r="B2" s="112" t="s">
        <v>4300</v>
      </c>
      <c r="C2" s="112" t="s">
        <v>984</v>
      </c>
      <c r="D2" s="113" t="s">
        <v>4301</v>
      </c>
      <c r="E2" s="114">
        <v>45995.0</v>
      </c>
      <c r="F2" s="113" t="s">
        <v>31</v>
      </c>
      <c r="G2" s="113" t="s">
        <v>4302</v>
      </c>
      <c r="H2" s="113" t="s">
        <v>4303</v>
      </c>
      <c r="I2" s="114">
        <v>45513.0</v>
      </c>
      <c r="J2" s="115">
        <v>3.0</v>
      </c>
      <c r="K2" s="113" t="str">
        <f>IFERROR(__xludf.DUMMYFUNCTION("""COMPUTED_VALUE"""),"ESCALATE")</f>
        <v>ESCALATE</v>
      </c>
      <c r="L2" s="114">
        <f>IFERROR(__xludf.DUMMYFUNCTION("""COMPUTED_VALUE"""),45506.0)</f>
        <v>45506</v>
      </c>
      <c r="M2" s="116">
        <v>0.0</v>
      </c>
      <c r="N2" s="110"/>
      <c r="O2" s="110"/>
      <c r="P2" s="110"/>
      <c r="Q2" s="110"/>
      <c r="R2" s="110"/>
      <c r="S2" s="110"/>
      <c r="T2" s="110"/>
      <c r="U2" s="110"/>
      <c r="V2" s="110"/>
      <c r="W2" s="110"/>
      <c r="X2" s="110"/>
      <c r="Y2" s="110"/>
      <c r="Z2" s="110"/>
      <c r="AA2" s="110"/>
      <c r="AB2" s="110"/>
      <c r="AC2" s="110"/>
      <c r="AD2" s="110"/>
    </row>
    <row r="3">
      <c r="A3" s="117" t="s">
        <v>1734</v>
      </c>
      <c r="B3" s="112" t="s">
        <v>4304</v>
      </c>
      <c r="C3" s="112" t="s">
        <v>1739</v>
      </c>
      <c r="D3" s="113" t="s">
        <v>4301</v>
      </c>
      <c r="E3" s="114">
        <v>45979.0</v>
      </c>
      <c r="F3" s="113" t="s">
        <v>4305</v>
      </c>
      <c r="G3" s="113" t="s">
        <v>4302</v>
      </c>
      <c r="H3" s="113" t="s">
        <v>4306</v>
      </c>
      <c r="I3" s="114">
        <v>45645.0</v>
      </c>
      <c r="J3" s="115">
        <v>3.0</v>
      </c>
      <c r="K3" s="113" t="str">
        <f>IFERROR(__xludf.DUMMYFUNCTION("""COMPUTED_VALUE"""),"ESCALATE")</f>
        <v>ESCALATE</v>
      </c>
      <c r="L3" s="114">
        <f>IFERROR(__xludf.DUMMYFUNCTION("""COMPUTED_VALUE"""),45638.0)</f>
        <v>45638</v>
      </c>
      <c r="M3" s="116">
        <v>1.0</v>
      </c>
      <c r="N3" s="110"/>
      <c r="O3" s="110"/>
      <c r="P3" s="110"/>
      <c r="Q3" s="110"/>
      <c r="R3" s="110"/>
      <c r="S3" s="110"/>
      <c r="T3" s="110"/>
      <c r="U3" s="110"/>
      <c r="V3" s="110"/>
      <c r="W3" s="110"/>
      <c r="X3" s="110"/>
      <c r="Y3" s="110"/>
      <c r="Z3" s="110"/>
      <c r="AA3" s="110"/>
      <c r="AB3" s="110"/>
      <c r="AC3" s="110"/>
      <c r="AD3" s="110"/>
    </row>
    <row r="4">
      <c r="A4" s="111" t="s">
        <v>1933</v>
      </c>
      <c r="B4" s="112" t="s">
        <v>4307</v>
      </c>
      <c r="C4" s="112">
        <v>2.029101309E9</v>
      </c>
      <c r="D4" s="113" t="s">
        <v>4301</v>
      </c>
      <c r="E4" s="114">
        <v>45979.0</v>
      </c>
      <c r="F4" s="113" t="s">
        <v>4305</v>
      </c>
      <c r="G4" s="113" t="s">
        <v>4302</v>
      </c>
      <c r="H4" s="113" t="s">
        <v>4308</v>
      </c>
      <c r="I4" s="114">
        <v>45660.0</v>
      </c>
      <c r="J4" s="115">
        <v>3.0</v>
      </c>
      <c r="K4" s="113" t="str">
        <f>IFERROR(__xludf.DUMMYFUNCTION("""COMPUTED_VALUE"""),"ESCALATE")</f>
        <v>ESCALATE</v>
      </c>
      <c r="L4" s="114">
        <f>IFERROR(__xludf.DUMMYFUNCTION("""COMPUTED_VALUE"""),45653.0)</f>
        <v>45653</v>
      </c>
      <c r="M4" s="116">
        <v>1.0</v>
      </c>
      <c r="N4" s="110"/>
      <c r="O4" s="110"/>
      <c r="P4" s="110"/>
      <c r="Q4" s="110"/>
      <c r="R4" s="110"/>
      <c r="S4" s="110"/>
      <c r="T4" s="110"/>
      <c r="U4" s="110"/>
      <c r="V4" s="110"/>
      <c r="W4" s="110"/>
      <c r="X4" s="110"/>
      <c r="Y4" s="110"/>
      <c r="Z4" s="110"/>
      <c r="AA4" s="110"/>
      <c r="AB4" s="110"/>
      <c r="AC4" s="110"/>
      <c r="AD4" s="110"/>
    </row>
    <row r="5">
      <c r="A5" s="111" t="s">
        <v>1202</v>
      </c>
      <c r="B5" s="112" t="s">
        <v>4309</v>
      </c>
      <c r="C5" s="112">
        <v>2.022906546E9</v>
      </c>
      <c r="D5" s="113" t="s">
        <v>4301</v>
      </c>
      <c r="E5" s="114">
        <v>45998.0</v>
      </c>
      <c r="F5" s="113" t="s">
        <v>4310</v>
      </c>
      <c r="G5" s="113" t="s">
        <v>4302</v>
      </c>
      <c r="H5" s="113" t="s">
        <v>4311</v>
      </c>
      <c r="I5" s="114">
        <v>45681.0</v>
      </c>
      <c r="J5" s="115">
        <v>3.0</v>
      </c>
      <c r="K5" s="113" t="str">
        <f>IFERROR(__xludf.DUMMYFUNCTION("""COMPUTED_VALUE"""),"ESCALATE")</f>
        <v>ESCALATE</v>
      </c>
      <c r="L5" s="114">
        <f>IFERROR(__xludf.DUMMYFUNCTION("""COMPUTED_VALUE"""),45674.0)</f>
        <v>45674</v>
      </c>
      <c r="M5" s="116">
        <v>0.0</v>
      </c>
      <c r="N5" s="110"/>
      <c r="O5" s="110"/>
      <c r="P5" s="110"/>
      <c r="Q5" s="110"/>
      <c r="R5" s="110"/>
      <c r="S5" s="110"/>
      <c r="T5" s="110"/>
      <c r="U5" s="110"/>
      <c r="V5" s="110"/>
      <c r="W5" s="110"/>
      <c r="X5" s="110"/>
      <c r="Y5" s="110"/>
      <c r="Z5" s="110"/>
      <c r="AA5" s="110"/>
      <c r="AB5" s="110"/>
      <c r="AC5" s="110"/>
      <c r="AD5" s="110"/>
    </row>
    <row r="6">
      <c r="A6" s="111" t="s">
        <v>2806</v>
      </c>
      <c r="B6" s="112" t="s">
        <v>4312</v>
      </c>
      <c r="C6" s="112" t="s">
        <v>2815</v>
      </c>
      <c r="D6" s="113" t="s">
        <v>4301</v>
      </c>
      <c r="E6" s="114">
        <v>45981.0</v>
      </c>
      <c r="F6" s="113" t="s">
        <v>4313</v>
      </c>
      <c r="G6" s="113" t="s">
        <v>4302</v>
      </c>
      <c r="H6" s="113" t="s">
        <v>4314</v>
      </c>
      <c r="I6" s="114">
        <v>45730.0</v>
      </c>
      <c r="J6" s="115">
        <v>3.0</v>
      </c>
      <c r="K6" s="113" t="str">
        <f>IFERROR(__xludf.DUMMYFUNCTION("""COMPUTED_VALUE"""),"ESCALATE")</f>
        <v>ESCALATE</v>
      </c>
      <c r="L6" s="114">
        <f>IFERROR(__xludf.DUMMYFUNCTION("""COMPUTED_VALUE"""),45723.0)</f>
        <v>45723</v>
      </c>
      <c r="M6" s="116">
        <v>0.0</v>
      </c>
      <c r="N6" s="110"/>
      <c r="O6" s="110"/>
      <c r="P6" s="110"/>
      <c r="Q6" s="110"/>
      <c r="R6" s="110"/>
      <c r="S6" s="110"/>
      <c r="T6" s="110"/>
      <c r="U6" s="110"/>
      <c r="V6" s="110"/>
      <c r="W6" s="110"/>
      <c r="X6" s="110"/>
      <c r="Y6" s="110"/>
      <c r="Z6" s="110"/>
      <c r="AA6" s="110"/>
      <c r="AB6" s="110"/>
      <c r="AC6" s="110"/>
      <c r="AD6" s="110"/>
    </row>
    <row r="7">
      <c r="A7" s="111" t="s">
        <v>615</v>
      </c>
      <c r="B7" s="112" t="s">
        <v>4315</v>
      </c>
      <c r="C7" s="112">
        <v>2.028561763E9</v>
      </c>
      <c r="D7" s="113" t="s">
        <v>4301</v>
      </c>
      <c r="E7" s="114">
        <v>45960.0</v>
      </c>
      <c r="F7" s="113" t="s">
        <v>31</v>
      </c>
      <c r="G7" s="113" t="s">
        <v>4302</v>
      </c>
      <c r="H7" s="113" t="s">
        <v>4316</v>
      </c>
      <c r="I7" s="114">
        <v>45736.0</v>
      </c>
      <c r="J7" s="115">
        <v>3.0</v>
      </c>
      <c r="K7" s="113" t="str">
        <f>IFERROR(__xludf.DUMMYFUNCTION("""COMPUTED_VALUE"""),"ESCALATE")</f>
        <v>ESCALATE</v>
      </c>
      <c r="L7" s="114">
        <f>IFERROR(__xludf.DUMMYFUNCTION("""COMPUTED_VALUE"""),45729.0)</f>
        <v>45729</v>
      </c>
      <c r="M7" s="116">
        <v>0.0</v>
      </c>
      <c r="N7" s="110"/>
      <c r="O7" s="110"/>
      <c r="P7" s="110"/>
      <c r="Q7" s="110"/>
      <c r="R7" s="110"/>
      <c r="S7" s="110"/>
      <c r="T7" s="110"/>
      <c r="U7" s="110"/>
      <c r="V7" s="110"/>
      <c r="W7" s="110"/>
      <c r="X7" s="110"/>
      <c r="Y7" s="110"/>
      <c r="Z7" s="110"/>
      <c r="AA7" s="110"/>
      <c r="AB7" s="110"/>
      <c r="AC7" s="110"/>
      <c r="AD7" s="110"/>
    </row>
    <row r="8">
      <c r="A8" s="111" t="s">
        <v>1092</v>
      </c>
      <c r="B8" s="112" t="s">
        <v>4317</v>
      </c>
      <c r="C8" s="112" t="s">
        <v>1097</v>
      </c>
      <c r="D8" s="113" t="s">
        <v>4301</v>
      </c>
      <c r="E8" s="114">
        <v>45729.0</v>
      </c>
      <c r="F8" s="113" t="s">
        <v>31</v>
      </c>
      <c r="G8" s="113" t="s">
        <v>4302</v>
      </c>
      <c r="H8" s="113" t="s">
        <v>4318</v>
      </c>
      <c r="I8" s="114">
        <v>45736.0</v>
      </c>
      <c r="J8" s="115">
        <v>3.0</v>
      </c>
      <c r="K8" s="113" t="str">
        <f>IFERROR(__xludf.DUMMYFUNCTION("""COMPUTED_VALUE"""),"ESCALATE")</f>
        <v>ESCALATE</v>
      </c>
      <c r="L8" s="114">
        <f>IFERROR(__xludf.DUMMYFUNCTION("""COMPUTED_VALUE"""),45729.0)</f>
        <v>45729</v>
      </c>
      <c r="M8" s="116">
        <v>0.0</v>
      </c>
      <c r="N8" s="110"/>
      <c r="O8" s="110"/>
      <c r="P8" s="110"/>
      <c r="Q8" s="110"/>
      <c r="R8" s="110"/>
      <c r="S8" s="110"/>
      <c r="T8" s="110"/>
      <c r="U8" s="110"/>
      <c r="V8" s="110"/>
      <c r="W8" s="110"/>
      <c r="X8" s="110"/>
      <c r="Y8" s="110"/>
      <c r="Z8" s="110"/>
      <c r="AA8" s="110"/>
      <c r="AB8" s="110"/>
      <c r="AC8" s="110"/>
      <c r="AD8" s="110"/>
    </row>
    <row r="9">
      <c r="A9" s="111" t="s">
        <v>2026</v>
      </c>
      <c r="B9" s="112" t="s">
        <v>4319</v>
      </c>
      <c r="C9" s="112">
        <v>3.012322949E9</v>
      </c>
      <c r="D9" s="113" t="s">
        <v>4301</v>
      </c>
      <c r="E9" s="114">
        <v>45981.0</v>
      </c>
      <c r="F9" s="113" t="s">
        <v>31</v>
      </c>
      <c r="G9" s="113" t="s">
        <v>4302</v>
      </c>
      <c r="H9" s="113"/>
      <c r="I9" s="114">
        <v>45736.0</v>
      </c>
      <c r="J9" s="115">
        <v>3.0</v>
      </c>
      <c r="K9" s="113" t="str">
        <f>IFERROR(__xludf.DUMMYFUNCTION("""COMPUTED_VALUE"""),"ESCALATE")</f>
        <v>ESCALATE</v>
      </c>
      <c r="L9" s="114">
        <f>IFERROR(__xludf.DUMMYFUNCTION("""COMPUTED_VALUE"""),45729.0)</f>
        <v>45729</v>
      </c>
      <c r="M9" s="116">
        <v>0.0</v>
      </c>
      <c r="N9" s="110"/>
      <c r="O9" s="110"/>
      <c r="P9" s="110"/>
      <c r="Q9" s="110"/>
      <c r="R9" s="110"/>
      <c r="S9" s="110"/>
      <c r="T9" s="110"/>
      <c r="U9" s="110"/>
      <c r="V9" s="110"/>
      <c r="W9" s="110"/>
      <c r="X9" s="110"/>
      <c r="Y9" s="110"/>
      <c r="Z9" s="110"/>
      <c r="AA9" s="110"/>
      <c r="AB9" s="110"/>
      <c r="AC9" s="110"/>
      <c r="AD9" s="110"/>
    </row>
    <row r="10">
      <c r="A10" s="111" t="s">
        <v>1486</v>
      </c>
      <c r="B10" s="112" t="s">
        <v>4320</v>
      </c>
      <c r="C10" s="112" t="s">
        <v>1493</v>
      </c>
      <c r="D10" s="113" t="s">
        <v>4301</v>
      </c>
      <c r="E10" s="114">
        <v>45981.0</v>
      </c>
      <c r="F10" s="113" t="s">
        <v>31</v>
      </c>
      <c r="G10" s="113" t="s">
        <v>4302</v>
      </c>
      <c r="H10" s="113" t="s">
        <v>4321</v>
      </c>
      <c r="I10" s="114">
        <v>45743.0</v>
      </c>
      <c r="J10" s="115">
        <v>3.0</v>
      </c>
      <c r="K10" s="113" t="str">
        <f>IFERROR(__xludf.DUMMYFUNCTION("""COMPUTED_VALUE"""),"ESCALATE")</f>
        <v>ESCALATE</v>
      </c>
      <c r="L10" s="114">
        <f>IFERROR(__xludf.DUMMYFUNCTION("""COMPUTED_VALUE"""),45736.0)</f>
        <v>45736</v>
      </c>
      <c r="M10" s="116">
        <v>1.0</v>
      </c>
      <c r="N10" s="110"/>
      <c r="O10" s="110"/>
      <c r="P10" s="110"/>
      <c r="Q10" s="110"/>
      <c r="R10" s="110"/>
      <c r="S10" s="110"/>
      <c r="T10" s="110"/>
      <c r="U10" s="110"/>
      <c r="V10" s="110"/>
      <c r="W10" s="110"/>
      <c r="X10" s="110"/>
      <c r="Y10" s="110"/>
      <c r="Z10" s="110"/>
      <c r="AA10" s="110"/>
      <c r="AB10" s="110"/>
      <c r="AC10" s="110"/>
      <c r="AD10" s="110"/>
    </row>
    <row r="11">
      <c r="A11" s="118" t="s">
        <v>1856</v>
      </c>
      <c r="B11" s="112" t="s">
        <v>4322</v>
      </c>
      <c r="C11" s="112">
        <v>2.022438442E9</v>
      </c>
      <c r="D11" s="119" t="s">
        <v>4301</v>
      </c>
      <c r="E11" s="114">
        <v>45736.0</v>
      </c>
      <c r="F11" s="113" t="s">
        <v>327</v>
      </c>
      <c r="G11" s="113" t="s">
        <v>4302</v>
      </c>
      <c r="H11" s="113"/>
      <c r="I11" s="114">
        <v>45743.0</v>
      </c>
      <c r="J11" s="115">
        <v>3.0</v>
      </c>
      <c r="K11" s="120" t="str">
        <f>IFERROR(__xludf.DUMMYFUNCTION("""COMPUTED_VALUE"""),"ESCALATE")</f>
        <v>ESCALATE</v>
      </c>
      <c r="L11" s="114">
        <f>IFERROR(__xludf.DUMMYFUNCTION("""COMPUTED_VALUE"""),45736.0)</f>
        <v>45736</v>
      </c>
      <c r="M11" s="116">
        <v>1.0</v>
      </c>
      <c r="N11" s="110"/>
      <c r="O11" s="110"/>
      <c r="P11" s="110"/>
      <c r="Q11" s="110"/>
      <c r="R11" s="110"/>
      <c r="S11" s="110"/>
      <c r="T11" s="110"/>
      <c r="U11" s="110"/>
      <c r="V11" s="110"/>
      <c r="W11" s="110"/>
      <c r="X11" s="110"/>
      <c r="Y11" s="110"/>
      <c r="Z11" s="110"/>
      <c r="AA11" s="110"/>
      <c r="AB11" s="110"/>
      <c r="AC11" s="110"/>
      <c r="AD11" s="110"/>
    </row>
    <row r="12">
      <c r="A12" s="117" t="s">
        <v>124</v>
      </c>
      <c r="B12" s="112" t="s">
        <v>4323</v>
      </c>
      <c r="C12" s="112" t="s">
        <v>131</v>
      </c>
      <c r="D12" s="119" t="s">
        <v>4301</v>
      </c>
      <c r="E12" s="114">
        <v>45737.0</v>
      </c>
      <c r="F12" s="113" t="s">
        <v>31</v>
      </c>
      <c r="G12" s="113" t="s">
        <v>4302</v>
      </c>
      <c r="H12" s="113" t="s">
        <v>4324</v>
      </c>
      <c r="I12" s="114">
        <v>45785.0</v>
      </c>
      <c r="J12" s="115">
        <v>3.0</v>
      </c>
      <c r="K12" s="120" t="str">
        <f>IFERROR(__xludf.DUMMYFUNCTION("""COMPUTED_VALUE"""),"ESCALATE")</f>
        <v>ESCALATE</v>
      </c>
      <c r="L12" s="114">
        <f>IFERROR(__xludf.DUMMYFUNCTION("""COMPUTED_VALUE"""),45778.0)</f>
        <v>45778</v>
      </c>
      <c r="M12" s="116">
        <v>1.0</v>
      </c>
      <c r="N12" s="110"/>
      <c r="O12" s="110"/>
      <c r="P12" s="110"/>
      <c r="Q12" s="110"/>
      <c r="R12" s="110"/>
      <c r="S12" s="110"/>
      <c r="T12" s="110"/>
      <c r="U12" s="110"/>
      <c r="V12" s="110"/>
      <c r="W12" s="110"/>
      <c r="X12" s="110"/>
      <c r="Y12" s="110"/>
      <c r="Z12" s="110"/>
      <c r="AA12" s="110"/>
      <c r="AB12" s="110"/>
      <c r="AC12" s="110"/>
      <c r="AD12" s="110"/>
    </row>
    <row r="13">
      <c r="A13" s="117" t="s">
        <v>3082</v>
      </c>
      <c r="B13" s="112" t="s">
        <v>4325</v>
      </c>
      <c r="C13" s="112" t="s">
        <v>3087</v>
      </c>
      <c r="D13" s="119" t="s">
        <v>4301</v>
      </c>
      <c r="E13" s="114">
        <v>45972.0</v>
      </c>
      <c r="F13" s="113" t="s">
        <v>4305</v>
      </c>
      <c r="G13" s="113" t="s">
        <v>4302</v>
      </c>
      <c r="H13" s="113" t="s">
        <v>4326</v>
      </c>
      <c r="I13" s="114">
        <v>45807.0</v>
      </c>
      <c r="J13" s="115">
        <v>3.0</v>
      </c>
      <c r="K13" s="120" t="str">
        <f>IFERROR(__xludf.DUMMYFUNCTION("""COMPUTED_VALUE"""),"ESCALATE")</f>
        <v>ESCALATE</v>
      </c>
      <c r="L13" s="114">
        <f>IFERROR(__xludf.DUMMYFUNCTION("""COMPUTED_VALUE"""),45800.0)</f>
        <v>45800</v>
      </c>
      <c r="M13" s="116">
        <v>0.0</v>
      </c>
      <c r="N13" s="110"/>
      <c r="O13" s="110"/>
      <c r="P13" s="110"/>
      <c r="Q13" s="110"/>
      <c r="R13" s="110"/>
      <c r="S13" s="110"/>
      <c r="T13" s="110"/>
      <c r="U13" s="110"/>
      <c r="V13" s="110"/>
      <c r="W13" s="110"/>
      <c r="X13" s="110"/>
      <c r="Y13" s="110"/>
      <c r="Z13" s="110"/>
      <c r="AA13" s="110"/>
      <c r="AB13" s="110"/>
      <c r="AC13" s="110"/>
      <c r="AD13" s="110"/>
    </row>
    <row r="14">
      <c r="A14" s="118" t="s">
        <v>2990</v>
      </c>
      <c r="B14" s="112" t="s">
        <v>4327</v>
      </c>
      <c r="C14" s="112" t="s">
        <v>2996</v>
      </c>
      <c r="D14" s="119" t="s">
        <v>4301</v>
      </c>
      <c r="E14" s="114">
        <v>45977.0</v>
      </c>
      <c r="F14" s="113" t="s">
        <v>4310</v>
      </c>
      <c r="G14" s="113" t="s">
        <v>4302</v>
      </c>
      <c r="H14" s="113" t="s">
        <v>4328</v>
      </c>
      <c r="I14" s="114">
        <v>45813.0</v>
      </c>
      <c r="J14" s="115">
        <v>3.0</v>
      </c>
      <c r="K14" s="120" t="str">
        <f>IFERROR(__xludf.DUMMYFUNCTION("""COMPUTED_VALUE"""),"ESCALATE")</f>
        <v>ESCALATE</v>
      </c>
      <c r="L14" s="114">
        <f>IFERROR(__xludf.DUMMYFUNCTION("""COMPUTED_VALUE"""),45806.0)</f>
        <v>45806</v>
      </c>
      <c r="M14" s="116">
        <v>0.0</v>
      </c>
      <c r="N14" s="110"/>
      <c r="O14" s="110"/>
      <c r="P14" s="110"/>
      <c r="Q14" s="110"/>
      <c r="R14" s="110"/>
      <c r="S14" s="110"/>
      <c r="T14" s="110"/>
      <c r="U14" s="110"/>
      <c r="V14" s="110"/>
      <c r="W14" s="110"/>
      <c r="X14" s="110"/>
      <c r="Y14" s="110"/>
      <c r="Z14" s="110"/>
      <c r="AA14" s="110"/>
      <c r="AB14" s="110"/>
      <c r="AC14" s="110"/>
      <c r="AD14" s="110"/>
    </row>
    <row r="15">
      <c r="A15" s="118" t="s">
        <v>231</v>
      </c>
      <c r="B15" s="112" t="s">
        <v>4329</v>
      </c>
      <c r="C15" s="112">
        <v>2.028479224E9</v>
      </c>
      <c r="D15" s="119" t="s">
        <v>4301</v>
      </c>
      <c r="E15" s="114">
        <v>45786.0</v>
      </c>
      <c r="F15" s="113" t="s">
        <v>31</v>
      </c>
      <c r="G15" s="113" t="s">
        <v>4302</v>
      </c>
      <c r="H15" s="113" t="s">
        <v>4330</v>
      </c>
      <c r="I15" s="114">
        <v>45841.0</v>
      </c>
      <c r="J15" s="121">
        <v>3.0</v>
      </c>
      <c r="K15" s="120" t="str">
        <f>IFERROR(__xludf.DUMMYFUNCTION("""COMPUTED_VALUE"""),"ESCALATE")</f>
        <v>ESCALATE</v>
      </c>
      <c r="L15" s="114">
        <f>IFERROR(__xludf.DUMMYFUNCTION("""COMPUTED_VALUE"""),45834.0)</f>
        <v>45834</v>
      </c>
      <c r="M15" s="116">
        <v>1.0</v>
      </c>
      <c r="N15" s="110"/>
      <c r="O15" s="110"/>
      <c r="P15" s="110"/>
      <c r="Q15" s="110"/>
      <c r="R15" s="110"/>
      <c r="S15" s="110"/>
      <c r="T15" s="110"/>
      <c r="U15" s="110"/>
      <c r="V15" s="110"/>
      <c r="W15" s="110"/>
      <c r="X15" s="110"/>
      <c r="Y15" s="110"/>
      <c r="Z15" s="110"/>
      <c r="AA15" s="110"/>
      <c r="AB15" s="110"/>
      <c r="AC15" s="110"/>
      <c r="AD15" s="110"/>
    </row>
    <row r="16">
      <c r="A16" s="118" t="s">
        <v>3234</v>
      </c>
      <c r="B16" s="112" t="s">
        <v>4331</v>
      </c>
      <c r="C16" s="112" t="s">
        <v>3238</v>
      </c>
      <c r="D16" s="119" t="s">
        <v>4301</v>
      </c>
      <c r="E16" s="122">
        <v>45977.0</v>
      </c>
      <c r="F16" s="123" t="s">
        <v>4310</v>
      </c>
      <c r="G16" s="123" t="s">
        <v>4302</v>
      </c>
      <c r="H16" s="113" t="s">
        <v>4332</v>
      </c>
      <c r="I16" s="114">
        <v>45842.0</v>
      </c>
      <c r="J16" s="115">
        <v>3.0</v>
      </c>
      <c r="K16" s="120" t="str">
        <f>IFERROR(__xludf.DUMMYFUNCTION("""COMPUTED_VALUE"""),"ESCALATE")</f>
        <v>ESCALATE</v>
      </c>
      <c r="L16" s="114">
        <f>IFERROR(__xludf.DUMMYFUNCTION("""COMPUTED_VALUE"""),45835.0)</f>
        <v>45835</v>
      </c>
      <c r="M16" s="116">
        <v>1.0</v>
      </c>
      <c r="N16" s="110"/>
      <c r="O16" s="110"/>
      <c r="P16" s="110"/>
      <c r="Q16" s="110"/>
      <c r="R16" s="110"/>
      <c r="S16" s="110"/>
      <c r="T16" s="110"/>
      <c r="U16" s="110"/>
      <c r="V16" s="110"/>
      <c r="W16" s="110"/>
      <c r="X16" s="110"/>
      <c r="Y16" s="110"/>
      <c r="Z16" s="110"/>
      <c r="AA16" s="110"/>
      <c r="AB16" s="110"/>
      <c r="AC16" s="110"/>
      <c r="AD16" s="110"/>
    </row>
    <row r="17">
      <c r="A17" s="118" t="s">
        <v>78</v>
      </c>
      <c r="B17" s="112" t="s">
        <v>4333</v>
      </c>
      <c r="C17" s="112" t="s">
        <v>83</v>
      </c>
      <c r="D17" s="119" t="s">
        <v>4301</v>
      </c>
      <c r="E17" s="122">
        <v>45785.0</v>
      </c>
      <c r="F17" s="123" t="s">
        <v>31</v>
      </c>
      <c r="G17" s="123" t="s">
        <v>4302</v>
      </c>
      <c r="H17" s="113" t="s">
        <v>4334</v>
      </c>
      <c r="I17" s="114">
        <v>45863.0</v>
      </c>
      <c r="J17" s="124">
        <v>3.0</v>
      </c>
      <c r="K17" s="120" t="str">
        <f>IFERROR(__xludf.DUMMYFUNCTION("""COMPUTED_VALUE"""),"ESCALATE")</f>
        <v>ESCALATE</v>
      </c>
      <c r="L17" s="114">
        <f>IFERROR(__xludf.DUMMYFUNCTION("""COMPUTED_VALUE"""),45856.0)</f>
        <v>45856</v>
      </c>
      <c r="M17" s="116">
        <v>1.0</v>
      </c>
      <c r="N17" s="110"/>
      <c r="O17" s="110"/>
      <c r="P17" s="110"/>
      <c r="Q17" s="110"/>
      <c r="R17" s="110"/>
      <c r="S17" s="110"/>
      <c r="T17" s="110"/>
      <c r="U17" s="110"/>
      <c r="V17" s="110"/>
      <c r="W17" s="110"/>
      <c r="X17" s="110"/>
      <c r="Y17" s="110"/>
      <c r="Z17" s="110"/>
      <c r="AA17" s="110"/>
      <c r="AB17" s="110"/>
      <c r="AC17" s="110"/>
      <c r="AD17" s="110"/>
    </row>
    <row r="18">
      <c r="A18" s="117" t="s">
        <v>64</v>
      </c>
      <c r="B18" s="112" t="s">
        <v>4335</v>
      </c>
      <c r="C18" s="112" t="s">
        <v>75</v>
      </c>
      <c r="D18" s="119" t="s">
        <v>4301</v>
      </c>
      <c r="E18" s="122">
        <v>45855.0</v>
      </c>
      <c r="F18" s="123" t="s">
        <v>31</v>
      </c>
      <c r="G18" s="123" t="s">
        <v>4302</v>
      </c>
      <c r="H18" s="113" t="s">
        <v>4334</v>
      </c>
      <c r="I18" s="114">
        <v>45869.0</v>
      </c>
      <c r="J18" s="124">
        <v>3.0</v>
      </c>
      <c r="K18" s="120" t="str">
        <f>IFERROR(__xludf.DUMMYFUNCTION("""COMPUTED_VALUE"""),"ESCALATE")</f>
        <v>ESCALATE</v>
      </c>
      <c r="L18" s="114">
        <f>IFERROR(__xludf.DUMMYFUNCTION("""COMPUTED_VALUE"""),45862.0)</f>
        <v>45862</v>
      </c>
      <c r="M18" s="116">
        <v>1.0</v>
      </c>
      <c r="N18" s="110"/>
      <c r="O18" s="110"/>
      <c r="P18" s="110"/>
      <c r="Q18" s="110"/>
      <c r="R18" s="110"/>
      <c r="S18" s="110"/>
      <c r="T18" s="110"/>
      <c r="U18" s="110"/>
      <c r="V18" s="110"/>
      <c r="W18" s="110"/>
      <c r="X18" s="110"/>
      <c r="Y18" s="110"/>
      <c r="Z18" s="110"/>
      <c r="AA18" s="110"/>
      <c r="AB18" s="110"/>
      <c r="AC18" s="110"/>
      <c r="AD18" s="110"/>
    </row>
    <row r="19">
      <c r="A19" s="118" t="s">
        <v>775</v>
      </c>
      <c r="B19" s="112" t="s">
        <v>4336</v>
      </c>
      <c r="C19" s="112" t="s">
        <v>783</v>
      </c>
      <c r="D19" s="119" t="s">
        <v>4301</v>
      </c>
      <c r="E19" s="122">
        <v>45960.0</v>
      </c>
      <c r="F19" s="123" t="s">
        <v>31</v>
      </c>
      <c r="G19" s="123" t="s">
        <v>4302</v>
      </c>
      <c r="H19" s="113" t="s">
        <v>4337</v>
      </c>
      <c r="I19" s="114"/>
      <c r="J19" s="125">
        <v>3.0</v>
      </c>
      <c r="K19" s="120" t="str">
        <f>IFERROR(__xludf.DUMMYFUNCTION("""COMPUTED_VALUE"""),"ESCALATE")</f>
        <v>ESCALATE</v>
      </c>
      <c r="L19" s="114">
        <f>IFERROR(__xludf.DUMMYFUNCTION("""COMPUTED_VALUE"""),45967.0)</f>
        <v>45967</v>
      </c>
      <c r="M19" s="116">
        <v>1.0</v>
      </c>
      <c r="N19" s="110"/>
      <c r="O19" s="110"/>
      <c r="P19" s="110"/>
      <c r="Q19" s="110"/>
      <c r="R19" s="110"/>
      <c r="S19" s="110"/>
      <c r="T19" s="110"/>
      <c r="U19" s="110"/>
      <c r="V19" s="110"/>
      <c r="W19" s="110"/>
      <c r="X19" s="110"/>
      <c r="Y19" s="110"/>
      <c r="Z19" s="110"/>
      <c r="AA19" s="110"/>
      <c r="AB19" s="110"/>
      <c r="AC19" s="110"/>
      <c r="AD19" s="110"/>
    </row>
    <row r="20" ht="22.5" customHeight="1">
      <c r="A20" s="117" t="s">
        <v>134</v>
      </c>
      <c r="B20" s="112" t="s">
        <v>4338</v>
      </c>
      <c r="C20" s="112" t="s">
        <v>143</v>
      </c>
      <c r="D20" s="119" t="s">
        <v>4301</v>
      </c>
      <c r="E20" s="122">
        <v>45972.0</v>
      </c>
      <c r="F20" s="113" t="s">
        <v>4305</v>
      </c>
      <c r="G20" s="123" t="s">
        <v>4302</v>
      </c>
      <c r="H20" s="113" t="s">
        <v>4339</v>
      </c>
      <c r="I20" s="114">
        <v>45996.0</v>
      </c>
      <c r="J20" s="124">
        <v>3.0</v>
      </c>
      <c r="K20" s="120" t="str">
        <f>IFERROR(__xludf.DUMMYFUNCTION("""COMPUTED_VALUE"""),"ESCALATE")</f>
        <v>ESCALATE</v>
      </c>
      <c r="L20" s="114">
        <f>IFERROR(__xludf.DUMMYFUNCTION("""COMPUTED_VALUE"""),45989.0)</f>
        <v>45989</v>
      </c>
      <c r="M20" s="116">
        <v>1.0</v>
      </c>
      <c r="N20" s="110"/>
      <c r="O20" s="110"/>
      <c r="P20" s="110"/>
      <c r="Q20" s="110"/>
      <c r="R20" s="110"/>
      <c r="S20" s="110"/>
      <c r="T20" s="110"/>
      <c r="U20" s="110"/>
      <c r="V20" s="110"/>
      <c r="W20" s="110"/>
      <c r="X20" s="110"/>
      <c r="Y20" s="110"/>
      <c r="Z20" s="110"/>
      <c r="AA20" s="110"/>
      <c r="AB20" s="110"/>
      <c r="AC20" s="110"/>
      <c r="AD20" s="110"/>
    </row>
    <row r="21">
      <c r="A21" s="118" t="s">
        <v>406</v>
      </c>
      <c r="B21" s="112" t="s">
        <v>4340</v>
      </c>
      <c r="C21" s="112" t="s">
        <v>414</v>
      </c>
      <c r="D21" s="119" t="s">
        <v>4301</v>
      </c>
      <c r="E21" s="122"/>
      <c r="F21" s="113" t="s">
        <v>31</v>
      </c>
      <c r="G21" s="113" t="s">
        <v>4302</v>
      </c>
      <c r="H21" s="113" t="s">
        <v>4341</v>
      </c>
      <c r="I21" s="114"/>
      <c r="J21" s="125">
        <v>3.0</v>
      </c>
      <c r="K21" s="120" t="str">
        <f>IFERROR(__xludf.DUMMYFUNCTION("""COMPUTED_VALUE"""),"ESCALATE")</f>
        <v>ESCALATE</v>
      </c>
      <c r="L21" s="114" t="str">
        <f>IFERROR(__xludf.DUMMYFUNCTION("""COMPUTED_VALUE"""),"")</f>
        <v/>
      </c>
      <c r="M21" s="116">
        <v>1.0</v>
      </c>
      <c r="N21" s="110"/>
      <c r="O21" s="110"/>
      <c r="P21" s="110"/>
      <c r="Q21" s="110"/>
      <c r="R21" s="110"/>
      <c r="S21" s="110"/>
      <c r="T21" s="110"/>
      <c r="U21" s="110"/>
      <c r="V21" s="110"/>
      <c r="W21" s="110"/>
      <c r="X21" s="110"/>
      <c r="Y21" s="110"/>
      <c r="Z21" s="110"/>
      <c r="AA21" s="110"/>
      <c r="AB21" s="110"/>
      <c r="AC21" s="110"/>
      <c r="AD21" s="110"/>
    </row>
    <row r="22">
      <c r="A22" s="118" t="s">
        <v>1960</v>
      </c>
      <c r="B22" s="112" t="s">
        <v>4342</v>
      </c>
      <c r="C22" s="112" t="s">
        <v>1968</v>
      </c>
      <c r="D22" s="119" t="s">
        <v>4301</v>
      </c>
      <c r="E22" s="114">
        <v>45998.0</v>
      </c>
      <c r="F22" s="113" t="s">
        <v>4310</v>
      </c>
      <c r="G22" s="113" t="s">
        <v>4343</v>
      </c>
      <c r="H22" s="113" t="s">
        <v>4311</v>
      </c>
      <c r="I22" s="114">
        <v>45708.0</v>
      </c>
      <c r="J22" s="125">
        <v>1.0</v>
      </c>
      <c r="K22" s="120" t="str">
        <f>IFERROR(__xludf.DUMMYFUNCTION("""COMPUTED_VALUE"""),"")</f>
        <v/>
      </c>
      <c r="L22" s="114">
        <f>IFERROR(__xludf.DUMMYFUNCTION("""COMPUTED_VALUE"""),45701.0)</f>
        <v>45701</v>
      </c>
      <c r="M22" s="116">
        <v>1.0</v>
      </c>
      <c r="N22" s="110"/>
      <c r="O22" s="110"/>
      <c r="P22" s="110"/>
      <c r="Q22" s="110"/>
      <c r="R22" s="110"/>
      <c r="S22" s="110"/>
      <c r="T22" s="110"/>
      <c r="U22" s="110"/>
      <c r="V22" s="110"/>
      <c r="W22" s="110"/>
      <c r="X22" s="110"/>
      <c r="Y22" s="110"/>
      <c r="Z22" s="110"/>
      <c r="AA22" s="110"/>
      <c r="AB22" s="110"/>
      <c r="AC22" s="110"/>
      <c r="AD22" s="110"/>
    </row>
    <row r="23">
      <c r="A23" s="118" t="s">
        <v>849</v>
      </c>
      <c r="B23" s="112" t="s">
        <v>4344</v>
      </c>
      <c r="C23" s="126">
        <v>2.402346833E9</v>
      </c>
      <c r="D23" s="119" t="s">
        <v>4301</v>
      </c>
      <c r="E23" s="114">
        <v>45998.0</v>
      </c>
      <c r="F23" s="113" t="s">
        <v>4310</v>
      </c>
      <c r="G23" s="113" t="s">
        <v>4343</v>
      </c>
      <c r="H23" s="113" t="s">
        <v>4311</v>
      </c>
      <c r="I23" s="114">
        <v>45717.0</v>
      </c>
      <c r="J23" s="124">
        <v>2.0</v>
      </c>
      <c r="K23" s="120" t="str">
        <f>IFERROR(__xludf.DUMMYFUNCTION("""COMPUTED_VALUE"""),"")</f>
        <v/>
      </c>
      <c r="L23" s="114">
        <f>IFERROR(__xludf.DUMMYFUNCTION("""COMPUTED_VALUE"""),45710.0)</f>
        <v>45710</v>
      </c>
      <c r="M23" s="116">
        <v>1.0</v>
      </c>
      <c r="N23" s="110"/>
      <c r="O23" s="110"/>
      <c r="P23" s="110"/>
      <c r="Q23" s="110"/>
      <c r="R23" s="110"/>
      <c r="S23" s="110"/>
      <c r="T23" s="110"/>
      <c r="U23" s="110"/>
      <c r="V23" s="110"/>
      <c r="W23" s="110"/>
      <c r="X23" s="110"/>
      <c r="Y23" s="110"/>
      <c r="Z23" s="110"/>
      <c r="AA23" s="110"/>
      <c r="AB23" s="110"/>
      <c r="AC23" s="110"/>
      <c r="AD23" s="110"/>
    </row>
    <row r="24">
      <c r="A24" s="118" t="s">
        <v>1023</v>
      </c>
      <c r="B24" s="112" t="s">
        <v>4345</v>
      </c>
      <c r="C24" s="127">
        <v>3.012666201E9</v>
      </c>
      <c r="D24" s="119" t="s">
        <v>4301</v>
      </c>
      <c r="E24" s="114">
        <v>45998.0</v>
      </c>
      <c r="F24" s="113" t="s">
        <v>4310</v>
      </c>
      <c r="G24" s="113" t="s">
        <v>4343</v>
      </c>
      <c r="H24" s="113" t="s">
        <v>4311</v>
      </c>
      <c r="I24" s="114">
        <v>45736.0</v>
      </c>
      <c r="J24" s="124">
        <v>2.0</v>
      </c>
      <c r="K24" s="120" t="str">
        <f>IFERROR(__xludf.DUMMYFUNCTION("""COMPUTED_VALUE"""),"")</f>
        <v/>
      </c>
      <c r="L24" s="114">
        <f>IFERROR(__xludf.DUMMYFUNCTION("""COMPUTED_VALUE"""),45729.0)</f>
        <v>45729</v>
      </c>
      <c r="M24" s="116">
        <v>1.0</v>
      </c>
      <c r="N24" s="110"/>
      <c r="O24" s="110"/>
      <c r="P24" s="110"/>
      <c r="Q24" s="110"/>
      <c r="R24" s="110"/>
      <c r="S24" s="110"/>
      <c r="T24" s="110"/>
      <c r="U24" s="110"/>
      <c r="V24" s="110"/>
      <c r="W24" s="110"/>
      <c r="X24" s="110"/>
      <c r="Y24" s="110"/>
      <c r="Z24" s="110"/>
      <c r="AA24" s="110"/>
      <c r="AB24" s="110"/>
      <c r="AC24" s="110"/>
      <c r="AD24" s="110"/>
    </row>
    <row r="25">
      <c r="A25" s="118" t="s">
        <v>1040</v>
      </c>
      <c r="B25" s="112" t="s">
        <v>4346</v>
      </c>
      <c r="C25" s="112">
        <v>3.013265622E9</v>
      </c>
      <c r="D25" s="119" t="s">
        <v>4301</v>
      </c>
      <c r="E25" s="114">
        <v>45998.0</v>
      </c>
      <c r="F25" s="113" t="s">
        <v>4310</v>
      </c>
      <c r="G25" s="113" t="s">
        <v>4343</v>
      </c>
      <c r="H25" s="113" t="s">
        <v>4311</v>
      </c>
      <c r="I25" s="114">
        <v>45736.0</v>
      </c>
      <c r="J25" s="124">
        <v>2.0</v>
      </c>
      <c r="K25" s="120" t="str">
        <f>IFERROR(__xludf.DUMMYFUNCTION("""COMPUTED_VALUE"""),"")</f>
        <v/>
      </c>
      <c r="L25" s="114">
        <f>IFERROR(__xludf.DUMMYFUNCTION("""COMPUTED_VALUE"""),45729.0)</f>
        <v>45729</v>
      </c>
      <c r="M25" s="116">
        <v>1.0</v>
      </c>
      <c r="N25" s="110"/>
      <c r="O25" s="110"/>
      <c r="P25" s="110"/>
      <c r="Q25" s="110"/>
      <c r="R25" s="110"/>
      <c r="S25" s="110"/>
      <c r="T25" s="110"/>
      <c r="U25" s="110"/>
      <c r="V25" s="110"/>
      <c r="W25" s="110"/>
      <c r="X25" s="110"/>
      <c r="Y25" s="110"/>
      <c r="Z25" s="110"/>
      <c r="AA25" s="110"/>
      <c r="AB25" s="110"/>
      <c r="AC25" s="110"/>
      <c r="AD25" s="110"/>
    </row>
    <row r="26">
      <c r="A26" s="118" t="s">
        <v>1124</v>
      </c>
      <c r="B26" s="112" t="s">
        <v>4347</v>
      </c>
      <c r="C26" s="112">
        <v>2.023913021E9</v>
      </c>
      <c r="D26" s="119" t="s">
        <v>4301</v>
      </c>
      <c r="E26" s="114">
        <v>45998.0</v>
      </c>
      <c r="F26" s="113" t="s">
        <v>4310</v>
      </c>
      <c r="G26" s="113" t="s">
        <v>4343</v>
      </c>
      <c r="H26" s="113" t="s">
        <v>4311</v>
      </c>
      <c r="I26" s="114">
        <v>45736.0</v>
      </c>
      <c r="J26" s="124">
        <v>2.0</v>
      </c>
      <c r="K26" s="120" t="str">
        <f>IFERROR(__xludf.DUMMYFUNCTION("""COMPUTED_VALUE"""),"")</f>
        <v/>
      </c>
      <c r="L26" s="114">
        <f>IFERROR(__xludf.DUMMYFUNCTION("""COMPUTED_VALUE"""),45729.0)</f>
        <v>45729</v>
      </c>
      <c r="M26" s="116">
        <v>1.0</v>
      </c>
      <c r="N26" s="110"/>
      <c r="O26" s="110"/>
      <c r="P26" s="110"/>
      <c r="Q26" s="110"/>
      <c r="R26" s="110"/>
      <c r="S26" s="110"/>
      <c r="T26" s="110"/>
      <c r="U26" s="110"/>
      <c r="V26" s="110"/>
      <c r="W26" s="110"/>
      <c r="X26" s="110"/>
      <c r="Y26" s="110"/>
      <c r="Z26" s="110"/>
      <c r="AA26" s="110"/>
      <c r="AB26" s="110"/>
      <c r="AC26" s="110"/>
      <c r="AD26" s="110"/>
    </row>
    <row r="27">
      <c r="A27" s="118" t="s">
        <v>1151</v>
      </c>
      <c r="B27" s="112" t="s">
        <v>4348</v>
      </c>
      <c r="C27" s="112" t="s">
        <v>1159</v>
      </c>
      <c r="D27" s="119" t="s">
        <v>4301</v>
      </c>
      <c r="E27" s="114">
        <v>45995.0</v>
      </c>
      <c r="F27" s="113" t="s">
        <v>282</v>
      </c>
      <c r="G27" s="113" t="s">
        <v>4343</v>
      </c>
      <c r="H27" s="113" t="s">
        <v>4311</v>
      </c>
      <c r="I27" s="114">
        <v>45743.0</v>
      </c>
      <c r="J27" s="124">
        <v>2.0</v>
      </c>
      <c r="K27" s="120" t="str">
        <f>IFERROR(__xludf.DUMMYFUNCTION("""COMPUTED_VALUE"""),"")</f>
        <v/>
      </c>
      <c r="L27" s="114">
        <f>IFERROR(__xludf.DUMMYFUNCTION("""COMPUTED_VALUE"""),45736.0)</f>
        <v>45736</v>
      </c>
      <c r="M27" s="116">
        <v>1.0</v>
      </c>
      <c r="N27" s="110"/>
      <c r="O27" s="110"/>
      <c r="P27" s="110"/>
      <c r="Q27" s="110"/>
      <c r="R27" s="110"/>
      <c r="S27" s="110"/>
      <c r="T27" s="110"/>
      <c r="U27" s="110"/>
      <c r="V27" s="110"/>
      <c r="W27" s="110"/>
      <c r="X27" s="110"/>
      <c r="Y27" s="110"/>
      <c r="Z27" s="110"/>
      <c r="AA27" s="110"/>
      <c r="AB27" s="110"/>
      <c r="AC27" s="110"/>
      <c r="AD27" s="110"/>
    </row>
    <row r="28">
      <c r="A28" s="118" t="s">
        <v>271</v>
      </c>
      <c r="B28" s="112" t="s">
        <v>4349</v>
      </c>
      <c r="C28" s="112" t="s">
        <v>280</v>
      </c>
      <c r="D28" s="119" t="s">
        <v>4301</v>
      </c>
      <c r="E28" s="114">
        <v>45999.0</v>
      </c>
      <c r="F28" s="113" t="s">
        <v>4305</v>
      </c>
      <c r="G28" s="113" t="s">
        <v>4343</v>
      </c>
      <c r="H28" s="113" t="s">
        <v>4350</v>
      </c>
      <c r="I28" s="114">
        <v>45743.0</v>
      </c>
      <c r="J28" s="124">
        <v>1.0</v>
      </c>
      <c r="K28" s="120" t="str">
        <f>IFERROR(__xludf.DUMMYFUNCTION("""COMPUTED_VALUE"""),"")</f>
        <v/>
      </c>
      <c r="L28" s="114">
        <f>IFERROR(__xludf.DUMMYFUNCTION("""COMPUTED_VALUE"""),45736.0)</f>
        <v>45736</v>
      </c>
      <c r="M28" s="116">
        <v>1.0</v>
      </c>
      <c r="N28" s="110"/>
      <c r="O28" s="110"/>
      <c r="P28" s="110"/>
      <c r="Q28" s="110"/>
      <c r="R28" s="110"/>
      <c r="S28" s="110"/>
      <c r="T28" s="110"/>
      <c r="U28" s="110"/>
      <c r="V28" s="110"/>
      <c r="W28" s="110"/>
      <c r="X28" s="110"/>
      <c r="Y28" s="110"/>
      <c r="Z28" s="110"/>
      <c r="AA28" s="110"/>
      <c r="AB28" s="110"/>
      <c r="AC28" s="110"/>
      <c r="AD28" s="110"/>
    </row>
    <row r="29">
      <c r="A29" s="118" t="s">
        <v>1517</v>
      </c>
      <c r="B29" s="112" t="s">
        <v>4351</v>
      </c>
      <c r="C29" s="112">
        <v>2.026551808E9</v>
      </c>
      <c r="D29" s="119" t="s">
        <v>4301</v>
      </c>
      <c r="E29" s="114">
        <v>45999.0</v>
      </c>
      <c r="F29" s="113" t="s">
        <v>4305</v>
      </c>
      <c r="G29" s="113" t="s">
        <v>4343</v>
      </c>
      <c r="H29" s="113" t="s">
        <v>4352</v>
      </c>
      <c r="I29" s="114">
        <v>45743.0</v>
      </c>
      <c r="J29" s="124">
        <v>1.0</v>
      </c>
      <c r="K29" s="120" t="str">
        <f>IFERROR(__xludf.DUMMYFUNCTION("""COMPUTED_VALUE"""),"")</f>
        <v/>
      </c>
      <c r="L29" s="114">
        <f>IFERROR(__xludf.DUMMYFUNCTION("""COMPUTED_VALUE"""),45736.0)</f>
        <v>45736</v>
      </c>
      <c r="M29" s="116">
        <v>1.0</v>
      </c>
      <c r="N29" s="110"/>
      <c r="O29" s="110"/>
      <c r="P29" s="110"/>
      <c r="Q29" s="110"/>
      <c r="R29" s="110"/>
      <c r="S29" s="110"/>
      <c r="T29" s="110"/>
      <c r="U29" s="110"/>
      <c r="V29" s="110"/>
      <c r="W29" s="110"/>
      <c r="X29" s="110"/>
      <c r="Y29" s="110"/>
      <c r="Z29" s="110"/>
      <c r="AA29" s="110"/>
      <c r="AB29" s="110"/>
      <c r="AC29" s="110"/>
      <c r="AD29" s="110"/>
    </row>
    <row r="30">
      <c r="A30" s="118" t="s">
        <v>2235</v>
      </c>
      <c r="B30" s="112" t="s">
        <v>4353</v>
      </c>
      <c r="C30" s="112" t="s">
        <v>2245</v>
      </c>
      <c r="D30" s="119" t="s">
        <v>4301</v>
      </c>
      <c r="E30" s="114">
        <v>45999.0</v>
      </c>
      <c r="F30" s="113" t="s">
        <v>4305</v>
      </c>
      <c r="G30" s="113" t="s">
        <v>4343</v>
      </c>
      <c r="H30" s="113" t="s">
        <v>4354</v>
      </c>
      <c r="I30" s="114">
        <v>45743.0</v>
      </c>
      <c r="J30" s="124">
        <v>1.0</v>
      </c>
      <c r="K30" s="120" t="str">
        <f>IFERROR(__xludf.DUMMYFUNCTION("""COMPUTED_VALUE"""),"")</f>
        <v/>
      </c>
      <c r="L30" s="114">
        <f>IFERROR(__xludf.DUMMYFUNCTION("""COMPUTED_VALUE"""),45736.0)</f>
        <v>45736</v>
      </c>
      <c r="M30" s="116">
        <v>1.0</v>
      </c>
      <c r="N30" s="110"/>
      <c r="O30" s="110"/>
      <c r="P30" s="110"/>
      <c r="Q30" s="110"/>
      <c r="R30" s="110"/>
      <c r="S30" s="110"/>
      <c r="T30" s="110"/>
      <c r="U30" s="110"/>
      <c r="V30" s="110"/>
      <c r="W30" s="110"/>
      <c r="X30" s="110"/>
      <c r="Y30" s="110"/>
      <c r="Z30" s="110"/>
      <c r="AA30" s="110"/>
      <c r="AB30" s="110"/>
      <c r="AC30" s="110"/>
      <c r="AD30" s="110"/>
    </row>
    <row r="31">
      <c r="A31" s="118" t="s">
        <v>785</v>
      </c>
      <c r="B31" s="112" t="s">
        <v>4355</v>
      </c>
      <c r="C31" s="112" t="s">
        <v>790</v>
      </c>
      <c r="D31" s="119" t="s">
        <v>4301</v>
      </c>
      <c r="E31" s="114">
        <v>45999.0</v>
      </c>
      <c r="F31" s="113" t="s">
        <v>4305</v>
      </c>
      <c r="G31" s="113" t="s">
        <v>4302</v>
      </c>
      <c r="H31" s="113" t="s">
        <v>4356</v>
      </c>
      <c r="I31" s="114">
        <v>45744.0</v>
      </c>
      <c r="J31" s="124"/>
      <c r="K31" s="120" t="str">
        <f>IFERROR(__xludf.DUMMYFUNCTION("""COMPUTED_VALUE"""),"")</f>
        <v/>
      </c>
      <c r="L31" s="114">
        <f>IFERROR(__xludf.DUMMYFUNCTION("""COMPUTED_VALUE"""),45737.0)</f>
        <v>45737</v>
      </c>
      <c r="M31" s="116">
        <v>1.0</v>
      </c>
      <c r="N31" s="110"/>
      <c r="O31" s="110"/>
      <c r="P31" s="110"/>
      <c r="Q31" s="110"/>
      <c r="R31" s="110"/>
      <c r="S31" s="110"/>
      <c r="T31" s="110"/>
      <c r="U31" s="110"/>
      <c r="V31" s="110"/>
      <c r="W31" s="110"/>
      <c r="X31" s="110"/>
      <c r="Y31" s="110"/>
      <c r="Z31" s="110"/>
      <c r="AA31" s="110"/>
      <c r="AB31" s="110"/>
      <c r="AC31" s="110"/>
      <c r="AD31" s="110"/>
    </row>
    <row r="32">
      <c r="A32" s="118" t="s">
        <v>1457</v>
      </c>
      <c r="B32" s="112" t="s">
        <v>4357</v>
      </c>
      <c r="C32" s="112" t="s">
        <v>1463</v>
      </c>
      <c r="D32" s="119" t="s">
        <v>4301</v>
      </c>
      <c r="E32" s="114">
        <v>45736.0</v>
      </c>
      <c r="F32" s="113" t="s">
        <v>327</v>
      </c>
      <c r="G32" s="113" t="s">
        <v>4343</v>
      </c>
      <c r="H32" s="113" t="s">
        <v>4358</v>
      </c>
      <c r="I32" s="114">
        <v>45744.0</v>
      </c>
      <c r="J32" s="124"/>
      <c r="K32" s="120" t="str">
        <f>IFERROR(__xludf.DUMMYFUNCTION("""COMPUTED_VALUE"""),"")</f>
        <v/>
      </c>
      <c r="L32" s="114">
        <f>IFERROR(__xludf.DUMMYFUNCTION("""COMPUTED_VALUE"""),45737.0)</f>
        <v>45737</v>
      </c>
      <c r="M32" s="116">
        <v>5.0</v>
      </c>
      <c r="N32" s="110"/>
      <c r="O32" s="110"/>
      <c r="P32" s="110"/>
      <c r="Q32" s="110"/>
      <c r="R32" s="110"/>
      <c r="S32" s="110"/>
      <c r="T32" s="110"/>
      <c r="U32" s="110"/>
      <c r="V32" s="110"/>
      <c r="W32" s="110"/>
      <c r="X32" s="110"/>
      <c r="Y32" s="110"/>
      <c r="Z32" s="110"/>
      <c r="AA32" s="110"/>
      <c r="AB32" s="110"/>
      <c r="AC32" s="110"/>
      <c r="AD32" s="110"/>
    </row>
    <row r="33">
      <c r="A33" s="118" t="s">
        <v>1803</v>
      </c>
      <c r="B33" s="112" t="s">
        <v>4359</v>
      </c>
      <c r="C33" s="112">
        <v>2.02684142E9</v>
      </c>
      <c r="D33" s="119" t="s">
        <v>4301</v>
      </c>
      <c r="E33" s="114">
        <v>45736.0</v>
      </c>
      <c r="F33" s="113" t="s">
        <v>327</v>
      </c>
      <c r="G33" s="113" t="s">
        <v>4343</v>
      </c>
      <c r="H33" s="113"/>
      <c r="I33" s="114">
        <v>45744.0</v>
      </c>
      <c r="J33" s="124"/>
      <c r="K33" s="120" t="str">
        <f>IFERROR(__xludf.DUMMYFUNCTION("""COMPUTED_VALUE"""),"")</f>
        <v/>
      </c>
      <c r="L33" s="114">
        <f>IFERROR(__xludf.DUMMYFUNCTION("""COMPUTED_VALUE"""),45737.0)</f>
        <v>45737</v>
      </c>
      <c r="M33" s="116">
        <v>1.0</v>
      </c>
      <c r="N33" s="110"/>
      <c r="O33" s="110"/>
      <c r="P33" s="110"/>
      <c r="Q33" s="110"/>
      <c r="R33" s="110"/>
      <c r="S33" s="110"/>
      <c r="T33" s="110"/>
      <c r="U33" s="110"/>
      <c r="V33" s="110"/>
      <c r="W33" s="110"/>
      <c r="X33" s="110"/>
      <c r="Y33" s="110"/>
      <c r="Z33" s="110"/>
      <c r="AA33" s="110"/>
      <c r="AB33" s="110"/>
      <c r="AC33" s="110"/>
      <c r="AD33" s="110"/>
    </row>
    <row r="34">
      <c r="A34" s="118" t="s">
        <v>2281</v>
      </c>
      <c r="B34" s="112" t="s">
        <v>4360</v>
      </c>
      <c r="C34" s="112" t="s">
        <v>2290</v>
      </c>
      <c r="D34" s="119" t="s">
        <v>4301</v>
      </c>
      <c r="E34" s="114">
        <v>45744.0</v>
      </c>
      <c r="F34" s="113" t="s">
        <v>295</v>
      </c>
      <c r="G34" s="113" t="s">
        <v>4343</v>
      </c>
      <c r="H34" s="113"/>
      <c r="I34" s="114">
        <v>45744.0</v>
      </c>
      <c r="J34" s="124"/>
      <c r="K34" s="120" t="str">
        <f>IFERROR(__xludf.DUMMYFUNCTION("""COMPUTED_VALUE"""),"")</f>
        <v/>
      </c>
      <c r="L34" s="114">
        <f>IFERROR(__xludf.DUMMYFUNCTION("""COMPUTED_VALUE"""),45737.0)</f>
        <v>45737</v>
      </c>
      <c r="M34" s="116">
        <v>5.0</v>
      </c>
      <c r="N34" s="110"/>
      <c r="O34" s="110"/>
      <c r="P34" s="110"/>
      <c r="Q34" s="110"/>
      <c r="R34" s="110"/>
      <c r="S34" s="110"/>
      <c r="T34" s="110"/>
      <c r="U34" s="110"/>
      <c r="V34" s="110"/>
      <c r="W34" s="110"/>
      <c r="X34" s="110"/>
      <c r="Y34" s="110"/>
      <c r="Z34" s="110"/>
      <c r="AA34" s="110"/>
      <c r="AB34" s="110"/>
      <c r="AC34" s="110"/>
      <c r="AD34" s="110"/>
    </row>
    <row r="35">
      <c r="A35" s="118" t="s">
        <v>2385</v>
      </c>
      <c r="B35" s="112" t="s">
        <v>4361</v>
      </c>
      <c r="C35" s="112" t="s">
        <v>2393</v>
      </c>
      <c r="D35" s="119" t="s">
        <v>4301</v>
      </c>
      <c r="E35" s="114">
        <v>45736.0</v>
      </c>
      <c r="F35" s="113" t="s">
        <v>327</v>
      </c>
      <c r="G35" s="113" t="s">
        <v>4343</v>
      </c>
      <c r="H35" s="113" t="s">
        <v>4362</v>
      </c>
      <c r="I35" s="114">
        <v>45744.0</v>
      </c>
      <c r="J35" s="124"/>
      <c r="K35" s="120" t="str">
        <f>IFERROR(__xludf.DUMMYFUNCTION("""COMPUTED_VALUE"""),"")</f>
        <v/>
      </c>
      <c r="L35" s="114">
        <f>IFERROR(__xludf.DUMMYFUNCTION("""COMPUTED_VALUE"""),45737.0)</f>
        <v>45737</v>
      </c>
      <c r="M35" s="116">
        <v>5.0</v>
      </c>
      <c r="N35" s="110"/>
      <c r="O35" s="110"/>
      <c r="P35" s="110"/>
      <c r="Q35" s="110"/>
      <c r="R35" s="110"/>
      <c r="S35" s="110"/>
      <c r="T35" s="110"/>
      <c r="U35" s="110"/>
      <c r="V35" s="110"/>
      <c r="W35" s="110"/>
      <c r="X35" s="110"/>
      <c r="Y35" s="110"/>
      <c r="Z35" s="110"/>
      <c r="AA35" s="110"/>
      <c r="AB35" s="110"/>
      <c r="AC35" s="110"/>
      <c r="AD35" s="110"/>
    </row>
    <row r="36">
      <c r="A36" s="118" t="s">
        <v>2113</v>
      </c>
      <c r="B36" s="112" t="s">
        <v>4363</v>
      </c>
      <c r="C36" s="112" t="s">
        <v>2117</v>
      </c>
      <c r="D36" s="119" t="s">
        <v>4301</v>
      </c>
      <c r="E36" s="114">
        <v>45736.0</v>
      </c>
      <c r="F36" s="113" t="s">
        <v>327</v>
      </c>
      <c r="G36" s="113" t="s">
        <v>4343</v>
      </c>
      <c r="H36" s="113"/>
      <c r="I36" s="114">
        <v>45751.0</v>
      </c>
      <c r="J36" s="124"/>
      <c r="K36" s="120" t="str">
        <f>IFERROR(__xludf.DUMMYFUNCTION("""COMPUTED_VALUE"""),"")</f>
        <v/>
      </c>
      <c r="L36" s="114">
        <f>IFERROR(__xludf.DUMMYFUNCTION("""COMPUTED_VALUE"""),45744.0)</f>
        <v>45744</v>
      </c>
      <c r="M36" s="116">
        <v>1.0</v>
      </c>
      <c r="N36" s="110"/>
      <c r="O36" s="110"/>
      <c r="P36" s="110"/>
      <c r="Q36" s="110"/>
      <c r="R36" s="110"/>
      <c r="S36" s="110"/>
      <c r="T36" s="110"/>
      <c r="U36" s="110"/>
      <c r="V36" s="110"/>
      <c r="W36" s="110"/>
      <c r="X36" s="110"/>
      <c r="Y36" s="110"/>
      <c r="Z36" s="110"/>
      <c r="AA36" s="110"/>
      <c r="AB36" s="110"/>
      <c r="AC36" s="110"/>
      <c r="AD36" s="110"/>
    </row>
    <row r="37">
      <c r="A37" s="118" t="s">
        <v>2206</v>
      </c>
      <c r="B37" s="112" t="s">
        <v>4364</v>
      </c>
      <c r="C37" s="112" t="s">
        <v>2215</v>
      </c>
      <c r="D37" s="119" t="s">
        <v>4301</v>
      </c>
      <c r="E37" s="114">
        <v>45673.0</v>
      </c>
      <c r="F37" s="113"/>
      <c r="G37" s="113" t="s">
        <v>4343</v>
      </c>
      <c r="H37" s="113"/>
      <c r="I37" s="114">
        <v>45751.0</v>
      </c>
      <c r="J37" s="124"/>
      <c r="K37" s="120" t="str">
        <f>IFERROR(__xludf.DUMMYFUNCTION("""COMPUTED_VALUE"""),"")</f>
        <v/>
      </c>
      <c r="L37" s="114">
        <f>IFERROR(__xludf.DUMMYFUNCTION("""COMPUTED_VALUE"""),45744.0)</f>
        <v>45744</v>
      </c>
      <c r="M37" s="116">
        <v>1.0</v>
      </c>
      <c r="N37" s="110"/>
      <c r="O37" s="110"/>
      <c r="P37" s="110"/>
      <c r="Q37" s="110"/>
      <c r="R37" s="110"/>
      <c r="S37" s="110"/>
      <c r="T37" s="110"/>
      <c r="U37" s="110"/>
      <c r="V37" s="110"/>
      <c r="W37" s="110"/>
      <c r="X37" s="110"/>
      <c r="Y37" s="110"/>
      <c r="Z37" s="110"/>
      <c r="AA37" s="110"/>
      <c r="AB37" s="110"/>
      <c r="AC37" s="110"/>
      <c r="AD37" s="110"/>
    </row>
    <row r="38">
      <c r="A38" s="118" t="s">
        <v>2219</v>
      </c>
      <c r="B38" s="112" t="s">
        <v>4365</v>
      </c>
      <c r="C38" s="112" t="s">
        <v>2224</v>
      </c>
      <c r="D38" s="119" t="s">
        <v>4301</v>
      </c>
      <c r="E38" s="114">
        <v>45673.0</v>
      </c>
      <c r="F38" s="113" t="s">
        <v>295</v>
      </c>
      <c r="G38" s="113" t="s">
        <v>4343</v>
      </c>
      <c r="H38" s="113"/>
      <c r="I38" s="114">
        <v>45751.0</v>
      </c>
      <c r="J38" s="124"/>
      <c r="K38" s="120" t="str">
        <f>IFERROR(__xludf.DUMMYFUNCTION("""COMPUTED_VALUE"""),"")</f>
        <v/>
      </c>
      <c r="L38" s="114">
        <f>IFERROR(__xludf.DUMMYFUNCTION("""COMPUTED_VALUE"""),45744.0)</f>
        <v>45744</v>
      </c>
      <c r="M38" s="116">
        <v>1.0</v>
      </c>
      <c r="N38" s="110"/>
      <c r="O38" s="110"/>
      <c r="P38" s="110"/>
      <c r="Q38" s="110"/>
      <c r="R38" s="110"/>
      <c r="S38" s="110"/>
      <c r="T38" s="110"/>
      <c r="U38" s="110"/>
      <c r="V38" s="110"/>
      <c r="W38" s="110"/>
      <c r="X38" s="110"/>
      <c r="Y38" s="110"/>
      <c r="Z38" s="110"/>
      <c r="AA38" s="110"/>
      <c r="AB38" s="110"/>
      <c r="AC38" s="110"/>
      <c r="AD38" s="110"/>
    </row>
    <row r="39">
      <c r="A39" s="118" t="s">
        <v>2227</v>
      </c>
      <c r="B39" s="112" t="s">
        <v>4366</v>
      </c>
      <c r="C39" s="112" t="s">
        <v>2232</v>
      </c>
      <c r="D39" s="119" t="s">
        <v>4301</v>
      </c>
      <c r="E39" s="114">
        <v>45684.0</v>
      </c>
      <c r="F39" s="113" t="s">
        <v>295</v>
      </c>
      <c r="G39" s="113" t="s">
        <v>4343</v>
      </c>
      <c r="H39" s="113"/>
      <c r="I39" s="114">
        <v>45751.0</v>
      </c>
      <c r="J39" s="124"/>
      <c r="K39" s="120" t="str">
        <f>IFERROR(__xludf.DUMMYFUNCTION("""COMPUTED_VALUE"""),"")</f>
        <v/>
      </c>
      <c r="L39" s="114">
        <f>IFERROR(__xludf.DUMMYFUNCTION("""COMPUTED_VALUE"""),45744.0)</f>
        <v>45744</v>
      </c>
      <c r="M39" s="116">
        <v>1.0</v>
      </c>
      <c r="N39" s="110"/>
      <c r="O39" s="110"/>
      <c r="P39" s="110"/>
      <c r="Q39" s="110"/>
      <c r="R39" s="110"/>
      <c r="S39" s="110"/>
      <c r="T39" s="110"/>
      <c r="U39" s="110"/>
      <c r="V39" s="110"/>
      <c r="W39" s="110"/>
      <c r="X39" s="110"/>
      <c r="Y39" s="110"/>
      <c r="Z39" s="110"/>
      <c r="AA39" s="110"/>
      <c r="AB39" s="110"/>
      <c r="AC39" s="110"/>
      <c r="AD39" s="110"/>
    </row>
    <row r="40">
      <c r="A40" s="118" t="s">
        <v>2351</v>
      </c>
      <c r="B40" s="112" t="s">
        <v>4367</v>
      </c>
      <c r="C40" s="112" t="s">
        <v>2360</v>
      </c>
      <c r="D40" s="119" t="s">
        <v>4301</v>
      </c>
      <c r="E40" s="114">
        <v>45684.0</v>
      </c>
      <c r="F40" s="113" t="s">
        <v>295</v>
      </c>
      <c r="G40" s="113" t="s">
        <v>4343</v>
      </c>
      <c r="H40" s="113"/>
      <c r="I40" s="114">
        <v>45751.0</v>
      </c>
      <c r="J40" s="124"/>
      <c r="K40" s="120" t="str">
        <f>IFERROR(__xludf.DUMMYFUNCTION("""COMPUTED_VALUE"""),"")</f>
        <v/>
      </c>
      <c r="L40" s="114">
        <f>IFERROR(__xludf.DUMMYFUNCTION("""COMPUTED_VALUE"""),45744.0)</f>
        <v>45744</v>
      </c>
      <c r="M40" s="116">
        <v>1.0</v>
      </c>
      <c r="N40" s="110"/>
      <c r="O40" s="110"/>
      <c r="P40" s="110"/>
      <c r="Q40" s="110"/>
      <c r="R40" s="110"/>
      <c r="S40" s="110"/>
      <c r="T40" s="110"/>
      <c r="U40" s="110"/>
      <c r="V40" s="110"/>
      <c r="W40" s="110"/>
      <c r="X40" s="110"/>
      <c r="Y40" s="110"/>
      <c r="Z40" s="110"/>
      <c r="AA40" s="110"/>
      <c r="AB40" s="110"/>
      <c r="AC40" s="110"/>
      <c r="AD40" s="110"/>
    </row>
    <row r="41">
      <c r="A41" s="118" t="s">
        <v>2397</v>
      </c>
      <c r="B41" s="112" t="s">
        <v>4368</v>
      </c>
      <c r="C41" s="112" t="s">
        <v>2404</v>
      </c>
      <c r="D41" s="119" t="s">
        <v>4301</v>
      </c>
      <c r="E41" s="128">
        <v>45699.0</v>
      </c>
      <c r="F41" s="113" t="s">
        <v>643</v>
      </c>
      <c r="G41" s="113" t="s">
        <v>4343</v>
      </c>
      <c r="H41" s="113"/>
      <c r="I41" s="114">
        <v>45757.0</v>
      </c>
      <c r="J41" s="124"/>
      <c r="K41" s="120" t="str">
        <f>IFERROR(__xludf.DUMMYFUNCTION("""COMPUTED_VALUE"""),"")</f>
        <v/>
      </c>
      <c r="L41" s="114">
        <f>IFERROR(__xludf.DUMMYFUNCTION("""COMPUTED_VALUE"""),45750.0)</f>
        <v>45750</v>
      </c>
      <c r="M41" s="116">
        <v>5.0</v>
      </c>
      <c r="N41" s="110"/>
      <c r="O41" s="110"/>
      <c r="P41" s="110"/>
      <c r="Q41" s="110"/>
      <c r="R41" s="110"/>
      <c r="S41" s="110"/>
      <c r="T41" s="110"/>
      <c r="U41" s="110"/>
      <c r="V41" s="110"/>
      <c r="W41" s="110"/>
      <c r="X41" s="110"/>
      <c r="Y41" s="110"/>
      <c r="Z41" s="110"/>
      <c r="AA41" s="110"/>
      <c r="AB41" s="110"/>
      <c r="AC41" s="110"/>
      <c r="AD41" s="110"/>
    </row>
    <row r="42">
      <c r="A42" s="118" t="s">
        <v>2834</v>
      </c>
      <c r="B42" s="112" t="s">
        <v>4369</v>
      </c>
      <c r="C42" s="112" t="s">
        <v>2842</v>
      </c>
      <c r="D42" s="119" t="s">
        <v>4301</v>
      </c>
      <c r="E42" s="128">
        <v>45972.0</v>
      </c>
      <c r="F42" s="113" t="s">
        <v>4305</v>
      </c>
      <c r="G42" s="113" t="s">
        <v>4343</v>
      </c>
      <c r="H42" s="113" t="s">
        <v>4370</v>
      </c>
      <c r="I42" s="114">
        <v>45758.0</v>
      </c>
      <c r="J42" s="124">
        <v>1.0</v>
      </c>
      <c r="K42" s="120" t="str">
        <f>IFERROR(__xludf.DUMMYFUNCTION("""COMPUTED_VALUE"""),"")</f>
        <v/>
      </c>
      <c r="L42" s="114">
        <f>IFERROR(__xludf.DUMMYFUNCTION("""COMPUTED_VALUE"""),45751.0)</f>
        <v>45751</v>
      </c>
      <c r="M42" s="116">
        <v>5.0</v>
      </c>
      <c r="N42" s="110"/>
      <c r="O42" s="110"/>
      <c r="P42" s="110"/>
      <c r="Q42" s="110"/>
      <c r="R42" s="110"/>
      <c r="S42" s="110"/>
      <c r="T42" s="110"/>
      <c r="U42" s="110"/>
      <c r="V42" s="110"/>
      <c r="W42" s="110"/>
      <c r="X42" s="110"/>
      <c r="Y42" s="110"/>
      <c r="Z42" s="110"/>
      <c r="AA42" s="110"/>
      <c r="AB42" s="110"/>
      <c r="AC42" s="110"/>
      <c r="AD42" s="110"/>
    </row>
    <row r="43">
      <c r="A43" s="118" t="s">
        <v>2342</v>
      </c>
      <c r="B43" s="112" t="s">
        <v>4371</v>
      </c>
      <c r="C43" s="112" t="s">
        <v>2348</v>
      </c>
      <c r="D43" s="119" t="s">
        <v>4301</v>
      </c>
      <c r="E43" s="128">
        <v>45681.0</v>
      </c>
      <c r="F43" s="113" t="s">
        <v>295</v>
      </c>
      <c r="G43" s="113" t="s">
        <v>4343</v>
      </c>
      <c r="H43" s="113"/>
      <c r="I43" s="114">
        <v>45758.0</v>
      </c>
      <c r="J43" s="124"/>
      <c r="K43" s="120" t="str">
        <f>IFERROR(__xludf.DUMMYFUNCTION("""COMPUTED_VALUE"""),"")</f>
        <v/>
      </c>
      <c r="L43" s="114">
        <f>IFERROR(__xludf.DUMMYFUNCTION("""COMPUTED_VALUE"""),45751.0)</f>
        <v>45751</v>
      </c>
      <c r="M43" s="116">
        <v>5.0</v>
      </c>
      <c r="N43" s="110"/>
      <c r="O43" s="110"/>
      <c r="P43" s="110"/>
      <c r="Q43" s="110"/>
      <c r="R43" s="110"/>
      <c r="S43" s="110"/>
      <c r="T43" s="110"/>
      <c r="U43" s="110"/>
      <c r="V43" s="110"/>
      <c r="W43" s="110"/>
      <c r="X43" s="110"/>
      <c r="Y43" s="110"/>
      <c r="Z43" s="110"/>
      <c r="AA43" s="110"/>
      <c r="AB43" s="110"/>
      <c r="AC43" s="110"/>
      <c r="AD43" s="110"/>
    </row>
    <row r="44">
      <c r="A44" s="118" t="s">
        <v>2464</v>
      </c>
      <c r="B44" s="112" t="s">
        <v>4372</v>
      </c>
      <c r="C44" s="112" t="s">
        <v>2472</v>
      </c>
      <c r="D44" s="119" t="s">
        <v>4301</v>
      </c>
      <c r="E44" s="128">
        <v>45699.0</v>
      </c>
      <c r="F44" s="113" t="s">
        <v>327</v>
      </c>
      <c r="G44" s="113" t="s">
        <v>4343</v>
      </c>
      <c r="H44" s="113"/>
      <c r="I44" s="114">
        <v>45758.0</v>
      </c>
      <c r="J44" s="124"/>
      <c r="K44" s="120" t="str">
        <f>IFERROR(__xludf.DUMMYFUNCTION("""COMPUTED_VALUE"""),"")</f>
        <v/>
      </c>
      <c r="L44" s="114">
        <f>IFERROR(__xludf.DUMMYFUNCTION("""COMPUTED_VALUE"""),45751.0)</f>
        <v>45751</v>
      </c>
      <c r="M44" s="116">
        <v>5.0</v>
      </c>
      <c r="N44" s="110"/>
      <c r="O44" s="110"/>
      <c r="P44" s="110"/>
      <c r="Q44" s="110"/>
      <c r="R44" s="110"/>
      <c r="S44" s="110"/>
      <c r="T44" s="110"/>
      <c r="U44" s="110"/>
      <c r="V44" s="110"/>
      <c r="W44" s="110"/>
      <c r="X44" s="110"/>
      <c r="Y44" s="110"/>
      <c r="Z44" s="110"/>
      <c r="AA44" s="110"/>
      <c r="AB44" s="110"/>
      <c r="AC44" s="110"/>
      <c r="AD44" s="110"/>
    </row>
    <row r="45">
      <c r="A45" s="118" t="s">
        <v>2558</v>
      </c>
      <c r="B45" s="112" t="s">
        <v>4373</v>
      </c>
      <c r="C45" s="112" t="s">
        <v>2565</v>
      </c>
      <c r="D45" s="119" t="s">
        <v>4301</v>
      </c>
      <c r="E45" s="128">
        <v>45705.0</v>
      </c>
      <c r="F45" s="113" t="s">
        <v>643</v>
      </c>
      <c r="G45" s="113" t="s">
        <v>4343</v>
      </c>
      <c r="H45" s="113"/>
      <c r="I45" s="114">
        <v>45764.0</v>
      </c>
      <c r="J45" s="124"/>
      <c r="K45" s="120" t="str">
        <f>IFERROR(__xludf.DUMMYFUNCTION("""COMPUTED_VALUE"""),"")</f>
        <v/>
      </c>
      <c r="L45" s="114">
        <f>IFERROR(__xludf.DUMMYFUNCTION("""COMPUTED_VALUE"""),45757.0)</f>
        <v>45757</v>
      </c>
      <c r="M45" s="116">
        <v>5.0</v>
      </c>
      <c r="N45" s="110"/>
      <c r="O45" s="110"/>
      <c r="P45" s="110"/>
      <c r="Q45" s="110"/>
      <c r="R45" s="110"/>
      <c r="S45" s="110"/>
      <c r="T45" s="110"/>
      <c r="U45" s="110"/>
      <c r="V45" s="110"/>
      <c r="W45" s="110"/>
      <c r="X45" s="110"/>
      <c r="Y45" s="110"/>
      <c r="Z45" s="110"/>
      <c r="AA45" s="110"/>
      <c r="AB45" s="110"/>
      <c r="AC45" s="110"/>
      <c r="AD45" s="110"/>
    </row>
    <row r="46">
      <c r="A46" s="117" t="s">
        <v>2444</v>
      </c>
      <c r="B46" s="112" t="s">
        <v>4374</v>
      </c>
      <c r="C46" s="112" t="s">
        <v>2450</v>
      </c>
      <c r="D46" s="119" t="s">
        <v>4301</v>
      </c>
      <c r="E46" s="128">
        <v>45699.0</v>
      </c>
      <c r="F46" s="113" t="s">
        <v>643</v>
      </c>
      <c r="G46" s="113" t="s">
        <v>4343</v>
      </c>
      <c r="H46" s="113"/>
      <c r="I46" s="114">
        <v>45765.0</v>
      </c>
      <c r="J46" s="124"/>
      <c r="K46" s="120" t="str">
        <f>IFERROR(__xludf.DUMMYFUNCTION("""COMPUTED_VALUE"""),"")</f>
        <v/>
      </c>
      <c r="L46" s="114">
        <f>IFERROR(__xludf.DUMMYFUNCTION("""COMPUTED_VALUE"""),45758.0)</f>
        <v>45758</v>
      </c>
      <c r="M46" s="116">
        <v>1.0</v>
      </c>
      <c r="N46" s="110"/>
      <c r="O46" s="110"/>
      <c r="P46" s="110"/>
      <c r="Q46" s="110"/>
      <c r="R46" s="110"/>
      <c r="S46" s="110"/>
      <c r="T46" s="110"/>
      <c r="U46" s="110"/>
      <c r="V46" s="110"/>
      <c r="W46" s="110"/>
      <c r="X46" s="110"/>
      <c r="Y46" s="110"/>
      <c r="Z46" s="110"/>
      <c r="AA46" s="110"/>
      <c r="AB46" s="110"/>
      <c r="AC46" s="110"/>
      <c r="AD46" s="110"/>
    </row>
    <row r="47">
      <c r="A47" s="118" t="s">
        <v>2505</v>
      </c>
      <c r="B47" s="112" t="s">
        <v>4375</v>
      </c>
      <c r="C47" s="112" t="s">
        <v>2513</v>
      </c>
      <c r="D47" s="119" t="s">
        <v>4301</v>
      </c>
      <c r="E47" s="128">
        <v>45699.0</v>
      </c>
      <c r="F47" s="113" t="s">
        <v>643</v>
      </c>
      <c r="G47" s="113" t="s">
        <v>4343</v>
      </c>
      <c r="H47" s="113"/>
      <c r="I47" s="114">
        <v>45765.0</v>
      </c>
      <c r="J47" s="124"/>
      <c r="K47" s="120" t="str">
        <f>IFERROR(__xludf.DUMMYFUNCTION("""COMPUTED_VALUE"""),"")</f>
        <v/>
      </c>
      <c r="L47" s="114">
        <f>IFERROR(__xludf.DUMMYFUNCTION("""COMPUTED_VALUE"""),45758.0)</f>
        <v>45758</v>
      </c>
      <c r="M47" s="116">
        <v>5.0</v>
      </c>
      <c r="N47" s="110"/>
      <c r="O47" s="110"/>
      <c r="P47" s="110"/>
      <c r="Q47" s="110"/>
      <c r="R47" s="110"/>
      <c r="S47" s="110"/>
      <c r="T47" s="110"/>
      <c r="U47" s="110"/>
      <c r="V47" s="110"/>
      <c r="W47" s="110"/>
      <c r="X47" s="110"/>
      <c r="Y47" s="110"/>
      <c r="Z47" s="110"/>
      <c r="AA47" s="110"/>
      <c r="AB47" s="110"/>
      <c r="AC47" s="110"/>
      <c r="AD47" s="110"/>
    </row>
    <row r="48">
      <c r="A48" s="117" t="s">
        <v>2546</v>
      </c>
      <c r="B48" s="112" t="s">
        <v>4376</v>
      </c>
      <c r="C48" s="112" t="s">
        <v>2555</v>
      </c>
      <c r="D48" s="119" t="s">
        <v>4301</v>
      </c>
      <c r="E48" s="128">
        <v>45736.0</v>
      </c>
      <c r="F48" s="113" t="s">
        <v>327</v>
      </c>
      <c r="G48" s="113" t="s">
        <v>4343</v>
      </c>
      <c r="H48" s="113"/>
      <c r="I48" s="114">
        <v>45765.0</v>
      </c>
      <c r="J48" s="124"/>
      <c r="K48" s="120" t="str">
        <f>IFERROR(__xludf.DUMMYFUNCTION("""COMPUTED_VALUE"""),"")</f>
        <v/>
      </c>
      <c r="L48" s="114">
        <f>IFERROR(__xludf.DUMMYFUNCTION("""COMPUTED_VALUE"""),45758.0)</f>
        <v>45758</v>
      </c>
      <c r="M48" s="129">
        <v>5.0</v>
      </c>
      <c r="N48" s="110"/>
      <c r="O48" s="110"/>
      <c r="P48" s="110"/>
      <c r="Q48" s="110"/>
      <c r="R48" s="110"/>
      <c r="S48" s="110"/>
      <c r="T48" s="110"/>
      <c r="U48" s="110"/>
      <c r="V48" s="110"/>
      <c r="W48" s="110"/>
      <c r="X48" s="110"/>
      <c r="Y48" s="110"/>
      <c r="Z48" s="110"/>
      <c r="AA48" s="110"/>
      <c r="AB48" s="110"/>
      <c r="AC48" s="110"/>
      <c r="AD48" s="110"/>
    </row>
    <row r="49">
      <c r="A49" s="118" t="s">
        <v>2569</v>
      </c>
      <c r="B49" s="112" t="s">
        <v>4377</v>
      </c>
      <c r="C49" s="112" t="s">
        <v>2579</v>
      </c>
      <c r="D49" s="119" t="s">
        <v>4301</v>
      </c>
      <c r="E49" s="128">
        <v>45985.0</v>
      </c>
      <c r="F49" s="113" t="s">
        <v>31</v>
      </c>
      <c r="G49" s="113" t="s">
        <v>4343</v>
      </c>
      <c r="H49" s="113"/>
      <c r="I49" s="114">
        <v>45765.0</v>
      </c>
      <c r="J49" s="124"/>
      <c r="K49" s="120" t="str">
        <f>IFERROR(__xludf.DUMMYFUNCTION("""COMPUTED_VALUE"""),"")</f>
        <v/>
      </c>
      <c r="L49" s="114">
        <f>IFERROR(__xludf.DUMMYFUNCTION("""COMPUTED_VALUE"""),45758.0)</f>
        <v>45758</v>
      </c>
      <c r="M49" s="116">
        <v>5.0</v>
      </c>
      <c r="N49" s="110"/>
      <c r="O49" s="110"/>
      <c r="P49" s="110"/>
      <c r="Q49" s="110"/>
      <c r="R49" s="110"/>
      <c r="S49" s="110"/>
      <c r="T49" s="110"/>
      <c r="U49" s="110"/>
      <c r="V49" s="110"/>
      <c r="W49" s="110"/>
      <c r="X49" s="110"/>
      <c r="Y49" s="110"/>
      <c r="Z49" s="110"/>
      <c r="AA49" s="110"/>
      <c r="AB49" s="110"/>
      <c r="AC49" s="110"/>
      <c r="AD49" s="110"/>
    </row>
    <row r="50">
      <c r="A50" s="118" t="s">
        <v>2597</v>
      </c>
      <c r="B50" s="112" t="s">
        <v>4378</v>
      </c>
      <c r="C50" s="112" t="s">
        <v>2604</v>
      </c>
      <c r="D50" s="119" t="s">
        <v>4301</v>
      </c>
      <c r="E50" s="128">
        <v>45705.0</v>
      </c>
      <c r="F50" s="113" t="s">
        <v>643</v>
      </c>
      <c r="G50" s="113" t="s">
        <v>4343</v>
      </c>
      <c r="H50" s="113"/>
      <c r="I50" s="114">
        <v>45765.0</v>
      </c>
      <c r="J50" s="124"/>
      <c r="K50" s="120" t="str">
        <f>IFERROR(__xludf.DUMMYFUNCTION("""COMPUTED_VALUE"""),"")</f>
        <v/>
      </c>
      <c r="L50" s="114">
        <f>IFERROR(__xludf.DUMMYFUNCTION("""COMPUTED_VALUE"""),45758.0)</f>
        <v>45758</v>
      </c>
      <c r="M50" s="116">
        <v>5.0</v>
      </c>
      <c r="N50" s="110"/>
      <c r="O50" s="110"/>
      <c r="P50" s="110"/>
      <c r="Q50" s="110"/>
      <c r="R50" s="110"/>
      <c r="S50" s="110"/>
      <c r="T50" s="110"/>
      <c r="U50" s="110"/>
      <c r="V50" s="110"/>
      <c r="W50" s="110"/>
      <c r="X50" s="110"/>
      <c r="Y50" s="110"/>
      <c r="Z50" s="110"/>
      <c r="AA50" s="110"/>
      <c r="AB50" s="110"/>
      <c r="AC50" s="110"/>
      <c r="AD50" s="110"/>
    </row>
    <row r="51">
      <c r="A51" s="118" t="s">
        <v>2644</v>
      </c>
      <c r="B51" s="112" t="s">
        <v>4379</v>
      </c>
      <c r="C51" s="112" t="s">
        <v>2649</v>
      </c>
      <c r="D51" s="119" t="s">
        <v>4301</v>
      </c>
      <c r="E51" s="128">
        <v>45713.0</v>
      </c>
      <c r="F51" s="113" t="s">
        <v>643</v>
      </c>
      <c r="G51" s="113" t="s">
        <v>4343</v>
      </c>
      <c r="H51" s="113"/>
      <c r="I51" s="114">
        <v>45765.0</v>
      </c>
      <c r="J51" s="124"/>
      <c r="K51" s="120" t="str">
        <f>IFERROR(__xludf.DUMMYFUNCTION("""COMPUTED_VALUE"""),"")</f>
        <v/>
      </c>
      <c r="L51" s="114">
        <f>IFERROR(__xludf.DUMMYFUNCTION("""COMPUTED_VALUE"""),45758.0)</f>
        <v>45758</v>
      </c>
      <c r="M51" s="116">
        <v>1.0</v>
      </c>
      <c r="N51" s="110"/>
      <c r="O51" s="110"/>
      <c r="P51" s="110"/>
      <c r="Q51" s="110"/>
      <c r="R51" s="110"/>
      <c r="S51" s="110"/>
      <c r="T51" s="110"/>
      <c r="U51" s="110"/>
      <c r="V51" s="110"/>
      <c r="W51" s="110"/>
      <c r="X51" s="110"/>
      <c r="Y51" s="110"/>
      <c r="Z51" s="110"/>
      <c r="AA51" s="110"/>
      <c r="AB51" s="110"/>
      <c r="AC51" s="110"/>
      <c r="AD51" s="110"/>
    </row>
    <row r="52">
      <c r="A52" s="118" t="s">
        <v>627</v>
      </c>
      <c r="B52" s="112" t="s">
        <v>4380</v>
      </c>
      <c r="C52" s="112">
        <v>2.029098392E9</v>
      </c>
      <c r="D52" s="119" t="s">
        <v>4301</v>
      </c>
      <c r="E52" s="128">
        <v>45947.0</v>
      </c>
      <c r="F52" s="113" t="s">
        <v>282</v>
      </c>
      <c r="G52" s="113" t="s">
        <v>4343</v>
      </c>
      <c r="H52" s="113" t="s">
        <v>4381</v>
      </c>
      <c r="I52" s="114">
        <v>45767.0</v>
      </c>
      <c r="J52" s="124" t="s">
        <v>4382</v>
      </c>
      <c r="K52" s="120" t="str">
        <f>IFERROR(__xludf.DUMMYFUNCTION("""COMPUTED_VALUE"""),"")</f>
        <v/>
      </c>
      <c r="L52" s="114">
        <f>IFERROR(__xludf.DUMMYFUNCTION("""COMPUTED_VALUE"""),45760.0)</f>
        <v>45760</v>
      </c>
      <c r="M52" s="116">
        <v>1.0</v>
      </c>
      <c r="N52" s="110"/>
      <c r="O52" s="110"/>
      <c r="P52" s="110"/>
      <c r="Q52" s="110"/>
      <c r="R52" s="110"/>
      <c r="S52" s="110"/>
      <c r="T52" s="110"/>
      <c r="U52" s="110"/>
      <c r="V52" s="110"/>
      <c r="W52" s="110"/>
      <c r="X52" s="110"/>
      <c r="Y52" s="110"/>
      <c r="Z52" s="110"/>
      <c r="AA52" s="110"/>
      <c r="AB52" s="110"/>
      <c r="AC52" s="110"/>
      <c r="AD52" s="110"/>
    </row>
    <row r="53">
      <c r="A53" s="118" t="s">
        <v>1742</v>
      </c>
      <c r="B53" s="112" t="s">
        <v>4383</v>
      </c>
      <c r="C53" s="112" t="s">
        <v>1749</v>
      </c>
      <c r="D53" s="119" t="s">
        <v>4301</v>
      </c>
      <c r="E53" s="128"/>
      <c r="F53" s="113" t="s">
        <v>31</v>
      </c>
      <c r="G53" s="113" t="s">
        <v>4343</v>
      </c>
      <c r="H53" s="113"/>
      <c r="I53" s="114">
        <v>45786.0</v>
      </c>
      <c r="J53" s="124"/>
      <c r="K53" s="120" t="str">
        <f>IFERROR(__xludf.DUMMYFUNCTION("""COMPUTED_VALUE"""),"")</f>
        <v/>
      </c>
      <c r="L53" s="114">
        <f>IFERROR(__xludf.DUMMYFUNCTION("""COMPUTED_VALUE"""),45779.0)</f>
        <v>45779</v>
      </c>
      <c r="M53" s="116">
        <v>5.0</v>
      </c>
      <c r="N53" s="110"/>
      <c r="O53" s="110"/>
      <c r="P53" s="110"/>
      <c r="Q53" s="110"/>
      <c r="R53" s="110"/>
      <c r="S53" s="110"/>
      <c r="T53" s="110"/>
      <c r="U53" s="110"/>
      <c r="V53" s="110"/>
      <c r="W53" s="110"/>
      <c r="X53" s="110"/>
      <c r="Y53" s="110"/>
      <c r="Z53" s="110"/>
      <c r="AA53" s="110"/>
      <c r="AB53" s="110"/>
      <c r="AC53" s="110"/>
      <c r="AD53" s="110"/>
    </row>
    <row r="54">
      <c r="A54" s="118" t="s">
        <v>1256</v>
      </c>
      <c r="B54" s="112" t="s">
        <v>4384</v>
      </c>
      <c r="C54" s="112">
        <v>2.029385463E9</v>
      </c>
      <c r="D54" s="119" t="s">
        <v>4301</v>
      </c>
      <c r="E54" s="128">
        <v>45771.0</v>
      </c>
      <c r="F54" s="113" t="s">
        <v>31</v>
      </c>
      <c r="G54" s="113" t="s">
        <v>4343</v>
      </c>
      <c r="H54" s="113"/>
      <c r="I54" s="114">
        <v>45800.0</v>
      </c>
      <c r="J54" s="124"/>
      <c r="K54" s="120" t="str">
        <f>IFERROR(__xludf.DUMMYFUNCTION("""COMPUTED_VALUE"""),"")</f>
        <v/>
      </c>
      <c r="L54" s="114">
        <f>IFERROR(__xludf.DUMMYFUNCTION("""COMPUTED_VALUE"""),45793.0)</f>
        <v>45793</v>
      </c>
      <c r="M54" s="116">
        <v>1.0</v>
      </c>
      <c r="N54" s="110"/>
      <c r="O54" s="110"/>
      <c r="P54" s="110"/>
      <c r="Q54" s="110"/>
      <c r="R54" s="110"/>
      <c r="S54" s="110"/>
      <c r="T54" s="110"/>
      <c r="U54" s="110"/>
      <c r="V54" s="110"/>
      <c r="W54" s="110"/>
      <c r="X54" s="110"/>
      <c r="Y54" s="110"/>
      <c r="Z54" s="110"/>
      <c r="AA54" s="110"/>
      <c r="AB54" s="110"/>
      <c r="AC54" s="110"/>
      <c r="AD54" s="110"/>
    </row>
    <row r="55">
      <c r="A55" s="118" t="s">
        <v>1314</v>
      </c>
      <c r="B55" s="112" t="s">
        <v>4385</v>
      </c>
      <c r="C55" s="112">
        <v>2.027496229E9</v>
      </c>
      <c r="D55" s="119" t="s">
        <v>4301</v>
      </c>
      <c r="E55" s="128">
        <v>45771.0</v>
      </c>
      <c r="F55" s="113" t="s">
        <v>31</v>
      </c>
      <c r="G55" s="113" t="s">
        <v>4343</v>
      </c>
      <c r="H55" s="113"/>
      <c r="I55" s="114">
        <v>45800.0</v>
      </c>
      <c r="J55" s="124"/>
      <c r="K55" s="120" t="str">
        <f>IFERROR(__xludf.DUMMYFUNCTION("""COMPUTED_VALUE"""),"")</f>
        <v/>
      </c>
      <c r="L55" s="114">
        <f>IFERROR(__xludf.DUMMYFUNCTION("""COMPUTED_VALUE"""),45793.0)</f>
        <v>45793</v>
      </c>
      <c r="M55" s="116">
        <v>5.0</v>
      </c>
      <c r="N55" s="110"/>
      <c r="O55" s="110"/>
      <c r="P55" s="110"/>
      <c r="Q55" s="110"/>
      <c r="R55" s="110"/>
      <c r="S55" s="110"/>
      <c r="T55" s="110"/>
      <c r="U55" s="110"/>
      <c r="V55" s="110"/>
      <c r="W55" s="110"/>
      <c r="X55" s="110"/>
      <c r="Y55" s="110"/>
      <c r="Z55" s="110"/>
      <c r="AA55" s="110"/>
      <c r="AB55" s="110"/>
      <c r="AC55" s="110"/>
      <c r="AD55" s="110"/>
    </row>
    <row r="56">
      <c r="A56" s="118" t="s">
        <v>2765</v>
      </c>
      <c r="B56" s="112" t="s">
        <v>4386</v>
      </c>
      <c r="C56" s="112" t="s">
        <v>2770</v>
      </c>
      <c r="D56" s="119" t="s">
        <v>4301</v>
      </c>
      <c r="E56" s="128">
        <v>45771.0</v>
      </c>
      <c r="F56" s="113" t="s">
        <v>31</v>
      </c>
      <c r="G56" s="113" t="s">
        <v>4343</v>
      </c>
      <c r="H56" s="113"/>
      <c r="I56" s="114">
        <v>45800.0</v>
      </c>
      <c r="J56" s="124"/>
      <c r="K56" s="120" t="str">
        <f>IFERROR(__xludf.DUMMYFUNCTION("""COMPUTED_VALUE"""),"")</f>
        <v/>
      </c>
      <c r="L56" s="114">
        <f>IFERROR(__xludf.DUMMYFUNCTION("""COMPUTED_VALUE"""),45793.0)</f>
        <v>45793</v>
      </c>
      <c r="M56" s="116">
        <v>5.0</v>
      </c>
      <c r="N56" s="110"/>
      <c r="O56" s="110"/>
      <c r="P56" s="110"/>
      <c r="Q56" s="110"/>
      <c r="R56" s="110"/>
      <c r="S56" s="110"/>
      <c r="T56" s="110"/>
      <c r="U56" s="110"/>
      <c r="V56" s="110"/>
      <c r="W56" s="110"/>
      <c r="X56" s="110"/>
      <c r="Y56" s="110"/>
      <c r="Z56" s="110"/>
      <c r="AA56" s="110"/>
      <c r="AB56" s="110"/>
      <c r="AC56" s="110"/>
      <c r="AD56" s="110"/>
    </row>
    <row r="57">
      <c r="A57" s="111" t="s">
        <v>1763</v>
      </c>
      <c r="B57" s="112" t="s">
        <v>4387</v>
      </c>
      <c r="C57" s="112" t="s">
        <v>1769</v>
      </c>
      <c r="D57" s="119" t="s">
        <v>4301</v>
      </c>
      <c r="E57" s="128">
        <v>45771.0</v>
      </c>
      <c r="F57" s="113" t="s">
        <v>31</v>
      </c>
      <c r="G57" s="113" t="s">
        <v>4343</v>
      </c>
      <c r="H57" s="113"/>
      <c r="I57" s="130">
        <v>45802.0</v>
      </c>
      <c r="J57" s="124"/>
      <c r="K57" s="120" t="str">
        <f>IFERROR(__xludf.DUMMYFUNCTION("""COMPUTED_VALUE"""),"")</f>
        <v/>
      </c>
      <c r="L57" s="114">
        <f>IFERROR(__xludf.DUMMYFUNCTION("""COMPUTED_VALUE"""),45795.0)</f>
        <v>45795</v>
      </c>
      <c r="M57" s="116">
        <v>5.0</v>
      </c>
      <c r="N57" s="110"/>
      <c r="O57" s="110"/>
      <c r="P57" s="110"/>
      <c r="Q57" s="110"/>
      <c r="R57" s="110"/>
      <c r="S57" s="110"/>
      <c r="T57" s="110"/>
      <c r="U57" s="110"/>
      <c r="V57" s="110"/>
      <c r="W57" s="110"/>
      <c r="X57" s="110"/>
      <c r="Y57" s="110"/>
      <c r="Z57" s="110"/>
      <c r="AA57" s="110"/>
      <c r="AB57" s="110"/>
      <c r="AC57" s="110"/>
      <c r="AD57" s="110"/>
    </row>
    <row r="58">
      <c r="A58" s="118" t="s">
        <v>2712</v>
      </c>
      <c r="B58" s="112" t="s">
        <v>4388</v>
      </c>
      <c r="C58" s="112" t="s">
        <v>2718</v>
      </c>
      <c r="D58" s="119" t="s">
        <v>4301</v>
      </c>
      <c r="E58" s="128">
        <v>45771.0</v>
      </c>
      <c r="F58" s="113" t="s">
        <v>31</v>
      </c>
      <c r="G58" s="113" t="s">
        <v>4343</v>
      </c>
      <c r="H58" s="113"/>
      <c r="I58" s="130">
        <v>45814.0</v>
      </c>
      <c r="J58" s="124"/>
      <c r="K58" s="120" t="str">
        <f>IFERROR(__xludf.DUMMYFUNCTION("""COMPUTED_VALUE"""),"")</f>
        <v/>
      </c>
      <c r="L58" s="114">
        <f>IFERROR(__xludf.DUMMYFUNCTION("""COMPUTED_VALUE"""),45807.0)</f>
        <v>45807</v>
      </c>
      <c r="M58" s="116">
        <v>1.0</v>
      </c>
      <c r="N58" s="110"/>
      <c r="O58" s="110"/>
      <c r="P58" s="110"/>
      <c r="Q58" s="110"/>
      <c r="R58" s="110"/>
      <c r="S58" s="110"/>
      <c r="T58" s="110"/>
      <c r="U58" s="110"/>
      <c r="V58" s="110"/>
      <c r="W58" s="110"/>
      <c r="X58" s="110"/>
      <c r="Y58" s="110"/>
      <c r="Z58" s="110"/>
      <c r="AA58" s="110"/>
      <c r="AB58" s="110"/>
      <c r="AC58" s="110"/>
      <c r="AD58" s="110"/>
    </row>
    <row r="59">
      <c r="A59" s="118" t="s">
        <v>1262</v>
      </c>
      <c r="B59" s="112" t="s">
        <v>4389</v>
      </c>
      <c r="C59" s="112">
        <v>2.029400726E9</v>
      </c>
      <c r="D59" s="119" t="s">
        <v>4301</v>
      </c>
      <c r="E59" s="128">
        <v>45799.0</v>
      </c>
      <c r="F59" s="113" t="s">
        <v>31</v>
      </c>
      <c r="G59" s="113" t="s">
        <v>4343</v>
      </c>
      <c r="H59" s="113"/>
      <c r="I59" s="114">
        <v>45828.0</v>
      </c>
      <c r="J59" s="124"/>
      <c r="K59" s="120" t="str">
        <f>IFERROR(__xludf.DUMMYFUNCTION("""COMPUTED_VALUE"""),"")</f>
        <v/>
      </c>
      <c r="L59" s="114">
        <f>IFERROR(__xludf.DUMMYFUNCTION("""COMPUTED_VALUE"""),45821.0)</f>
        <v>45821</v>
      </c>
      <c r="M59" s="116">
        <v>1.0</v>
      </c>
      <c r="N59" s="110"/>
      <c r="O59" s="110"/>
      <c r="P59" s="110"/>
      <c r="Q59" s="110"/>
      <c r="R59" s="110"/>
      <c r="S59" s="110"/>
      <c r="T59" s="110"/>
      <c r="U59" s="110"/>
      <c r="V59" s="110"/>
      <c r="W59" s="110"/>
      <c r="X59" s="110"/>
      <c r="Y59" s="110"/>
      <c r="Z59" s="110"/>
      <c r="AA59" s="110"/>
      <c r="AB59" s="110"/>
      <c r="AC59" s="110"/>
      <c r="AD59" s="110"/>
    </row>
    <row r="60">
      <c r="A60" s="118" t="s">
        <v>3241</v>
      </c>
      <c r="B60" s="112" t="s">
        <v>4390</v>
      </c>
      <c r="C60" s="112" t="s">
        <v>3249</v>
      </c>
      <c r="D60" s="119" t="s">
        <v>4301</v>
      </c>
      <c r="E60" s="128"/>
      <c r="F60" s="113" t="s">
        <v>643</v>
      </c>
      <c r="G60" s="113" t="s">
        <v>4343</v>
      </c>
      <c r="H60" s="113"/>
      <c r="I60" s="114">
        <v>45856.0</v>
      </c>
      <c r="J60" s="124"/>
      <c r="K60" s="120" t="str">
        <f>IFERROR(__xludf.DUMMYFUNCTION("""COMPUTED_VALUE"""),"")</f>
        <v/>
      </c>
      <c r="L60" s="114">
        <f>IFERROR(__xludf.DUMMYFUNCTION("""COMPUTED_VALUE"""),45849.0)</f>
        <v>45849</v>
      </c>
      <c r="M60" s="116">
        <v>1.0</v>
      </c>
      <c r="N60" s="110"/>
      <c r="O60" s="110"/>
      <c r="P60" s="110"/>
      <c r="Q60" s="110"/>
      <c r="R60" s="110"/>
      <c r="S60" s="110"/>
      <c r="T60" s="110"/>
      <c r="U60" s="110"/>
      <c r="V60" s="110"/>
      <c r="W60" s="110"/>
      <c r="X60" s="110"/>
      <c r="Y60" s="110"/>
      <c r="Z60" s="110"/>
      <c r="AA60" s="110"/>
      <c r="AB60" s="110"/>
      <c r="AC60" s="110"/>
      <c r="AD60" s="110"/>
    </row>
    <row r="61">
      <c r="A61" s="118" t="s">
        <v>3286</v>
      </c>
      <c r="B61" s="112" t="s">
        <v>4391</v>
      </c>
      <c r="C61" s="112" t="s">
        <v>3293</v>
      </c>
      <c r="D61" s="119" t="s">
        <v>4301</v>
      </c>
      <c r="E61" s="128"/>
      <c r="F61" s="113" t="s">
        <v>643</v>
      </c>
      <c r="G61" s="113" t="s">
        <v>4343</v>
      </c>
      <c r="H61" s="113"/>
      <c r="I61" s="114">
        <v>45856.0</v>
      </c>
      <c r="J61" s="124"/>
      <c r="K61" s="120" t="str">
        <f>IFERROR(__xludf.DUMMYFUNCTION("""COMPUTED_VALUE"""),"")</f>
        <v/>
      </c>
      <c r="L61" s="114">
        <f>IFERROR(__xludf.DUMMYFUNCTION("""COMPUTED_VALUE"""),45849.0)</f>
        <v>45849</v>
      </c>
      <c r="M61" s="116">
        <v>1.0</v>
      </c>
      <c r="N61" s="110"/>
      <c r="O61" s="110"/>
      <c r="P61" s="110"/>
      <c r="Q61" s="110"/>
      <c r="R61" s="110"/>
      <c r="S61" s="110"/>
      <c r="T61" s="110"/>
      <c r="U61" s="110"/>
      <c r="V61" s="110"/>
      <c r="W61" s="110"/>
      <c r="X61" s="110"/>
      <c r="Y61" s="110"/>
      <c r="Z61" s="110"/>
      <c r="AA61" s="110"/>
      <c r="AB61" s="110"/>
      <c r="AC61" s="110"/>
      <c r="AD61" s="110"/>
    </row>
    <row r="62">
      <c r="A62" s="118" t="s">
        <v>3296</v>
      </c>
      <c r="B62" s="112" t="s">
        <v>4392</v>
      </c>
      <c r="C62" s="112" t="s">
        <v>2502</v>
      </c>
      <c r="D62" s="119" t="s">
        <v>4301</v>
      </c>
      <c r="E62" s="128"/>
      <c r="F62" s="113" t="s">
        <v>643</v>
      </c>
      <c r="G62" s="113" t="s">
        <v>4343</v>
      </c>
      <c r="H62" s="113"/>
      <c r="I62" s="114">
        <v>45856.0</v>
      </c>
      <c r="J62" s="124"/>
      <c r="K62" s="120" t="str">
        <f>IFERROR(__xludf.DUMMYFUNCTION("""COMPUTED_VALUE"""),"")</f>
        <v/>
      </c>
      <c r="L62" s="114">
        <f>IFERROR(__xludf.DUMMYFUNCTION("""COMPUTED_VALUE"""),45849.0)</f>
        <v>45849</v>
      </c>
      <c r="M62" s="116">
        <v>5.0</v>
      </c>
      <c r="N62" s="110"/>
      <c r="O62" s="110"/>
      <c r="P62" s="110"/>
      <c r="Q62" s="110"/>
      <c r="R62" s="110"/>
      <c r="S62" s="110"/>
      <c r="T62" s="110"/>
      <c r="U62" s="110"/>
      <c r="V62" s="110"/>
      <c r="W62" s="110"/>
      <c r="X62" s="110"/>
      <c r="Y62" s="110"/>
      <c r="Z62" s="110"/>
      <c r="AA62" s="110"/>
      <c r="AB62" s="110"/>
      <c r="AC62" s="110"/>
      <c r="AD62" s="110"/>
    </row>
    <row r="63">
      <c r="A63" s="118" t="s">
        <v>2475</v>
      </c>
      <c r="B63" s="112" t="s">
        <v>4393</v>
      </c>
      <c r="C63" s="112" t="s">
        <v>2484</v>
      </c>
      <c r="D63" s="119" t="s">
        <v>4301</v>
      </c>
      <c r="E63" s="128">
        <v>45799.0</v>
      </c>
      <c r="F63" s="113" t="s">
        <v>31</v>
      </c>
      <c r="G63" s="113" t="s">
        <v>4343</v>
      </c>
      <c r="H63" s="113"/>
      <c r="I63" s="114">
        <v>45862.0</v>
      </c>
      <c r="J63" s="124"/>
      <c r="K63" s="120" t="str">
        <f>IFERROR(__xludf.DUMMYFUNCTION("""COMPUTED_VALUE"""),"")</f>
        <v/>
      </c>
      <c r="L63" s="114">
        <f>IFERROR(__xludf.DUMMYFUNCTION("""COMPUTED_VALUE"""),45855.0)</f>
        <v>45855</v>
      </c>
      <c r="M63" s="116">
        <v>4.0</v>
      </c>
      <c r="N63" s="110"/>
      <c r="O63" s="110"/>
      <c r="P63" s="110"/>
      <c r="Q63" s="110"/>
      <c r="R63" s="110"/>
      <c r="S63" s="110"/>
      <c r="T63" s="110"/>
      <c r="U63" s="110"/>
      <c r="V63" s="110"/>
      <c r="W63" s="110"/>
      <c r="X63" s="110"/>
      <c r="Y63" s="110"/>
      <c r="Z63" s="110"/>
      <c r="AA63" s="110"/>
      <c r="AB63" s="110"/>
      <c r="AC63" s="110"/>
      <c r="AD63" s="110"/>
    </row>
    <row r="64">
      <c r="A64" s="118" t="s">
        <v>3183</v>
      </c>
      <c r="B64" s="112" t="s">
        <v>4394</v>
      </c>
      <c r="C64" s="112" t="s">
        <v>3187</v>
      </c>
      <c r="D64" s="119" t="s">
        <v>4301</v>
      </c>
      <c r="E64" s="128"/>
      <c r="F64" s="113" t="s">
        <v>643</v>
      </c>
      <c r="G64" s="113" t="s">
        <v>4343</v>
      </c>
      <c r="H64" s="113"/>
      <c r="I64" s="114">
        <v>45862.0</v>
      </c>
      <c r="J64" s="124"/>
      <c r="K64" s="120" t="str">
        <f>IFERROR(__xludf.DUMMYFUNCTION("""COMPUTED_VALUE"""),"")</f>
        <v/>
      </c>
      <c r="L64" s="114">
        <f>IFERROR(__xludf.DUMMYFUNCTION("""COMPUTED_VALUE"""),45855.0)</f>
        <v>45855</v>
      </c>
      <c r="M64" s="116">
        <v>4.0</v>
      </c>
      <c r="N64" s="110"/>
      <c r="O64" s="110"/>
      <c r="P64" s="110"/>
      <c r="Q64" s="110"/>
      <c r="R64" s="110"/>
      <c r="S64" s="110"/>
      <c r="T64" s="110"/>
      <c r="U64" s="110"/>
      <c r="V64" s="110"/>
      <c r="W64" s="110"/>
      <c r="X64" s="110"/>
      <c r="Y64" s="110"/>
      <c r="Z64" s="110"/>
      <c r="AA64" s="110"/>
      <c r="AB64" s="110"/>
      <c r="AC64" s="110"/>
      <c r="AD64" s="110"/>
    </row>
    <row r="65">
      <c r="A65" s="118" t="s">
        <v>3190</v>
      </c>
      <c r="B65" s="112" t="s">
        <v>4395</v>
      </c>
      <c r="C65" s="112" t="s">
        <v>3193</v>
      </c>
      <c r="D65" s="119" t="s">
        <v>4301</v>
      </c>
      <c r="E65" s="128">
        <v>45949.0</v>
      </c>
      <c r="F65" s="113" t="s">
        <v>643</v>
      </c>
      <c r="G65" s="113" t="s">
        <v>4343</v>
      </c>
      <c r="H65" s="113"/>
      <c r="I65" s="114">
        <v>45863.0</v>
      </c>
      <c r="J65" s="124"/>
      <c r="K65" s="120" t="str">
        <f>IFERROR(__xludf.DUMMYFUNCTION("""COMPUTED_VALUE"""),"")</f>
        <v/>
      </c>
      <c r="L65" s="114">
        <f>IFERROR(__xludf.DUMMYFUNCTION("""COMPUTED_VALUE"""),45856.0)</f>
        <v>45856</v>
      </c>
      <c r="M65" s="116">
        <v>4.0</v>
      </c>
      <c r="N65" s="110"/>
      <c r="O65" s="110"/>
      <c r="P65" s="110"/>
      <c r="Q65" s="110"/>
      <c r="R65" s="110"/>
      <c r="S65" s="110"/>
      <c r="T65" s="110"/>
      <c r="U65" s="110"/>
      <c r="V65" s="110"/>
      <c r="W65" s="110"/>
      <c r="X65" s="110"/>
      <c r="Y65" s="110"/>
      <c r="Z65" s="110"/>
      <c r="AA65" s="110"/>
      <c r="AB65" s="110"/>
      <c r="AC65" s="110"/>
      <c r="AD65" s="110"/>
    </row>
    <row r="66">
      <c r="A66" s="118" t="s">
        <v>3266</v>
      </c>
      <c r="B66" s="112" t="s">
        <v>4396</v>
      </c>
      <c r="C66" s="112" t="s">
        <v>3275</v>
      </c>
      <c r="D66" s="119" t="s">
        <v>4301</v>
      </c>
      <c r="E66" s="128"/>
      <c r="F66" s="113" t="s">
        <v>643</v>
      </c>
      <c r="G66" s="113" t="s">
        <v>4343</v>
      </c>
      <c r="H66" s="113"/>
      <c r="I66" s="114">
        <v>45863.0</v>
      </c>
      <c r="J66" s="124"/>
      <c r="K66" s="120" t="str">
        <f>IFERROR(__xludf.DUMMYFUNCTION("""COMPUTED_VALUE"""),"")</f>
        <v/>
      </c>
      <c r="L66" s="114">
        <f>IFERROR(__xludf.DUMMYFUNCTION("""COMPUTED_VALUE"""),45856.0)</f>
        <v>45856</v>
      </c>
      <c r="M66" s="116">
        <v>4.0</v>
      </c>
      <c r="N66" s="110"/>
      <c r="O66" s="110"/>
      <c r="P66" s="110"/>
      <c r="Q66" s="110"/>
      <c r="R66" s="110"/>
      <c r="S66" s="110"/>
      <c r="T66" s="110"/>
      <c r="U66" s="110"/>
      <c r="V66" s="110"/>
      <c r="W66" s="110"/>
      <c r="X66" s="110"/>
      <c r="Y66" s="110"/>
      <c r="Z66" s="110"/>
      <c r="AA66" s="110"/>
      <c r="AB66" s="110"/>
      <c r="AC66" s="110"/>
      <c r="AD66" s="110"/>
    </row>
    <row r="67">
      <c r="A67" s="118" t="s">
        <v>1951</v>
      </c>
      <c r="B67" s="112" t="s">
        <v>4397</v>
      </c>
      <c r="C67" s="112">
        <v>2.028785077E9</v>
      </c>
      <c r="D67" s="119" t="s">
        <v>4301</v>
      </c>
      <c r="E67" s="128"/>
      <c r="F67" s="113" t="s">
        <v>643</v>
      </c>
      <c r="G67" s="113" t="s">
        <v>4343</v>
      </c>
      <c r="H67" s="113"/>
      <c r="I67" s="114">
        <v>45870.0</v>
      </c>
      <c r="J67" s="124"/>
      <c r="K67" s="120" t="str">
        <f>IFERROR(__xludf.DUMMYFUNCTION("""COMPUTED_VALUE"""),"")</f>
        <v/>
      </c>
      <c r="L67" s="114">
        <f>IFERROR(__xludf.DUMMYFUNCTION("""COMPUTED_VALUE"""),45863.0)</f>
        <v>45863</v>
      </c>
      <c r="M67" s="116">
        <v>4.0</v>
      </c>
      <c r="N67" s="110"/>
      <c r="O67" s="110"/>
      <c r="P67" s="110"/>
      <c r="Q67" s="110"/>
      <c r="R67" s="110"/>
      <c r="S67" s="110"/>
      <c r="T67" s="110"/>
      <c r="U67" s="110"/>
      <c r="V67" s="110"/>
      <c r="W67" s="110"/>
      <c r="X67" s="110"/>
      <c r="Y67" s="110"/>
      <c r="Z67" s="110"/>
      <c r="AA67" s="110"/>
      <c r="AB67" s="110"/>
      <c r="AC67" s="110"/>
      <c r="AD67" s="110"/>
    </row>
    <row r="68">
      <c r="A68" s="118" t="s">
        <v>870</v>
      </c>
      <c r="B68" s="112" t="s">
        <v>4398</v>
      </c>
      <c r="C68" s="112">
        <v>2.027942508E9</v>
      </c>
      <c r="D68" s="119" t="s">
        <v>4301</v>
      </c>
      <c r="E68" s="128">
        <v>45890.0</v>
      </c>
      <c r="F68" s="113" t="s">
        <v>31</v>
      </c>
      <c r="G68" s="113" t="s">
        <v>4343</v>
      </c>
      <c r="H68" s="113"/>
      <c r="I68" s="114">
        <v>45897.0</v>
      </c>
      <c r="J68" s="124"/>
      <c r="K68" s="120" t="str">
        <f>IFERROR(__xludf.DUMMYFUNCTION("""COMPUTED_VALUE"""),"")</f>
        <v/>
      </c>
      <c r="L68" s="114">
        <f>IFERROR(__xludf.DUMMYFUNCTION("""COMPUTED_VALUE"""),45890.0)</f>
        <v>45890</v>
      </c>
      <c r="M68" s="116">
        <v>4.0</v>
      </c>
      <c r="N68" s="110"/>
      <c r="O68" s="110"/>
      <c r="P68" s="110"/>
      <c r="Q68" s="110"/>
      <c r="R68" s="110"/>
      <c r="S68" s="110"/>
      <c r="T68" s="110"/>
      <c r="U68" s="110"/>
      <c r="V68" s="110"/>
      <c r="W68" s="110"/>
      <c r="X68" s="110"/>
      <c r="Y68" s="110"/>
      <c r="Z68" s="110"/>
      <c r="AA68" s="110"/>
      <c r="AB68" s="110"/>
      <c r="AC68" s="110"/>
      <c r="AD68" s="110"/>
    </row>
    <row r="69">
      <c r="A69" s="118" t="s">
        <v>3421</v>
      </c>
      <c r="B69" s="112" t="s">
        <v>4399</v>
      </c>
      <c r="C69" s="112" t="s">
        <v>3426</v>
      </c>
      <c r="D69" s="119" t="s">
        <v>4301</v>
      </c>
      <c r="E69" s="128">
        <v>45828.0</v>
      </c>
      <c r="F69" s="113" t="s">
        <v>31</v>
      </c>
      <c r="G69" s="113" t="s">
        <v>4343</v>
      </c>
      <c r="H69" s="113"/>
      <c r="I69" s="114">
        <v>45897.0</v>
      </c>
      <c r="J69" s="124"/>
      <c r="K69" s="120" t="str">
        <f>IFERROR(__xludf.DUMMYFUNCTION("""COMPUTED_VALUE"""),"")</f>
        <v/>
      </c>
      <c r="L69" s="114">
        <f>IFERROR(__xludf.DUMMYFUNCTION("""COMPUTED_VALUE"""),45890.0)</f>
        <v>45890</v>
      </c>
      <c r="M69" s="116">
        <v>4.0</v>
      </c>
      <c r="N69" s="110"/>
      <c r="O69" s="110"/>
      <c r="P69" s="110"/>
      <c r="Q69" s="110"/>
      <c r="R69" s="110"/>
      <c r="S69" s="110"/>
      <c r="T69" s="110"/>
      <c r="U69" s="110"/>
      <c r="V69" s="110"/>
      <c r="W69" s="110"/>
      <c r="X69" s="110"/>
      <c r="Y69" s="110"/>
      <c r="Z69" s="110"/>
      <c r="AA69" s="110"/>
      <c r="AB69" s="110"/>
      <c r="AC69" s="110"/>
      <c r="AD69" s="110"/>
    </row>
    <row r="70">
      <c r="A70" s="118" t="s">
        <v>3440</v>
      </c>
      <c r="B70" s="112" t="s">
        <v>3441</v>
      </c>
      <c r="C70" s="112" t="s">
        <v>3445</v>
      </c>
      <c r="D70" s="119" t="s">
        <v>4301</v>
      </c>
      <c r="E70" s="128">
        <v>45828.0</v>
      </c>
      <c r="F70" s="113" t="s">
        <v>31</v>
      </c>
      <c r="G70" s="113" t="s">
        <v>4343</v>
      </c>
      <c r="H70" s="113"/>
      <c r="I70" s="114">
        <v>45897.0</v>
      </c>
      <c r="J70" s="124"/>
      <c r="K70" s="120" t="str">
        <f>IFERROR(__xludf.DUMMYFUNCTION("""COMPUTED_VALUE"""),"")</f>
        <v/>
      </c>
      <c r="L70" s="114">
        <f>IFERROR(__xludf.DUMMYFUNCTION("""COMPUTED_VALUE"""),45890.0)</f>
        <v>45890</v>
      </c>
      <c r="M70" s="116">
        <v>4.0</v>
      </c>
      <c r="N70" s="110"/>
      <c r="O70" s="110"/>
      <c r="P70" s="110"/>
      <c r="Q70" s="110"/>
      <c r="R70" s="110"/>
      <c r="S70" s="110"/>
      <c r="T70" s="110"/>
      <c r="U70" s="110"/>
      <c r="V70" s="110"/>
      <c r="W70" s="110"/>
      <c r="X70" s="110"/>
      <c r="Y70" s="110"/>
      <c r="Z70" s="110"/>
      <c r="AA70" s="110"/>
      <c r="AB70" s="110"/>
      <c r="AC70" s="110"/>
      <c r="AD70" s="110"/>
    </row>
    <row r="71">
      <c r="A71" s="118" t="s">
        <v>1599</v>
      </c>
      <c r="B71" s="112" t="s">
        <v>4400</v>
      </c>
      <c r="C71" s="112">
        <v>2.023947147E9</v>
      </c>
      <c r="D71" s="119" t="s">
        <v>4301</v>
      </c>
      <c r="E71" s="128"/>
      <c r="F71" s="113" t="s">
        <v>31</v>
      </c>
      <c r="G71" s="113" t="s">
        <v>4343</v>
      </c>
      <c r="H71" s="113" t="s">
        <v>4358</v>
      </c>
      <c r="I71" s="114">
        <v>45905.0</v>
      </c>
      <c r="J71" s="124"/>
      <c r="K71" s="120" t="str">
        <f>IFERROR(__xludf.DUMMYFUNCTION("""COMPUTED_VALUE"""),"")</f>
        <v/>
      </c>
      <c r="L71" s="114">
        <f>IFERROR(__xludf.DUMMYFUNCTION("""COMPUTED_VALUE"""),45898.0)</f>
        <v>45898</v>
      </c>
      <c r="M71" s="116">
        <v>5.0</v>
      </c>
      <c r="N71" s="110"/>
      <c r="O71" s="110"/>
      <c r="P71" s="110"/>
      <c r="Q71" s="110"/>
      <c r="R71" s="110"/>
      <c r="S71" s="110"/>
      <c r="T71" s="110"/>
      <c r="U71" s="110"/>
      <c r="V71" s="110"/>
      <c r="W71" s="110"/>
      <c r="X71" s="110"/>
      <c r="Y71" s="110"/>
      <c r="Z71" s="110"/>
      <c r="AA71" s="110"/>
      <c r="AB71" s="110"/>
      <c r="AC71" s="110"/>
      <c r="AD71" s="110"/>
    </row>
    <row r="72">
      <c r="A72" s="118" t="s">
        <v>2721</v>
      </c>
      <c r="B72" s="112" t="s">
        <v>4401</v>
      </c>
      <c r="C72" s="112" t="s">
        <v>2726</v>
      </c>
      <c r="D72" s="119" t="s">
        <v>4301</v>
      </c>
      <c r="E72" s="128">
        <v>45892.0</v>
      </c>
      <c r="F72" s="113" t="s">
        <v>282</v>
      </c>
      <c r="G72" s="113" t="s">
        <v>4343</v>
      </c>
      <c r="H72" s="113"/>
      <c r="I72" s="114">
        <v>45905.0</v>
      </c>
      <c r="J72" s="124"/>
      <c r="K72" s="120" t="str">
        <f>IFERROR(__xludf.DUMMYFUNCTION("""COMPUTED_VALUE"""),"")</f>
        <v/>
      </c>
      <c r="L72" s="114">
        <f>IFERROR(__xludf.DUMMYFUNCTION("""COMPUTED_VALUE"""),45898.0)</f>
        <v>45898</v>
      </c>
      <c r="M72" s="116">
        <v>5.0</v>
      </c>
      <c r="N72" s="110"/>
      <c r="O72" s="110"/>
      <c r="P72" s="110"/>
      <c r="Q72" s="110"/>
      <c r="R72" s="110"/>
      <c r="S72" s="110"/>
      <c r="T72" s="110"/>
      <c r="U72" s="110"/>
      <c r="V72" s="110"/>
      <c r="W72" s="110"/>
      <c r="X72" s="110"/>
      <c r="Y72" s="110"/>
      <c r="Z72" s="110"/>
      <c r="AA72" s="110"/>
      <c r="AB72" s="110"/>
      <c r="AC72" s="110"/>
      <c r="AD72" s="110"/>
    </row>
    <row r="73">
      <c r="A73" s="118" t="s">
        <v>2487</v>
      </c>
      <c r="B73" s="112" t="s">
        <v>4402</v>
      </c>
      <c r="C73" s="112" t="s">
        <v>2493</v>
      </c>
      <c r="D73" s="119" t="s">
        <v>4301</v>
      </c>
      <c r="E73" s="128">
        <v>45855.0</v>
      </c>
      <c r="F73" s="113" t="s">
        <v>31</v>
      </c>
      <c r="G73" s="113" t="s">
        <v>4343</v>
      </c>
      <c r="H73" s="113"/>
      <c r="I73" s="114">
        <v>45912.0</v>
      </c>
      <c r="J73" s="124"/>
      <c r="K73" s="120" t="str">
        <f>IFERROR(__xludf.DUMMYFUNCTION("""COMPUTED_VALUE"""),"")</f>
        <v/>
      </c>
      <c r="L73" s="114">
        <f>IFERROR(__xludf.DUMMYFUNCTION("""COMPUTED_VALUE"""),45905.0)</f>
        <v>45905</v>
      </c>
      <c r="M73" s="116">
        <v>5.0</v>
      </c>
      <c r="N73" s="110"/>
      <c r="O73" s="110"/>
      <c r="P73" s="110"/>
      <c r="Q73" s="110"/>
      <c r="R73" s="110"/>
      <c r="S73" s="110"/>
      <c r="T73" s="110"/>
      <c r="U73" s="110"/>
      <c r="V73" s="110"/>
      <c r="W73" s="110"/>
      <c r="X73" s="110"/>
      <c r="Y73" s="110"/>
      <c r="Z73" s="110"/>
      <c r="AA73" s="110"/>
      <c r="AB73" s="110"/>
      <c r="AC73" s="110"/>
      <c r="AD73" s="110"/>
    </row>
    <row r="74">
      <c r="A74" s="118" t="s">
        <v>3253</v>
      </c>
      <c r="B74" s="112" t="s">
        <v>4403</v>
      </c>
      <c r="C74" s="112" t="s">
        <v>3263</v>
      </c>
      <c r="D74" s="119" t="s">
        <v>4301</v>
      </c>
      <c r="E74" s="128"/>
      <c r="F74" s="113" t="s">
        <v>31</v>
      </c>
      <c r="G74" s="113" t="s">
        <v>4343</v>
      </c>
      <c r="H74" s="113"/>
      <c r="I74" s="114">
        <v>45912.0</v>
      </c>
      <c r="J74" s="124"/>
      <c r="K74" s="120" t="str">
        <f>IFERROR(__xludf.DUMMYFUNCTION("""COMPUTED_VALUE"""),"")</f>
        <v/>
      </c>
      <c r="L74" s="114">
        <f>IFERROR(__xludf.DUMMYFUNCTION("""COMPUTED_VALUE"""),45905.0)</f>
        <v>45905</v>
      </c>
      <c r="M74" s="116">
        <v>5.0</v>
      </c>
      <c r="N74" s="110"/>
      <c r="O74" s="110"/>
      <c r="P74" s="110"/>
      <c r="Q74" s="110"/>
      <c r="R74" s="110"/>
      <c r="S74" s="110"/>
      <c r="T74" s="110"/>
      <c r="U74" s="110"/>
      <c r="V74" s="110"/>
      <c r="W74" s="110"/>
      <c r="X74" s="110"/>
      <c r="Y74" s="110"/>
      <c r="Z74" s="110"/>
      <c r="AA74" s="110"/>
      <c r="AB74" s="110"/>
      <c r="AC74" s="110"/>
      <c r="AD74" s="110"/>
    </row>
    <row r="75">
      <c r="A75" s="118" t="s">
        <v>3508</v>
      </c>
      <c r="B75" s="112" t="s">
        <v>4404</v>
      </c>
      <c r="C75" s="112" t="s">
        <v>3513</v>
      </c>
      <c r="D75" s="119" t="s">
        <v>4301</v>
      </c>
      <c r="E75" s="128">
        <v>45861.0</v>
      </c>
      <c r="F75" s="113" t="s">
        <v>31</v>
      </c>
      <c r="G75" s="113" t="s">
        <v>4343</v>
      </c>
      <c r="H75" s="113"/>
      <c r="I75" s="114">
        <v>45918.0</v>
      </c>
      <c r="J75" s="124"/>
      <c r="K75" s="120" t="str">
        <f>IFERROR(__xludf.DUMMYFUNCTION("""COMPUTED_VALUE"""),"")</f>
        <v/>
      </c>
      <c r="L75" s="114">
        <f>IFERROR(__xludf.DUMMYFUNCTION("""COMPUTED_VALUE"""),45911.0)</f>
        <v>45911</v>
      </c>
      <c r="M75" s="116">
        <v>5.0</v>
      </c>
      <c r="N75" s="110"/>
      <c r="O75" s="110"/>
      <c r="P75" s="110"/>
      <c r="Q75" s="110"/>
      <c r="R75" s="110"/>
      <c r="S75" s="110"/>
      <c r="T75" s="110"/>
      <c r="U75" s="110"/>
      <c r="V75" s="110"/>
      <c r="W75" s="110"/>
      <c r="X75" s="110"/>
      <c r="Y75" s="110"/>
      <c r="Z75" s="110"/>
      <c r="AA75" s="110"/>
      <c r="AB75" s="110"/>
      <c r="AC75" s="110"/>
      <c r="AD75" s="110"/>
    </row>
    <row r="76">
      <c r="A76" s="118" t="s">
        <v>1705</v>
      </c>
      <c r="B76" s="112" t="s">
        <v>4405</v>
      </c>
      <c r="C76" s="112">
        <v>2.405932313E9</v>
      </c>
      <c r="D76" s="119" t="s">
        <v>4301</v>
      </c>
      <c r="E76" s="128">
        <v>45861.0</v>
      </c>
      <c r="F76" s="113" t="s">
        <v>31</v>
      </c>
      <c r="G76" s="113" t="s">
        <v>4343</v>
      </c>
      <c r="H76" s="113"/>
      <c r="I76" s="114">
        <v>45919.0</v>
      </c>
      <c r="J76" s="124"/>
      <c r="K76" s="120" t="str">
        <f>IFERROR(__xludf.DUMMYFUNCTION("""COMPUTED_VALUE"""),"")</f>
        <v/>
      </c>
      <c r="L76" s="114">
        <f>IFERROR(__xludf.DUMMYFUNCTION("""COMPUTED_VALUE"""),45912.0)</f>
        <v>45912</v>
      </c>
      <c r="M76" s="116">
        <v>5.0</v>
      </c>
      <c r="N76" s="110"/>
      <c r="O76" s="110"/>
      <c r="P76" s="110"/>
      <c r="Q76" s="110"/>
      <c r="R76" s="110"/>
      <c r="S76" s="110"/>
      <c r="T76" s="110"/>
      <c r="U76" s="110"/>
      <c r="V76" s="110"/>
      <c r="W76" s="110"/>
      <c r="X76" s="110"/>
      <c r="Y76" s="110"/>
      <c r="Z76" s="110"/>
      <c r="AA76" s="110"/>
      <c r="AB76" s="110"/>
      <c r="AC76" s="110"/>
      <c r="AD76" s="110"/>
    </row>
    <row r="77">
      <c r="A77" s="118" t="s">
        <v>3126</v>
      </c>
      <c r="B77" s="112" t="s">
        <v>4406</v>
      </c>
      <c r="C77" s="112" t="s">
        <v>3133</v>
      </c>
      <c r="D77" s="119" t="s">
        <v>4301</v>
      </c>
      <c r="E77" s="128">
        <v>45855.0</v>
      </c>
      <c r="F77" s="113" t="s">
        <v>31</v>
      </c>
      <c r="G77" s="113" t="s">
        <v>4343</v>
      </c>
      <c r="H77" s="113"/>
      <c r="I77" s="114">
        <v>45919.0</v>
      </c>
      <c r="J77" s="124"/>
      <c r="K77" s="120" t="str">
        <f>IFERROR(__xludf.DUMMYFUNCTION("""COMPUTED_VALUE"""),"")</f>
        <v/>
      </c>
      <c r="L77" s="114">
        <f>IFERROR(__xludf.DUMMYFUNCTION("""COMPUTED_VALUE"""),45912.0)</f>
        <v>45912</v>
      </c>
      <c r="M77" s="116">
        <v>5.0</v>
      </c>
      <c r="N77" s="110"/>
      <c r="O77" s="110"/>
      <c r="P77" s="110"/>
      <c r="Q77" s="110"/>
      <c r="R77" s="110"/>
      <c r="S77" s="110"/>
      <c r="T77" s="110"/>
      <c r="U77" s="110"/>
      <c r="V77" s="110"/>
      <c r="W77" s="110"/>
      <c r="X77" s="110"/>
      <c r="Y77" s="110"/>
      <c r="Z77" s="110"/>
      <c r="AA77" s="110"/>
      <c r="AB77" s="110"/>
      <c r="AC77" s="110"/>
      <c r="AD77" s="110"/>
    </row>
    <row r="78">
      <c r="A78" s="118" t="s">
        <v>3429</v>
      </c>
      <c r="B78" s="112" t="s">
        <v>4407</v>
      </c>
      <c r="C78" s="112" t="s">
        <v>3437</v>
      </c>
      <c r="D78" s="119" t="s">
        <v>4301</v>
      </c>
      <c r="E78" s="128"/>
      <c r="F78" s="113" t="s">
        <v>31</v>
      </c>
      <c r="G78" s="113" t="s">
        <v>4343</v>
      </c>
      <c r="H78" s="113"/>
      <c r="I78" s="114">
        <v>45919.0</v>
      </c>
      <c r="J78" s="124"/>
      <c r="K78" s="120" t="str">
        <f>IFERROR(__xludf.DUMMYFUNCTION("""COMPUTED_VALUE"""),"")</f>
        <v/>
      </c>
      <c r="L78" s="114">
        <f>IFERROR(__xludf.DUMMYFUNCTION("""COMPUTED_VALUE"""),45912.0)</f>
        <v>45912</v>
      </c>
      <c r="M78" s="116">
        <v>5.0</v>
      </c>
      <c r="N78" s="110"/>
      <c r="O78" s="110"/>
      <c r="P78" s="110"/>
      <c r="Q78" s="110"/>
      <c r="R78" s="110"/>
      <c r="S78" s="110"/>
      <c r="T78" s="110"/>
      <c r="U78" s="110"/>
      <c r="V78" s="110"/>
      <c r="W78" s="110"/>
      <c r="X78" s="110"/>
      <c r="Y78" s="110"/>
      <c r="Z78" s="110"/>
      <c r="AA78" s="110"/>
      <c r="AB78" s="110"/>
      <c r="AC78" s="110"/>
      <c r="AD78" s="110"/>
    </row>
    <row r="79">
      <c r="A79" s="118" t="s">
        <v>3472</v>
      </c>
      <c r="B79" s="112" t="s">
        <v>4408</v>
      </c>
      <c r="C79" s="112" t="s">
        <v>3477</v>
      </c>
      <c r="D79" s="119" t="s">
        <v>4301</v>
      </c>
      <c r="E79" s="128"/>
      <c r="F79" s="113" t="s">
        <v>282</v>
      </c>
      <c r="G79" s="113" t="s">
        <v>4343</v>
      </c>
      <c r="H79" s="113"/>
      <c r="I79" s="114">
        <v>45919.0</v>
      </c>
      <c r="J79" s="124"/>
      <c r="K79" s="120" t="str">
        <f>IFERROR(__xludf.DUMMYFUNCTION("""COMPUTED_VALUE"""),"")</f>
        <v/>
      </c>
      <c r="L79" s="114">
        <f>IFERROR(__xludf.DUMMYFUNCTION("""COMPUTED_VALUE"""),45912.0)</f>
        <v>45912</v>
      </c>
      <c r="M79" s="116">
        <v>5.0</v>
      </c>
      <c r="N79" s="110"/>
      <c r="O79" s="110"/>
      <c r="P79" s="110"/>
      <c r="Q79" s="110"/>
      <c r="R79" s="110"/>
      <c r="S79" s="110"/>
      <c r="T79" s="110"/>
      <c r="U79" s="110"/>
      <c r="V79" s="110"/>
      <c r="W79" s="110"/>
      <c r="X79" s="110"/>
      <c r="Y79" s="110"/>
      <c r="Z79" s="110"/>
      <c r="AA79" s="110"/>
      <c r="AB79" s="110"/>
      <c r="AC79" s="110"/>
      <c r="AD79" s="110"/>
    </row>
    <row r="80">
      <c r="A80" s="118" t="s">
        <v>3540</v>
      </c>
      <c r="B80" s="112" t="s">
        <v>4409</v>
      </c>
      <c r="C80" s="112" t="s">
        <v>3546</v>
      </c>
      <c r="D80" s="119" t="s">
        <v>4301</v>
      </c>
      <c r="E80" s="128">
        <v>45861.0</v>
      </c>
      <c r="F80" s="113" t="s">
        <v>643</v>
      </c>
      <c r="G80" s="113" t="s">
        <v>4343</v>
      </c>
      <c r="H80" s="113"/>
      <c r="I80" s="114">
        <v>45919.0</v>
      </c>
      <c r="J80" s="124"/>
      <c r="K80" s="120" t="str">
        <f>IFERROR(__xludf.DUMMYFUNCTION("""COMPUTED_VALUE"""),"")</f>
        <v/>
      </c>
      <c r="L80" s="114">
        <f>IFERROR(__xludf.DUMMYFUNCTION("""COMPUTED_VALUE"""),45912.0)</f>
        <v>45912</v>
      </c>
      <c r="M80" s="116">
        <v>5.0</v>
      </c>
      <c r="N80" s="110"/>
      <c r="O80" s="110"/>
      <c r="P80" s="110"/>
      <c r="Q80" s="110"/>
      <c r="R80" s="110"/>
      <c r="S80" s="110"/>
      <c r="T80" s="110"/>
      <c r="U80" s="110"/>
      <c r="V80" s="110"/>
      <c r="W80" s="110"/>
      <c r="X80" s="110"/>
      <c r="Y80" s="110"/>
      <c r="Z80" s="110"/>
      <c r="AA80" s="110"/>
      <c r="AB80" s="110"/>
      <c r="AC80" s="110"/>
      <c r="AD80" s="110"/>
    </row>
    <row r="81">
      <c r="A81" s="118" t="s">
        <v>1705</v>
      </c>
      <c r="B81" s="112" t="s">
        <v>4405</v>
      </c>
      <c r="C81" s="112" t="s">
        <v>3554</v>
      </c>
      <c r="D81" s="119" t="s">
        <v>4301</v>
      </c>
      <c r="E81" s="128">
        <v>45861.0</v>
      </c>
      <c r="F81" s="113" t="s">
        <v>31</v>
      </c>
      <c r="G81" s="113" t="s">
        <v>4343</v>
      </c>
      <c r="H81" s="113"/>
      <c r="I81" s="114">
        <v>45919.0</v>
      </c>
      <c r="J81" s="124"/>
      <c r="K81" s="120" t="str">
        <f>IFERROR(__xludf.DUMMYFUNCTION("""COMPUTED_VALUE"""),"")</f>
        <v/>
      </c>
      <c r="L81" s="114">
        <f>IFERROR(__xludf.DUMMYFUNCTION("""COMPUTED_VALUE"""),45912.0)</f>
        <v>45912</v>
      </c>
      <c r="M81" s="116">
        <v>5.0</v>
      </c>
      <c r="N81" s="110"/>
      <c r="O81" s="110"/>
      <c r="P81" s="110"/>
      <c r="Q81" s="110"/>
      <c r="R81" s="110"/>
      <c r="S81" s="110"/>
      <c r="T81" s="110"/>
      <c r="U81" s="110"/>
      <c r="V81" s="110"/>
      <c r="W81" s="110"/>
      <c r="X81" s="110"/>
      <c r="Y81" s="110"/>
      <c r="Z81" s="110"/>
      <c r="AA81" s="110"/>
      <c r="AB81" s="110"/>
      <c r="AC81" s="110"/>
      <c r="AD81" s="110"/>
    </row>
    <row r="82">
      <c r="A82" s="118" t="s">
        <v>2255</v>
      </c>
      <c r="B82" s="112" t="s">
        <v>2256</v>
      </c>
      <c r="C82" s="112" t="s">
        <v>2260</v>
      </c>
      <c r="D82" s="119" t="s">
        <v>4301</v>
      </c>
      <c r="E82" s="128">
        <v>45855.0</v>
      </c>
      <c r="F82" s="113" t="s">
        <v>31</v>
      </c>
      <c r="G82" s="113" t="s">
        <v>4343</v>
      </c>
      <c r="H82" s="113"/>
      <c r="I82" s="114">
        <v>45925.0</v>
      </c>
      <c r="J82" s="124"/>
      <c r="K82" s="120" t="str">
        <f>IFERROR(__xludf.DUMMYFUNCTION("""COMPUTED_VALUE"""),"")</f>
        <v/>
      </c>
      <c r="L82" s="114">
        <f>IFERROR(__xludf.DUMMYFUNCTION("""COMPUTED_VALUE"""),45918.0)</f>
        <v>45918</v>
      </c>
      <c r="M82" s="116">
        <v>5.0</v>
      </c>
      <c r="N82" s="110"/>
      <c r="O82" s="110"/>
      <c r="P82" s="110"/>
      <c r="Q82" s="110"/>
      <c r="R82" s="110"/>
      <c r="S82" s="110"/>
      <c r="T82" s="110"/>
      <c r="U82" s="110"/>
      <c r="V82" s="110"/>
      <c r="W82" s="110"/>
      <c r="X82" s="110"/>
      <c r="Y82" s="110"/>
      <c r="Z82" s="110"/>
      <c r="AA82" s="110"/>
      <c r="AB82" s="110"/>
      <c r="AC82" s="110"/>
      <c r="AD82" s="110"/>
    </row>
    <row r="83">
      <c r="A83" s="118" t="s">
        <v>2264</v>
      </c>
      <c r="B83" s="112" t="s">
        <v>4410</v>
      </c>
      <c r="C83" s="112" t="s">
        <v>2265</v>
      </c>
      <c r="D83" s="119" t="s">
        <v>4301</v>
      </c>
      <c r="E83" s="128">
        <v>45960.0</v>
      </c>
      <c r="F83" s="113" t="s">
        <v>31</v>
      </c>
      <c r="G83" s="113" t="s">
        <v>4343</v>
      </c>
      <c r="H83" s="113"/>
      <c r="I83" s="114">
        <v>45925.0</v>
      </c>
      <c r="J83" s="124"/>
      <c r="K83" s="120" t="str">
        <f>IFERROR(__xludf.DUMMYFUNCTION("""COMPUTED_VALUE"""),"")</f>
        <v/>
      </c>
      <c r="L83" s="114">
        <f>IFERROR(__xludf.DUMMYFUNCTION("""COMPUTED_VALUE"""),45918.0)</f>
        <v>45918</v>
      </c>
      <c r="M83" s="116">
        <v>5.0</v>
      </c>
      <c r="N83" s="110"/>
      <c r="O83" s="110"/>
      <c r="P83" s="110"/>
      <c r="Q83" s="110"/>
      <c r="R83" s="110"/>
      <c r="S83" s="110"/>
      <c r="T83" s="110"/>
      <c r="U83" s="110"/>
      <c r="V83" s="110"/>
      <c r="W83" s="110"/>
      <c r="X83" s="110"/>
      <c r="Y83" s="110"/>
      <c r="Z83" s="110"/>
      <c r="AA83" s="110"/>
      <c r="AB83" s="110"/>
      <c r="AC83" s="110"/>
      <c r="AD83" s="110"/>
    </row>
    <row r="84">
      <c r="A84" s="118" t="s">
        <v>3158</v>
      </c>
      <c r="B84" s="112" t="s">
        <v>4411</v>
      </c>
      <c r="C84" s="112" t="s">
        <v>3164</v>
      </c>
      <c r="D84" s="119" t="s">
        <v>4301</v>
      </c>
      <c r="E84" s="128">
        <v>45855.0</v>
      </c>
      <c r="F84" s="113" t="s">
        <v>31</v>
      </c>
      <c r="G84" s="123" t="s">
        <v>4343</v>
      </c>
      <c r="H84" s="113"/>
      <c r="I84" s="114">
        <v>45926.0</v>
      </c>
      <c r="J84" s="124"/>
      <c r="K84" s="120" t="str">
        <f>IFERROR(__xludf.DUMMYFUNCTION("""COMPUTED_VALUE"""),"")</f>
        <v/>
      </c>
      <c r="L84" s="114">
        <f>IFERROR(__xludf.DUMMYFUNCTION("""COMPUTED_VALUE"""),45919.0)</f>
        <v>45919</v>
      </c>
      <c r="M84" s="116">
        <v>5.0</v>
      </c>
      <c r="N84" s="110"/>
      <c r="O84" s="110"/>
      <c r="P84" s="110"/>
      <c r="Q84" s="110"/>
      <c r="R84" s="110"/>
      <c r="S84" s="110"/>
      <c r="T84" s="110"/>
      <c r="U84" s="110"/>
      <c r="V84" s="110"/>
      <c r="W84" s="110"/>
      <c r="X84" s="110"/>
      <c r="Y84" s="110"/>
      <c r="Z84" s="110"/>
      <c r="AA84" s="110"/>
      <c r="AB84" s="110"/>
      <c r="AC84" s="110"/>
      <c r="AD84" s="110"/>
    </row>
    <row r="85">
      <c r="A85" s="118" t="s">
        <v>3580</v>
      </c>
      <c r="B85" s="112" t="s">
        <v>4412</v>
      </c>
      <c r="C85" s="112" t="s">
        <v>3588</v>
      </c>
      <c r="D85" s="119" t="s">
        <v>4301</v>
      </c>
      <c r="E85" s="128">
        <v>45915.0</v>
      </c>
      <c r="F85" s="113" t="s">
        <v>643</v>
      </c>
      <c r="G85" s="123" t="s">
        <v>4343</v>
      </c>
      <c r="H85" s="113"/>
      <c r="I85" s="114">
        <v>45926.0</v>
      </c>
      <c r="J85" s="124"/>
      <c r="K85" s="120" t="str">
        <f>IFERROR(__xludf.DUMMYFUNCTION("""COMPUTED_VALUE"""),"")</f>
        <v/>
      </c>
      <c r="L85" s="114">
        <f>IFERROR(__xludf.DUMMYFUNCTION("""COMPUTED_VALUE"""),45919.0)</f>
        <v>45919</v>
      </c>
      <c r="M85" s="116">
        <v>5.0</v>
      </c>
      <c r="N85" s="110"/>
      <c r="O85" s="110"/>
      <c r="P85" s="110"/>
      <c r="Q85" s="110"/>
      <c r="R85" s="110"/>
      <c r="S85" s="110"/>
      <c r="T85" s="110"/>
      <c r="U85" s="110"/>
      <c r="V85" s="110"/>
      <c r="W85" s="110"/>
      <c r="X85" s="110"/>
      <c r="Y85" s="110"/>
      <c r="Z85" s="110"/>
      <c r="AA85" s="110"/>
      <c r="AB85" s="110"/>
      <c r="AC85" s="110"/>
      <c r="AD85" s="110"/>
    </row>
    <row r="86">
      <c r="A86" s="118" t="s">
        <v>3600</v>
      </c>
      <c r="B86" s="112" t="s">
        <v>4413</v>
      </c>
      <c r="C86" s="112" t="s">
        <v>3609</v>
      </c>
      <c r="D86" s="119" t="s">
        <v>4301</v>
      </c>
      <c r="E86" s="128">
        <v>45915.0</v>
      </c>
      <c r="F86" s="113" t="s">
        <v>643</v>
      </c>
      <c r="G86" s="113" t="s">
        <v>4343</v>
      </c>
      <c r="H86" s="113"/>
      <c r="I86" s="114">
        <v>45926.0</v>
      </c>
      <c r="J86" s="124"/>
      <c r="K86" s="120" t="str">
        <f>IFERROR(__xludf.DUMMYFUNCTION("""COMPUTED_VALUE"""),"")</f>
        <v/>
      </c>
      <c r="L86" s="114">
        <f>IFERROR(__xludf.DUMMYFUNCTION("""COMPUTED_VALUE"""),45919.0)</f>
        <v>45919</v>
      </c>
      <c r="M86" s="116">
        <v>5.0</v>
      </c>
      <c r="N86" s="110"/>
      <c r="O86" s="110"/>
      <c r="P86" s="110"/>
      <c r="Q86" s="110"/>
      <c r="R86" s="110"/>
      <c r="S86" s="110"/>
      <c r="T86" s="110"/>
      <c r="U86" s="110"/>
      <c r="V86" s="110"/>
      <c r="W86" s="110"/>
      <c r="X86" s="110"/>
      <c r="Y86" s="110"/>
      <c r="Z86" s="110"/>
      <c r="AA86" s="110"/>
      <c r="AB86" s="110"/>
      <c r="AC86" s="110"/>
      <c r="AD86" s="110"/>
    </row>
    <row r="87">
      <c r="A87" s="118" t="s">
        <v>2915</v>
      </c>
      <c r="B87" s="112" t="s">
        <v>4414</v>
      </c>
      <c r="C87" s="112" t="s">
        <v>2924</v>
      </c>
      <c r="D87" s="119" t="s">
        <v>4301</v>
      </c>
      <c r="E87" s="128">
        <v>45736.0</v>
      </c>
      <c r="F87" s="113" t="s">
        <v>327</v>
      </c>
      <c r="G87" s="113" t="s">
        <v>4343</v>
      </c>
      <c r="H87" s="113"/>
      <c r="I87" s="114">
        <v>45932.0</v>
      </c>
      <c r="J87" s="124"/>
      <c r="K87" s="120" t="str">
        <f>IFERROR(__xludf.DUMMYFUNCTION("""COMPUTED_VALUE"""),"")</f>
        <v/>
      </c>
      <c r="L87" s="114">
        <f>IFERROR(__xludf.DUMMYFUNCTION("""COMPUTED_VALUE"""),45925.0)</f>
        <v>45925</v>
      </c>
      <c r="M87" s="116">
        <v>5.0</v>
      </c>
      <c r="N87" s="110"/>
      <c r="O87" s="110"/>
      <c r="P87" s="110"/>
      <c r="Q87" s="110"/>
      <c r="R87" s="110"/>
      <c r="S87" s="110"/>
      <c r="T87" s="110"/>
      <c r="U87" s="110"/>
      <c r="V87" s="110"/>
      <c r="W87" s="110"/>
      <c r="X87" s="110"/>
      <c r="Y87" s="110"/>
      <c r="Z87" s="110"/>
      <c r="AA87" s="110"/>
      <c r="AB87" s="110"/>
      <c r="AC87" s="110"/>
      <c r="AD87" s="110"/>
    </row>
    <row r="88">
      <c r="A88" s="118" t="s">
        <v>1388</v>
      </c>
      <c r="B88" s="112" t="s">
        <v>1389</v>
      </c>
      <c r="C88" s="112" t="s">
        <v>1398</v>
      </c>
      <c r="D88" s="119" t="s">
        <v>4301</v>
      </c>
      <c r="E88" s="128"/>
      <c r="F88" s="113"/>
      <c r="G88" s="113" t="s">
        <v>4343</v>
      </c>
      <c r="H88" s="113"/>
      <c r="I88" s="114">
        <v>45933.0</v>
      </c>
      <c r="J88" s="124"/>
      <c r="K88" s="120" t="str">
        <f>IFERROR(__xludf.DUMMYFUNCTION("""COMPUTED_VALUE"""),"")</f>
        <v/>
      </c>
      <c r="L88" s="114">
        <f>IFERROR(__xludf.DUMMYFUNCTION("""COMPUTED_VALUE"""),45926.0)</f>
        <v>45926</v>
      </c>
      <c r="M88" s="116">
        <v>5.0</v>
      </c>
      <c r="N88" s="110"/>
      <c r="O88" s="110"/>
      <c r="P88" s="110"/>
      <c r="Q88" s="110"/>
      <c r="R88" s="110"/>
      <c r="S88" s="110"/>
      <c r="T88" s="110"/>
      <c r="U88" s="110"/>
      <c r="V88" s="110"/>
      <c r="W88" s="110"/>
      <c r="X88" s="110"/>
      <c r="Y88" s="110"/>
      <c r="Z88" s="110"/>
      <c r="AA88" s="110"/>
      <c r="AB88" s="110"/>
      <c r="AC88" s="110"/>
      <c r="AD88" s="110"/>
    </row>
    <row r="89">
      <c r="A89" s="118" t="s">
        <v>3024</v>
      </c>
      <c r="B89" s="112" t="s">
        <v>4415</v>
      </c>
      <c r="C89" s="112" t="s">
        <v>3029</v>
      </c>
      <c r="D89" s="119" t="s">
        <v>4301</v>
      </c>
      <c r="E89" s="128"/>
      <c r="F89" s="113" t="s">
        <v>31</v>
      </c>
      <c r="G89" s="113" t="s">
        <v>4343</v>
      </c>
      <c r="H89" s="113"/>
      <c r="I89" s="114">
        <v>45933.0</v>
      </c>
      <c r="J89" s="125"/>
      <c r="K89" s="120" t="str">
        <f>IFERROR(__xludf.DUMMYFUNCTION("""COMPUTED_VALUE"""),"")</f>
        <v/>
      </c>
      <c r="L89" s="114">
        <f>IFERROR(__xludf.DUMMYFUNCTION("""COMPUTED_VALUE"""),45926.0)</f>
        <v>45926</v>
      </c>
      <c r="M89" s="116">
        <v>5.0</v>
      </c>
      <c r="N89" s="110"/>
      <c r="O89" s="110"/>
      <c r="P89" s="110"/>
      <c r="Q89" s="110"/>
      <c r="R89" s="110"/>
      <c r="S89" s="110"/>
      <c r="T89" s="110"/>
      <c r="U89" s="110"/>
      <c r="V89" s="110"/>
      <c r="W89" s="110"/>
      <c r="X89" s="110"/>
      <c r="Y89" s="110"/>
      <c r="Z89" s="110"/>
      <c r="AA89" s="110"/>
      <c r="AB89" s="110"/>
      <c r="AC89" s="110"/>
      <c r="AD89" s="110"/>
    </row>
    <row r="90">
      <c r="A90" s="118" t="s">
        <v>3500</v>
      </c>
      <c r="B90" s="112" t="s">
        <v>4416</v>
      </c>
      <c r="C90" s="112" t="s">
        <v>3505</v>
      </c>
      <c r="D90" s="119" t="s">
        <v>4301</v>
      </c>
      <c r="E90" s="128"/>
      <c r="F90" s="113"/>
      <c r="G90" s="113" t="s">
        <v>4343</v>
      </c>
      <c r="H90" s="113"/>
      <c r="I90" s="114">
        <v>45933.0</v>
      </c>
      <c r="J90" s="124"/>
      <c r="K90" s="120" t="str">
        <f>IFERROR(__xludf.DUMMYFUNCTION("""COMPUTED_VALUE"""),"")</f>
        <v/>
      </c>
      <c r="L90" s="114">
        <f>IFERROR(__xludf.DUMMYFUNCTION("""COMPUTED_VALUE"""),45926.0)</f>
        <v>45926</v>
      </c>
      <c r="M90" s="116">
        <v>5.0</v>
      </c>
      <c r="N90" s="110"/>
      <c r="O90" s="110"/>
      <c r="P90" s="110"/>
      <c r="Q90" s="110"/>
      <c r="R90" s="110"/>
      <c r="S90" s="110"/>
      <c r="T90" s="110"/>
      <c r="U90" s="110"/>
      <c r="V90" s="110"/>
      <c r="W90" s="110"/>
      <c r="X90" s="110"/>
      <c r="Y90" s="110"/>
      <c r="Z90" s="110"/>
      <c r="AA90" s="110"/>
      <c r="AB90" s="110"/>
      <c r="AC90" s="110"/>
      <c r="AD90" s="110"/>
    </row>
    <row r="91">
      <c r="A91" s="118" t="s">
        <v>3798</v>
      </c>
      <c r="B91" s="112" t="s">
        <v>4417</v>
      </c>
      <c r="C91" s="112" t="s">
        <v>3807</v>
      </c>
      <c r="D91" s="119" t="s">
        <v>4301</v>
      </c>
      <c r="E91" s="128">
        <v>45926.0</v>
      </c>
      <c r="F91" s="113" t="s">
        <v>643</v>
      </c>
      <c r="G91" s="113" t="s">
        <v>4343</v>
      </c>
      <c r="H91" s="113"/>
      <c r="I91" s="114">
        <v>45933.0</v>
      </c>
      <c r="J91" s="124"/>
      <c r="K91" s="120" t="str">
        <f>IFERROR(__xludf.DUMMYFUNCTION("""COMPUTED_VALUE"""),"")</f>
        <v/>
      </c>
      <c r="L91" s="114">
        <f>IFERROR(__xludf.DUMMYFUNCTION("""COMPUTED_VALUE"""),45926.0)</f>
        <v>45926</v>
      </c>
      <c r="M91" s="116">
        <v>5.0</v>
      </c>
      <c r="N91" s="110"/>
      <c r="O91" s="110"/>
      <c r="P91" s="110"/>
      <c r="Q91" s="110"/>
      <c r="R91" s="110"/>
      <c r="S91" s="110"/>
      <c r="T91" s="110"/>
      <c r="U91" s="110"/>
      <c r="V91" s="110"/>
      <c r="W91" s="110"/>
      <c r="X91" s="110"/>
      <c r="Y91" s="110"/>
      <c r="Z91" s="110"/>
      <c r="AA91" s="110"/>
      <c r="AB91" s="110"/>
      <c r="AC91" s="110"/>
      <c r="AD91" s="110"/>
    </row>
    <row r="92">
      <c r="A92" s="131" t="s">
        <v>1357</v>
      </c>
      <c r="B92" s="112" t="s">
        <v>4418</v>
      </c>
      <c r="C92" s="112" t="s">
        <v>1363</v>
      </c>
      <c r="D92" s="119" t="s">
        <v>4301</v>
      </c>
      <c r="E92" s="128"/>
      <c r="F92" s="113" t="s">
        <v>327</v>
      </c>
      <c r="G92" s="113" t="s">
        <v>4343</v>
      </c>
      <c r="H92" s="113"/>
      <c r="I92" s="114">
        <v>45939.0</v>
      </c>
      <c r="J92" s="124"/>
      <c r="K92" s="120" t="str">
        <f>IFERROR(__xludf.DUMMYFUNCTION("""COMPUTED_VALUE"""),"")</f>
        <v/>
      </c>
      <c r="L92" s="114">
        <f>IFERROR(__xludf.DUMMYFUNCTION("""COMPUTED_VALUE"""),45932.0)</f>
        <v>45932</v>
      </c>
      <c r="M92" s="116">
        <v>5.0</v>
      </c>
      <c r="N92" s="110"/>
      <c r="O92" s="110"/>
      <c r="P92" s="110"/>
      <c r="Q92" s="110"/>
      <c r="R92" s="110"/>
      <c r="S92" s="110"/>
      <c r="T92" s="110"/>
      <c r="U92" s="110"/>
      <c r="V92" s="110"/>
      <c r="W92" s="110"/>
      <c r="X92" s="110"/>
      <c r="Y92" s="110"/>
      <c r="Z92" s="110"/>
      <c r="AA92" s="110"/>
      <c r="AB92" s="110"/>
      <c r="AC92" s="110"/>
      <c r="AD92" s="110"/>
    </row>
    <row r="93">
      <c r="A93" s="118" t="s">
        <v>2301</v>
      </c>
      <c r="B93" s="112" t="s">
        <v>4419</v>
      </c>
      <c r="C93" s="112" t="s">
        <v>2308</v>
      </c>
      <c r="D93" s="119" t="s">
        <v>4301</v>
      </c>
      <c r="E93" s="128"/>
      <c r="F93" s="113" t="s">
        <v>643</v>
      </c>
      <c r="G93" s="113" t="s">
        <v>4343</v>
      </c>
      <c r="H93" s="113"/>
      <c r="I93" s="114">
        <v>45939.0</v>
      </c>
      <c r="J93" s="124"/>
      <c r="K93" s="120" t="str">
        <f>IFERROR(__xludf.DUMMYFUNCTION("""COMPUTED_VALUE"""),"")</f>
        <v/>
      </c>
      <c r="L93" s="114">
        <f>IFERROR(__xludf.DUMMYFUNCTION("""COMPUTED_VALUE"""),45932.0)</f>
        <v>45932</v>
      </c>
      <c r="M93" s="116">
        <v>5.0</v>
      </c>
      <c r="N93" s="110"/>
      <c r="O93" s="110"/>
      <c r="P93" s="110"/>
      <c r="Q93" s="110"/>
      <c r="R93" s="110"/>
      <c r="S93" s="110"/>
      <c r="T93" s="110"/>
      <c r="U93" s="110"/>
      <c r="V93" s="110"/>
      <c r="W93" s="110"/>
      <c r="X93" s="110"/>
      <c r="Y93" s="110"/>
      <c r="Z93" s="110"/>
      <c r="AA93" s="110"/>
      <c r="AB93" s="110"/>
      <c r="AC93" s="110"/>
      <c r="AD93" s="110"/>
    </row>
    <row r="94">
      <c r="A94" s="118" t="s">
        <v>2312</v>
      </c>
      <c r="B94" s="112" t="s">
        <v>4420</v>
      </c>
      <c r="C94" s="112" t="s">
        <v>2322</v>
      </c>
      <c r="D94" s="119" t="s">
        <v>4301</v>
      </c>
      <c r="E94" s="128"/>
      <c r="F94" s="113" t="s">
        <v>295</v>
      </c>
      <c r="G94" s="113" t="s">
        <v>4343</v>
      </c>
      <c r="H94" s="113"/>
      <c r="I94" s="114">
        <v>45939.0</v>
      </c>
      <c r="J94" s="124"/>
      <c r="K94" s="120" t="str">
        <f>IFERROR(__xludf.DUMMYFUNCTION("""COMPUTED_VALUE"""),"")</f>
        <v/>
      </c>
      <c r="L94" s="114">
        <f>IFERROR(__xludf.DUMMYFUNCTION("""COMPUTED_VALUE"""),45932.0)</f>
        <v>45932</v>
      </c>
      <c r="M94" s="116">
        <v>5.0</v>
      </c>
      <c r="N94" s="110"/>
      <c r="O94" s="110"/>
      <c r="P94" s="110"/>
      <c r="Q94" s="110"/>
      <c r="R94" s="110"/>
      <c r="S94" s="110"/>
      <c r="T94" s="110"/>
      <c r="U94" s="110"/>
      <c r="V94" s="110"/>
      <c r="W94" s="110"/>
      <c r="X94" s="110"/>
      <c r="Y94" s="110"/>
      <c r="Z94" s="110"/>
      <c r="AA94" s="110"/>
      <c r="AB94" s="110"/>
      <c r="AC94" s="110"/>
      <c r="AD94" s="110"/>
    </row>
    <row r="95">
      <c r="A95" s="118" t="s">
        <v>2729</v>
      </c>
      <c r="B95" s="112" t="s">
        <v>4421</v>
      </c>
      <c r="C95" s="112" t="s">
        <v>2737</v>
      </c>
      <c r="D95" s="119" t="s">
        <v>4301</v>
      </c>
      <c r="E95" s="128"/>
      <c r="F95" s="113" t="s">
        <v>643</v>
      </c>
      <c r="G95" s="113" t="s">
        <v>4343</v>
      </c>
      <c r="H95" s="113"/>
      <c r="I95" s="114">
        <v>45939.0</v>
      </c>
      <c r="J95" s="124"/>
      <c r="K95" s="120" t="str">
        <f>IFERROR(__xludf.DUMMYFUNCTION("""COMPUTED_VALUE"""),"")</f>
        <v/>
      </c>
      <c r="L95" s="114">
        <f>IFERROR(__xludf.DUMMYFUNCTION("""COMPUTED_VALUE"""),45932.0)</f>
        <v>45932</v>
      </c>
      <c r="M95" s="116">
        <v>5.0</v>
      </c>
      <c r="N95" s="110"/>
      <c r="O95" s="110"/>
      <c r="P95" s="110"/>
      <c r="Q95" s="110"/>
      <c r="R95" s="110"/>
      <c r="S95" s="110"/>
      <c r="T95" s="110"/>
      <c r="U95" s="110"/>
      <c r="V95" s="110"/>
      <c r="W95" s="110"/>
      <c r="X95" s="110"/>
      <c r="Y95" s="110"/>
      <c r="Z95" s="110"/>
      <c r="AA95" s="110"/>
      <c r="AB95" s="110"/>
      <c r="AC95" s="110"/>
      <c r="AD95" s="110"/>
    </row>
    <row r="96">
      <c r="A96" s="118" t="s">
        <v>2795</v>
      </c>
      <c r="B96" s="112" t="s">
        <v>4422</v>
      </c>
      <c r="C96" s="112" t="s">
        <v>2803</v>
      </c>
      <c r="D96" s="119" t="s">
        <v>4301</v>
      </c>
      <c r="E96" s="128"/>
      <c r="F96" s="113" t="s">
        <v>643</v>
      </c>
      <c r="G96" s="113" t="s">
        <v>4343</v>
      </c>
      <c r="H96" s="113"/>
      <c r="I96" s="114">
        <v>45939.0</v>
      </c>
      <c r="J96" s="124"/>
      <c r="K96" s="120" t="str">
        <f>IFERROR(__xludf.DUMMYFUNCTION("""COMPUTED_VALUE"""),"")</f>
        <v/>
      </c>
      <c r="L96" s="114">
        <f>IFERROR(__xludf.DUMMYFUNCTION("""COMPUTED_VALUE"""),45932.0)</f>
        <v>45932</v>
      </c>
      <c r="M96" s="116">
        <v>5.0</v>
      </c>
      <c r="N96" s="110"/>
      <c r="O96" s="110"/>
      <c r="P96" s="110"/>
      <c r="Q96" s="110"/>
      <c r="R96" s="110"/>
      <c r="S96" s="110"/>
      <c r="T96" s="110"/>
      <c r="U96" s="110"/>
      <c r="V96" s="110"/>
      <c r="W96" s="110"/>
      <c r="X96" s="110"/>
      <c r="Y96" s="110"/>
      <c r="Z96" s="110"/>
      <c r="AA96" s="110"/>
      <c r="AB96" s="110"/>
      <c r="AC96" s="110"/>
      <c r="AD96" s="110"/>
    </row>
    <row r="97">
      <c r="A97" s="118" t="s">
        <v>3666</v>
      </c>
      <c r="B97" s="112" t="s">
        <v>4423</v>
      </c>
      <c r="C97" s="112" t="s">
        <v>3672</v>
      </c>
      <c r="D97" s="119" t="s">
        <v>4301</v>
      </c>
      <c r="E97" s="128">
        <v>45950.0</v>
      </c>
      <c r="F97" s="113" t="s">
        <v>643</v>
      </c>
      <c r="G97" s="113" t="s">
        <v>4343</v>
      </c>
      <c r="H97" s="113"/>
      <c r="I97" s="114">
        <v>45939.0</v>
      </c>
      <c r="J97" s="124"/>
      <c r="K97" s="120" t="str">
        <f>IFERROR(__xludf.DUMMYFUNCTION("""COMPUTED_VALUE"""),"")</f>
        <v/>
      </c>
      <c r="L97" s="114">
        <f>IFERROR(__xludf.DUMMYFUNCTION("""COMPUTED_VALUE"""),45932.0)</f>
        <v>45932</v>
      </c>
      <c r="M97" s="116">
        <v>5.0</v>
      </c>
      <c r="N97" s="110"/>
      <c r="O97" s="110"/>
      <c r="P97" s="110"/>
      <c r="Q97" s="110"/>
      <c r="R97" s="110"/>
      <c r="S97" s="110"/>
      <c r="T97" s="110"/>
      <c r="U97" s="110"/>
      <c r="V97" s="110"/>
      <c r="W97" s="110"/>
      <c r="X97" s="110"/>
      <c r="Y97" s="110"/>
      <c r="Z97" s="110"/>
      <c r="AA97" s="110"/>
      <c r="AB97" s="110"/>
      <c r="AC97" s="110"/>
      <c r="AD97" s="110"/>
    </row>
    <row r="98">
      <c r="A98" s="118" t="s">
        <v>345</v>
      </c>
      <c r="B98" s="112" t="s">
        <v>4424</v>
      </c>
      <c r="C98" s="112" t="s">
        <v>351</v>
      </c>
      <c r="D98" s="119" t="s">
        <v>4301</v>
      </c>
      <c r="E98" s="128">
        <v>45870.0</v>
      </c>
      <c r="F98" s="113" t="s">
        <v>295</v>
      </c>
      <c r="G98" s="113" t="s">
        <v>4343</v>
      </c>
      <c r="H98" s="113" t="s">
        <v>4425</v>
      </c>
      <c r="I98" s="114">
        <v>45940.0</v>
      </c>
      <c r="J98" s="124"/>
      <c r="K98" s="120" t="str">
        <f>IFERROR(__xludf.DUMMYFUNCTION("""COMPUTED_VALUE"""),"")</f>
        <v/>
      </c>
      <c r="L98" s="114">
        <f>IFERROR(__xludf.DUMMYFUNCTION("""COMPUTED_VALUE"""),45933.0)</f>
        <v>45933</v>
      </c>
      <c r="M98" s="116">
        <v>5.0</v>
      </c>
      <c r="N98" s="110"/>
      <c r="O98" s="110"/>
      <c r="P98" s="110"/>
      <c r="Q98" s="110"/>
      <c r="R98" s="110"/>
      <c r="S98" s="110"/>
      <c r="T98" s="110"/>
      <c r="U98" s="110"/>
      <c r="V98" s="110"/>
      <c r="W98" s="110"/>
      <c r="X98" s="110"/>
      <c r="Y98" s="110"/>
      <c r="Z98" s="110"/>
      <c r="AA98" s="110"/>
      <c r="AB98" s="110"/>
      <c r="AC98" s="110"/>
      <c r="AD98" s="110"/>
    </row>
    <row r="99">
      <c r="A99" s="118" t="s">
        <v>3675</v>
      </c>
      <c r="B99" s="112" t="s">
        <v>4426</v>
      </c>
      <c r="C99" s="112" t="s">
        <v>3683</v>
      </c>
      <c r="D99" s="119" t="s">
        <v>4301</v>
      </c>
      <c r="E99" s="128">
        <v>45917.0</v>
      </c>
      <c r="F99" s="113" t="s">
        <v>643</v>
      </c>
      <c r="G99" s="113" t="s">
        <v>4343</v>
      </c>
      <c r="H99" s="113"/>
      <c r="I99" s="114">
        <v>45940.0</v>
      </c>
      <c r="J99" s="124"/>
      <c r="K99" s="120" t="str">
        <f>IFERROR(__xludf.DUMMYFUNCTION("""COMPUTED_VALUE"""),"")</f>
        <v/>
      </c>
      <c r="L99" s="114">
        <f>IFERROR(__xludf.DUMMYFUNCTION("""COMPUTED_VALUE"""),45933.0)</f>
        <v>45933</v>
      </c>
      <c r="M99" s="116">
        <v>5.0</v>
      </c>
      <c r="N99" s="110"/>
      <c r="O99" s="110"/>
      <c r="P99" s="110"/>
      <c r="Q99" s="110"/>
      <c r="R99" s="110"/>
      <c r="S99" s="110"/>
      <c r="T99" s="110"/>
      <c r="U99" s="110"/>
      <c r="V99" s="110"/>
      <c r="W99" s="110"/>
      <c r="X99" s="110"/>
      <c r="Y99" s="110"/>
      <c r="Z99" s="110"/>
      <c r="AA99" s="110"/>
      <c r="AB99" s="110"/>
      <c r="AC99" s="110"/>
      <c r="AD99" s="110"/>
    </row>
    <row r="100">
      <c r="A100" s="118" t="s">
        <v>2652</v>
      </c>
      <c r="B100" s="112" t="s">
        <v>4427</v>
      </c>
      <c r="C100" s="112" t="s">
        <v>2661</v>
      </c>
      <c r="D100" s="119" t="s">
        <v>4301</v>
      </c>
      <c r="E100" s="128"/>
      <c r="F100" s="113" t="s">
        <v>643</v>
      </c>
      <c r="G100" s="113" t="s">
        <v>4343</v>
      </c>
      <c r="H100" s="113"/>
      <c r="I100" s="114">
        <v>45953.0</v>
      </c>
      <c r="J100" s="124"/>
      <c r="K100" s="120" t="str">
        <f>IFERROR(__xludf.DUMMYFUNCTION("""COMPUTED_VALUE"""),"")</f>
        <v/>
      </c>
      <c r="L100" s="114">
        <f>IFERROR(__xludf.DUMMYFUNCTION("""COMPUTED_VALUE"""),45946.0)</f>
        <v>45946</v>
      </c>
      <c r="M100" s="116">
        <v>5.0</v>
      </c>
      <c r="N100" s="110"/>
      <c r="O100" s="110"/>
      <c r="P100" s="110"/>
      <c r="Q100" s="110"/>
      <c r="R100" s="110"/>
      <c r="S100" s="110"/>
      <c r="T100" s="110"/>
      <c r="U100" s="110"/>
      <c r="V100" s="110"/>
      <c r="W100" s="110"/>
      <c r="X100" s="110"/>
      <c r="Y100" s="110"/>
      <c r="Z100" s="110"/>
      <c r="AA100" s="110"/>
      <c r="AB100" s="110"/>
      <c r="AC100" s="110"/>
      <c r="AD100" s="110"/>
    </row>
    <row r="101">
      <c r="A101" s="118" t="s">
        <v>156</v>
      </c>
      <c r="B101" s="112" t="s">
        <v>4428</v>
      </c>
      <c r="C101" s="112" t="s">
        <v>164</v>
      </c>
      <c r="D101" s="119" t="s">
        <v>4301</v>
      </c>
      <c r="E101" s="128">
        <v>45946.0</v>
      </c>
      <c r="F101" s="113" t="s">
        <v>31</v>
      </c>
      <c r="G101" s="113" t="s">
        <v>4343</v>
      </c>
      <c r="H101" s="113"/>
      <c r="I101" s="114">
        <v>45954.0</v>
      </c>
      <c r="J101" s="124">
        <v>1.0</v>
      </c>
      <c r="K101" s="120" t="str">
        <f>IFERROR(__xludf.DUMMYFUNCTION("""COMPUTED_VALUE"""),"")</f>
        <v/>
      </c>
      <c r="L101" s="114">
        <f>IFERROR(__xludf.DUMMYFUNCTION("""COMPUTED_VALUE"""),45947.0)</f>
        <v>45947</v>
      </c>
      <c r="M101" s="116">
        <v>5.0</v>
      </c>
      <c r="N101" s="110"/>
      <c r="O101" s="110"/>
      <c r="P101" s="110"/>
      <c r="Q101" s="110"/>
      <c r="R101" s="110"/>
      <c r="S101" s="110"/>
      <c r="T101" s="110"/>
      <c r="U101" s="110"/>
      <c r="V101" s="110"/>
      <c r="W101" s="110"/>
      <c r="X101" s="110"/>
      <c r="Y101" s="110"/>
      <c r="Z101" s="110"/>
      <c r="AA101" s="110"/>
      <c r="AB101" s="110"/>
      <c r="AC101" s="110"/>
      <c r="AD101" s="110"/>
    </row>
    <row r="102">
      <c r="A102" s="118" t="s">
        <v>674</v>
      </c>
      <c r="B102" s="112" t="s">
        <v>4429</v>
      </c>
      <c r="C102" s="112">
        <v>2.024404128E9</v>
      </c>
      <c r="D102" s="119" t="s">
        <v>4301</v>
      </c>
      <c r="E102" s="128">
        <v>45947.0</v>
      </c>
      <c r="F102" s="113" t="s">
        <v>282</v>
      </c>
      <c r="G102" s="113" t="s">
        <v>4343</v>
      </c>
      <c r="H102" s="113"/>
      <c r="I102" s="114">
        <v>45954.0</v>
      </c>
      <c r="J102" s="124">
        <v>1.0</v>
      </c>
      <c r="K102" s="120" t="str">
        <f>IFERROR(__xludf.DUMMYFUNCTION("""COMPUTED_VALUE"""),"")</f>
        <v/>
      </c>
      <c r="L102" s="114">
        <f>IFERROR(__xludf.DUMMYFUNCTION("""COMPUTED_VALUE"""),45947.0)</f>
        <v>45947</v>
      </c>
      <c r="M102" s="116">
        <v>5.0</v>
      </c>
      <c r="N102" s="110"/>
      <c r="O102" s="110"/>
      <c r="P102" s="110"/>
      <c r="Q102" s="110"/>
      <c r="R102" s="110"/>
      <c r="S102" s="110"/>
      <c r="T102" s="110"/>
      <c r="U102" s="110"/>
      <c r="V102" s="110"/>
      <c r="W102" s="110"/>
      <c r="X102" s="110"/>
      <c r="Y102" s="110"/>
      <c r="Z102" s="110"/>
      <c r="AA102" s="110"/>
      <c r="AB102" s="110"/>
      <c r="AC102" s="110"/>
      <c r="AD102" s="110"/>
    </row>
    <row r="103">
      <c r="A103" s="118" t="s">
        <v>1538</v>
      </c>
      <c r="B103" s="112" t="s">
        <v>4430</v>
      </c>
      <c r="C103" s="112">
        <v>3.479313064E9</v>
      </c>
      <c r="D103" s="119" t="s">
        <v>4301</v>
      </c>
      <c r="E103" s="128"/>
      <c r="F103" s="113" t="s">
        <v>643</v>
      </c>
      <c r="G103" s="113" t="s">
        <v>4343</v>
      </c>
      <c r="H103" s="113" t="s">
        <v>4431</v>
      </c>
      <c r="I103" s="114">
        <v>45960.0</v>
      </c>
      <c r="J103" s="124"/>
      <c r="K103" s="120" t="str">
        <f>IFERROR(__xludf.DUMMYFUNCTION("""COMPUTED_VALUE"""),"")</f>
        <v/>
      </c>
      <c r="L103" s="114">
        <f>IFERROR(__xludf.DUMMYFUNCTION("""COMPUTED_VALUE"""),45953.0)</f>
        <v>45953</v>
      </c>
      <c r="M103" s="116">
        <v>5.0</v>
      </c>
      <c r="N103" s="110"/>
      <c r="O103" s="110"/>
      <c r="P103" s="110"/>
      <c r="Q103" s="110"/>
      <c r="R103" s="110"/>
      <c r="S103" s="110"/>
      <c r="T103" s="110"/>
      <c r="U103" s="110"/>
      <c r="V103" s="110"/>
      <c r="W103" s="110"/>
      <c r="X103" s="110"/>
      <c r="Y103" s="110"/>
      <c r="Z103" s="110"/>
      <c r="AA103" s="110"/>
      <c r="AB103" s="110"/>
      <c r="AC103" s="110"/>
      <c r="AD103" s="110"/>
    </row>
    <row r="104">
      <c r="A104" s="118" t="s">
        <v>1793</v>
      </c>
      <c r="B104" s="112" t="s">
        <v>4432</v>
      </c>
      <c r="C104" s="112" t="s">
        <v>1800</v>
      </c>
      <c r="D104" s="119" t="s">
        <v>4301</v>
      </c>
      <c r="E104" s="128"/>
      <c r="F104" s="113" t="s">
        <v>327</v>
      </c>
      <c r="G104" s="113" t="s">
        <v>4343</v>
      </c>
      <c r="H104" s="113" t="s">
        <v>4433</v>
      </c>
      <c r="I104" s="114">
        <v>45960.0</v>
      </c>
      <c r="J104" s="124"/>
      <c r="K104" s="120" t="str">
        <f>IFERROR(__xludf.DUMMYFUNCTION("""COMPUTED_VALUE"""),"")</f>
        <v/>
      </c>
      <c r="L104" s="114">
        <f>IFERROR(__xludf.DUMMYFUNCTION("""COMPUTED_VALUE"""),45953.0)</f>
        <v>45953</v>
      </c>
      <c r="M104" s="116">
        <v>5.0</v>
      </c>
      <c r="N104" s="110"/>
      <c r="O104" s="110"/>
      <c r="P104" s="110"/>
      <c r="Q104" s="110"/>
      <c r="R104" s="110"/>
      <c r="S104" s="110"/>
      <c r="T104" s="110"/>
      <c r="U104" s="110"/>
      <c r="V104" s="110"/>
      <c r="W104" s="110"/>
      <c r="X104" s="110"/>
      <c r="Y104" s="110"/>
      <c r="Z104" s="110"/>
      <c r="AA104" s="110"/>
      <c r="AB104" s="110"/>
      <c r="AC104" s="110"/>
      <c r="AD104" s="110"/>
    </row>
    <row r="105">
      <c r="A105" s="118" t="s">
        <v>1972</v>
      </c>
      <c r="B105" s="112" t="s">
        <v>4434</v>
      </c>
      <c r="C105" s="112">
        <v>2.402344711E9</v>
      </c>
      <c r="D105" s="119" t="s">
        <v>4301</v>
      </c>
      <c r="E105" s="128"/>
      <c r="F105" s="113" t="s">
        <v>643</v>
      </c>
      <c r="G105" s="113" t="s">
        <v>4343</v>
      </c>
      <c r="H105" s="113" t="s">
        <v>4435</v>
      </c>
      <c r="I105" s="114">
        <v>45960.0</v>
      </c>
      <c r="J105" s="124"/>
      <c r="K105" s="120" t="str">
        <f>IFERROR(__xludf.DUMMYFUNCTION("""COMPUTED_VALUE"""),"")</f>
        <v/>
      </c>
      <c r="L105" s="114">
        <f>IFERROR(__xludf.DUMMYFUNCTION("""COMPUTED_VALUE"""),45953.0)</f>
        <v>45953</v>
      </c>
      <c r="M105" s="116">
        <v>5.0</v>
      </c>
      <c r="N105" s="110"/>
      <c r="O105" s="110"/>
      <c r="P105" s="110"/>
      <c r="Q105" s="110"/>
      <c r="R105" s="110"/>
      <c r="S105" s="110"/>
      <c r="T105" s="110"/>
      <c r="U105" s="110"/>
      <c r="V105" s="110"/>
      <c r="W105" s="110"/>
      <c r="X105" s="110"/>
      <c r="Y105" s="110"/>
      <c r="Z105" s="110"/>
      <c r="AA105" s="110"/>
      <c r="AB105" s="110"/>
      <c r="AC105" s="110"/>
      <c r="AD105" s="110"/>
    </row>
    <row r="106">
      <c r="A106" s="118" t="s">
        <v>2043</v>
      </c>
      <c r="B106" s="112" t="s">
        <v>4436</v>
      </c>
      <c r="C106" s="112">
        <v>2.026962154E9</v>
      </c>
      <c r="D106" s="119" t="s">
        <v>4301</v>
      </c>
      <c r="E106" s="128"/>
      <c r="F106" s="113" t="s">
        <v>327</v>
      </c>
      <c r="G106" s="113" t="s">
        <v>4343</v>
      </c>
      <c r="H106" s="113" t="s">
        <v>4437</v>
      </c>
      <c r="I106" s="114">
        <v>45960.0</v>
      </c>
      <c r="J106" s="124"/>
      <c r="K106" s="120" t="str">
        <f>IFERROR(__xludf.DUMMYFUNCTION("""COMPUTED_VALUE"""),"")</f>
        <v/>
      </c>
      <c r="L106" s="114">
        <f>IFERROR(__xludf.DUMMYFUNCTION("""COMPUTED_VALUE"""),45953.0)</f>
        <v>45953</v>
      </c>
      <c r="M106" s="116">
        <v>5.0</v>
      </c>
      <c r="N106" s="110"/>
      <c r="O106" s="110"/>
      <c r="P106" s="110"/>
      <c r="Q106" s="110"/>
      <c r="R106" s="110"/>
      <c r="S106" s="110"/>
      <c r="T106" s="110"/>
      <c r="U106" s="110"/>
      <c r="V106" s="110"/>
      <c r="W106" s="110"/>
      <c r="X106" s="110"/>
      <c r="Y106" s="110"/>
      <c r="Z106" s="110"/>
      <c r="AA106" s="110"/>
      <c r="AB106" s="110"/>
      <c r="AC106" s="110"/>
      <c r="AD106" s="110"/>
    </row>
    <row r="107">
      <c r="A107" s="118" t="s">
        <v>3118</v>
      </c>
      <c r="B107" s="112" t="s">
        <v>4438</v>
      </c>
      <c r="C107" s="112" t="s">
        <v>3123</v>
      </c>
      <c r="D107" s="119" t="s">
        <v>4301</v>
      </c>
      <c r="E107" s="128">
        <v>45925.0</v>
      </c>
      <c r="F107" s="113" t="s">
        <v>31</v>
      </c>
      <c r="G107" s="113" t="s">
        <v>4343</v>
      </c>
      <c r="H107" s="113"/>
      <c r="I107" s="114">
        <v>45960.0</v>
      </c>
      <c r="J107" s="124"/>
      <c r="K107" s="120" t="str">
        <f>IFERROR(__xludf.DUMMYFUNCTION("""COMPUTED_VALUE"""),"")</f>
        <v/>
      </c>
      <c r="L107" s="114">
        <f>IFERROR(__xludf.DUMMYFUNCTION("""COMPUTED_VALUE"""),45953.0)</f>
        <v>45953</v>
      </c>
      <c r="M107" s="116">
        <v>5.0</v>
      </c>
      <c r="N107" s="110"/>
      <c r="O107" s="110"/>
      <c r="P107" s="110"/>
      <c r="Q107" s="110"/>
      <c r="R107" s="110"/>
      <c r="S107" s="110"/>
      <c r="T107" s="110"/>
      <c r="U107" s="110"/>
      <c r="V107" s="110"/>
      <c r="W107" s="110"/>
      <c r="X107" s="110"/>
      <c r="Y107" s="110"/>
      <c r="Z107" s="110"/>
      <c r="AA107" s="110"/>
      <c r="AB107" s="110"/>
      <c r="AC107" s="110"/>
      <c r="AD107" s="110"/>
    </row>
    <row r="108">
      <c r="A108" s="118" t="s">
        <v>1162</v>
      </c>
      <c r="B108" s="112" t="s">
        <v>4439</v>
      </c>
      <c r="C108" s="112">
        <v>2.026784171E9</v>
      </c>
      <c r="D108" s="119" t="s">
        <v>4301</v>
      </c>
      <c r="E108" s="128">
        <v>45925.0</v>
      </c>
      <c r="F108" s="113" t="s">
        <v>31</v>
      </c>
      <c r="G108" s="113" t="s">
        <v>4343</v>
      </c>
      <c r="H108" s="113"/>
      <c r="I108" s="114">
        <v>45961.0</v>
      </c>
      <c r="J108" s="124"/>
      <c r="K108" s="120" t="str">
        <f>IFERROR(__xludf.DUMMYFUNCTION("""COMPUTED_VALUE"""),"")</f>
        <v/>
      </c>
      <c r="L108" s="114">
        <f>IFERROR(__xludf.DUMMYFUNCTION("""COMPUTED_VALUE"""),45954.0)</f>
        <v>45954</v>
      </c>
      <c r="M108" s="116">
        <v>5.0</v>
      </c>
      <c r="N108" s="110"/>
      <c r="O108" s="110"/>
      <c r="P108" s="110"/>
      <c r="Q108" s="110"/>
      <c r="R108" s="110"/>
      <c r="S108" s="110"/>
      <c r="T108" s="110"/>
      <c r="U108" s="110"/>
      <c r="V108" s="110"/>
      <c r="W108" s="110"/>
      <c r="X108" s="110"/>
      <c r="Y108" s="110"/>
      <c r="Z108" s="110"/>
      <c r="AA108" s="110"/>
      <c r="AB108" s="110"/>
      <c r="AC108" s="110"/>
      <c r="AD108" s="110"/>
    </row>
    <row r="109">
      <c r="A109" s="118" t="s">
        <v>2453</v>
      </c>
      <c r="B109" s="112" t="s">
        <v>4440</v>
      </c>
      <c r="C109" s="112" t="s">
        <v>2461</v>
      </c>
      <c r="D109" s="119" t="s">
        <v>4301</v>
      </c>
      <c r="E109" s="128"/>
      <c r="F109" s="113" t="s">
        <v>643</v>
      </c>
      <c r="G109" s="113" t="s">
        <v>4343</v>
      </c>
      <c r="H109" s="113"/>
      <c r="I109" s="114">
        <v>45961.0</v>
      </c>
      <c r="J109" s="124"/>
      <c r="K109" s="120" t="str">
        <f>IFERROR(__xludf.DUMMYFUNCTION("""COMPUTED_VALUE"""),"")</f>
        <v/>
      </c>
      <c r="L109" s="114">
        <f>IFERROR(__xludf.DUMMYFUNCTION("""COMPUTED_VALUE"""),45954.0)</f>
        <v>45954</v>
      </c>
      <c r="M109" s="116">
        <v>5.0</v>
      </c>
      <c r="N109" s="110"/>
      <c r="O109" s="110"/>
      <c r="P109" s="110"/>
      <c r="Q109" s="110"/>
      <c r="R109" s="110"/>
      <c r="S109" s="110"/>
      <c r="T109" s="110"/>
      <c r="U109" s="110"/>
      <c r="V109" s="110"/>
      <c r="W109" s="110"/>
      <c r="X109" s="110"/>
      <c r="Y109" s="110"/>
      <c r="Z109" s="110"/>
      <c r="AA109" s="110"/>
      <c r="AB109" s="110"/>
      <c r="AC109" s="110"/>
      <c r="AD109" s="110"/>
    </row>
    <row r="110">
      <c r="A110" s="118" t="s">
        <v>3385</v>
      </c>
      <c r="B110" s="112" t="s">
        <v>4441</v>
      </c>
      <c r="C110" s="112" t="s">
        <v>3389</v>
      </c>
      <c r="D110" s="119" t="s">
        <v>4301</v>
      </c>
      <c r="E110" s="128"/>
      <c r="F110" s="113" t="s">
        <v>643</v>
      </c>
      <c r="G110" s="113" t="s">
        <v>4343</v>
      </c>
      <c r="H110" s="113"/>
      <c r="I110" s="114">
        <v>45961.0</v>
      </c>
      <c r="J110" s="124"/>
      <c r="K110" s="120" t="str">
        <f>IFERROR(__xludf.DUMMYFUNCTION("""COMPUTED_VALUE"""),"")</f>
        <v/>
      </c>
      <c r="L110" s="114">
        <f>IFERROR(__xludf.DUMMYFUNCTION("""COMPUTED_VALUE"""),45954.0)</f>
        <v>45954</v>
      </c>
      <c r="M110" s="116">
        <v>5.0</v>
      </c>
      <c r="N110" s="110"/>
      <c r="O110" s="110"/>
      <c r="P110" s="110"/>
      <c r="Q110" s="110"/>
      <c r="R110" s="110"/>
      <c r="S110" s="110"/>
      <c r="T110" s="110"/>
      <c r="U110" s="110"/>
      <c r="V110" s="110"/>
      <c r="W110" s="110"/>
      <c r="X110" s="110"/>
      <c r="Y110" s="110"/>
      <c r="Z110" s="110"/>
      <c r="AA110" s="110"/>
      <c r="AB110" s="110"/>
      <c r="AC110" s="110"/>
      <c r="AD110" s="110"/>
    </row>
    <row r="111">
      <c r="A111" s="118" t="s">
        <v>3727</v>
      </c>
      <c r="B111" s="112" t="s">
        <v>4442</v>
      </c>
      <c r="C111" s="112" t="s">
        <v>3733</v>
      </c>
      <c r="D111" s="119" t="s">
        <v>4301</v>
      </c>
      <c r="E111" s="128">
        <v>45959.0</v>
      </c>
      <c r="F111" s="113" t="s">
        <v>643</v>
      </c>
      <c r="G111" s="113" t="s">
        <v>4343</v>
      </c>
      <c r="H111" s="113"/>
      <c r="I111" s="114">
        <v>45961.0</v>
      </c>
      <c r="J111" s="124"/>
      <c r="K111" s="120" t="str">
        <f>IFERROR(__xludf.DUMMYFUNCTION("""COMPUTED_VALUE"""),"")</f>
        <v/>
      </c>
      <c r="L111" s="114">
        <f>IFERROR(__xludf.DUMMYFUNCTION("""COMPUTED_VALUE"""),45954.0)</f>
        <v>45954</v>
      </c>
      <c r="M111" s="116">
        <v>5.0</v>
      </c>
      <c r="N111" s="110"/>
      <c r="O111" s="110"/>
      <c r="P111" s="110"/>
      <c r="Q111" s="110"/>
      <c r="R111" s="110"/>
      <c r="S111" s="110"/>
      <c r="T111" s="110"/>
      <c r="U111" s="110"/>
      <c r="V111" s="110"/>
      <c r="W111" s="110"/>
      <c r="X111" s="110"/>
      <c r="Y111" s="110"/>
      <c r="Z111" s="110"/>
      <c r="AA111" s="110"/>
      <c r="AB111" s="110"/>
      <c r="AC111" s="110"/>
      <c r="AD111" s="110"/>
    </row>
    <row r="112">
      <c r="A112" s="118" t="s">
        <v>3851</v>
      </c>
      <c r="B112" s="112" t="s">
        <v>4443</v>
      </c>
      <c r="C112" s="112" t="s">
        <v>3856</v>
      </c>
      <c r="D112" s="119" t="s">
        <v>4301</v>
      </c>
      <c r="E112" s="128">
        <v>45985.0</v>
      </c>
      <c r="F112" s="113" t="s">
        <v>31</v>
      </c>
      <c r="G112" s="113" t="s">
        <v>4343</v>
      </c>
      <c r="H112" s="113" t="s">
        <v>4444</v>
      </c>
      <c r="I112" s="114">
        <v>45961.0</v>
      </c>
      <c r="J112" s="124"/>
      <c r="K112" s="120" t="str">
        <f>IFERROR(__xludf.DUMMYFUNCTION("""COMPUTED_VALUE"""),"")</f>
        <v/>
      </c>
      <c r="L112" s="114">
        <f>IFERROR(__xludf.DUMMYFUNCTION("""COMPUTED_VALUE"""),45954.0)</f>
        <v>45954</v>
      </c>
      <c r="M112" s="116">
        <v>5.0</v>
      </c>
      <c r="N112" s="110"/>
      <c r="O112" s="110"/>
      <c r="P112" s="110"/>
      <c r="Q112" s="110"/>
      <c r="R112" s="110"/>
      <c r="S112" s="110"/>
      <c r="T112" s="110"/>
      <c r="U112" s="110"/>
      <c r="V112" s="110"/>
      <c r="W112" s="110"/>
      <c r="X112" s="110"/>
      <c r="Y112" s="110"/>
      <c r="Z112" s="110"/>
      <c r="AA112" s="110"/>
      <c r="AB112" s="110"/>
      <c r="AC112" s="110"/>
      <c r="AD112" s="110"/>
    </row>
    <row r="113">
      <c r="A113" s="118" t="s">
        <v>3859</v>
      </c>
      <c r="B113" s="112" t="s">
        <v>4445</v>
      </c>
      <c r="C113" s="112" t="s">
        <v>3863</v>
      </c>
      <c r="D113" s="119" t="s">
        <v>4301</v>
      </c>
      <c r="E113" s="128">
        <v>45917.0</v>
      </c>
      <c r="F113" s="113" t="s">
        <v>643</v>
      </c>
      <c r="G113" s="113" t="s">
        <v>4343</v>
      </c>
      <c r="H113" s="113"/>
      <c r="I113" s="114">
        <v>45961.0</v>
      </c>
      <c r="J113" s="124"/>
      <c r="K113" s="120" t="str">
        <f>IFERROR(__xludf.DUMMYFUNCTION("""COMPUTED_VALUE"""),"")</f>
        <v/>
      </c>
      <c r="L113" s="114">
        <f>IFERROR(__xludf.DUMMYFUNCTION("""COMPUTED_VALUE"""),45954.0)</f>
        <v>45954</v>
      </c>
      <c r="M113" s="116">
        <v>5.0</v>
      </c>
      <c r="N113" s="110"/>
      <c r="O113" s="110"/>
      <c r="P113" s="110"/>
      <c r="Q113" s="110"/>
      <c r="R113" s="110"/>
      <c r="S113" s="110"/>
      <c r="T113" s="110"/>
      <c r="U113" s="110"/>
      <c r="V113" s="110"/>
      <c r="W113" s="110"/>
      <c r="X113" s="110"/>
      <c r="Y113" s="110"/>
      <c r="Z113" s="110"/>
      <c r="AA113" s="110"/>
      <c r="AB113" s="110"/>
      <c r="AC113" s="110"/>
      <c r="AD113" s="110"/>
    </row>
    <row r="114">
      <c r="A114" s="118" t="s">
        <v>1508</v>
      </c>
      <c r="B114" s="112" t="s">
        <v>4446</v>
      </c>
      <c r="C114" s="112">
        <v>5.309198481E9</v>
      </c>
      <c r="D114" s="119" t="s">
        <v>4301</v>
      </c>
      <c r="E114" s="128"/>
      <c r="F114" s="113" t="s">
        <v>327</v>
      </c>
      <c r="G114" s="113" t="s">
        <v>4343</v>
      </c>
      <c r="H114" s="113"/>
      <c r="I114" s="114">
        <v>45967.0</v>
      </c>
      <c r="J114" s="124"/>
      <c r="K114" s="120" t="str">
        <f>IFERROR(__xludf.DUMMYFUNCTION("""COMPUTED_VALUE"""),"")</f>
        <v/>
      </c>
      <c r="L114" s="114">
        <f>IFERROR(__xludf.DUMMYFUNCTION("""COMPUTED_VALUE"""),45960.0)</f>
        <v>45960</v>
      </c>
      <c r="M114" s="116">
        <v>5.0</v>
      </c>
      <c r="N114" s="110"/>
      <c r="O114" s="110"/>
      <c r="P114" s="110"/>
      <c r="Q114" s="110"/>
      <c r="R114" s="110"/>
      <c r="S114" s="110"/>
      <c r="T114" s="110"/>
      <c r="U114" s="110"/>
      <c r="V114" s="110"/>
      <c r="W114" s="110"/>
      <c r="X114" s="110"/>
      <c r="Y114" s="110"/>
      <c r="Z114" s="110"/>
      <c r="AA114" s="110"/>
      <c r="AB114" s="110"/>
      <c r="AC114" s="110"/>
      <c r="AD114" s="110"/>
    </row>
    <row r="115">
      <c r="A115" s="118" t="s">
        <v>1714</v>
      </c>
      <c r="B115" s="112" t="s">
        <v>4447</v>
      </c>
      <c r="C115" s="112">
        <v>2.023003719E9</v>
      </c>
      <c r="D115" s="119" t="s">
        <v>4301</v>
      </c>
      <c r="E115" s="128"/>
      <c r="F115" s="113" t="s">
        <v>643</v>
      </c>
      <c r="G115" s="113" t="s">
        <v>4343</v>
      </c>
      <c r="H115" s="113" t="s">
        <v>4448</v>
      </c>
      <c r="I115" s="114">
        <v>45967.0</v>
      </c>
      <c r="J115" s="124"/>
      <c r="K115" s="120" t="str">
        <f>IFERROR(__xludf.DUMMYFUNCTION("""COMPUTED_VALUE"""),"")</f>
        <v/>
      </c>
      <c r="L115" s="114">
        <f>IFERROR(__xludf.DUMMYFUNCTION("""COMPUTED_VALUE"""),45960.0)</f>
        <v>45960</v>
      </c>
      <c r="M115" s="116">
        <v>5.0</v>
      </c>
      <c r="N115" s="110"/>
      <c r="O115" s="110"/>
      <c r="P115" s="110"/>
      <c r="Q115" s="110"/>
      <c r="R115" s="110"/>
      <c r="S115" s="110"/>
      <c r="T115" s="110"/>
      <c r="U115" s="110"/>
      <c r="V115" s="110"/>
      <c r="W115" s="110"/>
      <c r="X115" s="110"/>
      <c r="Y115" s="110"/>
      <c r="Z115" s="110"/>
      <c r="AA115" s="110"/>
      <c r="AB115" s="110"/>
      <c r="AC115" s="110"/>
      <c r="AD115" s="110"/>
    </row>
    <row r="116">
      <c r="A116" s="118" t="s">
        <v>1836</v>
      </c>
      <c r="B116" s="112" t="s">
        <v>4449</v>
      </c>
      <c r="C116" s="112" t="s">
        <v>1845</v>
      </c>
      <c r="D116" s="119" t="s">
        <v>4301</v>
      </c>
      <c r="E116" s="128"/>
      <c r="F116" s="113" t="s">
        <v>327</v>
      </c>
      <c r="G116" s="113" t="s">
        <v>4343</v>
      </c>
      <c r="H116" s="113"/>
      <c r="I116" s="114">
        <v>45967.0</v>
      </c>
      <c r="J116" s="124"/>
      <c r="K116" s="120" t="str">
        <f>IFERROR(__xludf.DUMMYFUNCTION("""COMPUTED_VALUE"""),"")</f>
        <v/>
      </c>
      <c r="L116" s="114">
        <f>IFERROR(__xludf.DUMMYFUNCTION("""COMPUTED_VALUE"""),45960.0)</f>
        <v>45960</v>
      </c>
      <c r="M116" s="116">
        <v>5.0</v>
      </c>
      <c r="N116" s="110"/>
      <c r="O116" s="110"/>
      <c r="P116" s="110"/>
      <c r="Q116" s="110"/>
      <c r="R116" s="110"/>
      <c r="S116" s="110"/>
      <c r="T116" s="110"/>
      <c r="U116" s="110"/>
      <c r="V116" s="110"/>
      <c r="W116" s="110"/>
      <c r="X116" s="110"/>
      <c r="Y116" s="110"/>
      <c r="Z116" s="110"/>
      <c r="AA116" s="110"/>
      <c r="AB116" s="110"/>
      <c r="AC116" s="110"/>
      <c r="AD116" s="110"/>
    </row>
    <row r="117">
      <c r="A117" s="118" t="s">
        <v>3782</v>
      </c>
      <c r="B117" s="112" t="s">
        <v>4450</v>
      </c>
      <c r="C117" s="112" t="s">
        <v>3788</v>
      </c>
      <c r="D117" s="119" t="s">
        <v>4301</v>
      </c>
      <c r="E117" s="128">
        <v>45946.0</v>
      </c>
      <c r="F117" s="113" t="s">
        <v>31</v>
      </c>
      <c r="G117" s="113" t="s">
        <v>4343</v>
      </c>
      <c r="H117" s="113"/>
      <c r="I117" s="114">
        <v>45967.0</v>
      </c>
      <c r="J117" s="124"/>
      <c r="K117" s="120" t="str">
        <f>IFERROR(__xludf.DUMMYFUNCTION("""COMPUTED_VALUE"""),"")</f>
        <v/>
      </c>
      <c r="L117" s="114">
        <f>IFERROR(__xludf.DUMMYFUNCTION("""COMPUTED_VALUE"""),45960.0)</f>
        <v>45960</v>
      </c>
      <c r="M117" s="116">
        <v>5.0</v>
      </c>
      <c r="N117" s="110"/>
      <c r="O117" s="110"/>
      <c r="P117" s="110"/>
      <c r="Q117" s="110"/>
      <c r="R117" s="110"/>
      <c r="S117" s="110"/>
      <c r="T117" s="110"/>
      <c r="U117" s="110"/>
      <c r="V117" s="110"/>
      <c r="W117" s="110"/>
      <c r="X117" s="110"/>
      <c r="Y117" s="110"/>
      <c r="Z117" s="110"/>
      <c r="AA117" s="110"/>
      <c r="AB117" s="110"/>
      <c r="AC117" s="110"/>
      <c r="AD117" s="110"/>
    </row>
    <row r="118">
      <c r="A118" s="118" t="s">
        <v>667</v>
      </c>
      <c r="B118" s="112" t="s">
        <v>4451</v>
      </c>
      <c r="C118" s="112">
        <v>2.024559563E9</v>
      </c>
      <c r="D118" s="119" t="s">
        <v>4301</v>
      </c>
      <c r="E118" s="128">
        <v>45947.0</v>
      </c>
      <c r="F118" s="113" t="s">
        <v>282</v>
      </c>
      <c r="G118" s="113" t="s">
        <v>4343</v>
      </c>
      <c r="H118" s="113"/>
      <c r="I118" s="114">
        <v>45968.0</v>
      </c>
      <c r="J118" s="124">
        <v>2.0</v>
      </c>
      <c r="K118" s="120" t="str">
        <f>IFERROR(__xludf.DUMMYFUNCTION("""COMPUTED_VALUE"""),"")</f>
        <v/>
      </c>
      <c r="L118" s="114">
        <f>IFERROR(__xludf.DUMMYFUNCTION("""COMPUTED_VALUE"""),45961.0)</f>
        <v>45961</v>
      </c>
      <c r="M118" s="116">
        <v>5.0</v>
      </c>
      <c r="N118" s="110"/>
      <c r="O118" s="110"/>
      <c r="P118" s="110"/>
      <c r="Q118" s="110"/>
      <c r="R118" s="110"/>
      <c r="S118" s="110"/>
      <c r="T118" s="110"/>
      <c r="U118" s="110"/>
      <c r="V118" s="110"/>
      <c r="W118" s="110"/>
      <c r="X118" s="110"/>
      <c r="Y118" s="110"/>
      <c r="Z118" s="110"/>
      <c r="AA118" s="110"/>
      <c r="AB118" s="110"/>
      <c r="AC118" s="110"/>
      <c r="AD118" s="110"/>
    </row>
    <row r="119">
      <c r="A119" s="118" t="s">
        <v>101</v>
      </c>
      <c r="B119" s="112" t="s">
        <v>4452</v>
      </c>
      <c r="C119" s="112">
        <v>3.01256507E9</v>
      </c>
      <c r="D119" s="119" t="s">
        <v>4301</v>
      </c>
      <c r="E119" s="128">
        <v>45918.0</v>
      </c>
      <c r="F119" s="113" t="s">
        <v>31</v>
      </c>
      <c r="G119" s="113" t="s">
        <v>4302</v>
      </c>
      <c r="H119" s="113"/>
      <c r="I119" s="114">
        <v>45968.0</v>
      </c>
      <c r="J119" s="124"/>
      <c r="K119" s="120" t="str">
        <f>IFERROR(__xludf.DUMMYFUNCTION("""COMPUTED_VALUE"""),"")</f>
        <v/>
      </c>
      <c r="L119" s="114">
        <f>IFERROR(__xludf.DUMMYFUNCTION("""COMPUTED_VALUE"""),45961.0)</f>
        <v>45961</v>
      </c>
      <c r="M119" s="116">
        <v>5.0</v>
      </c>
      <c r="N119" s="110"/>
      <c r="O119" s="110"/>
      <c r="P119" s="110"/>
      <c r="Q119" s="110"/>
      <c r="R119" s="110"/>
      <c r="S119" s="110"/>
      <c r="T119" s="110"/>
      <c r="U119" s="110"/>
      <c r="V119" s="110"/>
      <c r="W119" s="110"/>
      <c r="X119" s="110"/>
      <c r="Y119" s="110"/>
      <c r="Z119" s="110"/>
      <c r="AA119" s="110"/>
      <c r="AB119" s="110"/>
      <c r="AC119" s="110"/>
      <c r="AD119" s="110"/>
    </row>
    <row r="120">
      <c r="A120" s="118" t="s">
        <v>363</v>
      </c>
      <c r="B120" s="112" t="s">
        <v>4453</v>
      </c>
      <c r="C120" s="112" t="s">
        <v>371</v>
      </c>
      <c r="D120" s="119" t="s">
        <v>4301</v>
      </c>
      <c r="E120" s="128">
        <v>45901.0</v>
      </c>
      <c r="F120" s="113" t="s">
        <v>31</v>
      </c>
      <c r="G120" s="113" t="s">
        <v>4343</v>
      </c>
      <c r="H120" s="113"/>
      <c r="I120" s="114">
        <v>45968.0</v>
      </c>
      <c r="J120" s="124"/>
      <c r="K120" s="120" t="str">
        <f>IFERROR(__xludf.DUMMYFUNCTION("""COMPUTED_VALUE"""),"")</f>
        <v/>
      </c>
      <c r="L120" s="114">
        <f>IFERROR(__xludf.DUMMYFUNCTION("""COMPUTED_VALUE"""),45961.0)</f>
        <v>45961</v>
      </c>
      <c r="M120" s="116">
        <v>5.0</v>
      </c>
      <c r="N120" s="110"/>
      <c r="O120" s="110"/>
      <c r="P120" s="110"/>
      <c r="Q120" s="110"/>
      <c r="R120" s="110"/>
      <c r="S120" s="110"/>
      <c r="T120" s="110"/>
      <c r="U120" s="110"/>
      <c r="V120" s="110"/>
      <c r="W120" s="110"/>
      <c r="X120" s="110"/>
      <c r="Y120" s="110"/>
      <c r="Z120" s="110"/>
      <c r="AA120" s="110"/>
      <c r="AB120" s="110"/>
      <c r="AC120" s="110"/>
      <c r="AD120" s="110"/>
    </row>
    <row r="121">
      <c r="A121" s="118" t="s">
        <v>1402</v>
      </c>
      <c r="B121" s="112" t="s">
        <v>1497</v>
      </c>
      <c r="C121" s="112">
        <v>2.023157659E9</v>
      </c>
      <c r="D121" s="119" t="s">
        <v>4301</v>
      </c>
      <c r="E121" s="128"/>
      <c r="F121" s="113" t="s">
        <v>327</v>
      </c>
      <c r="G121" s="113" t="s">
        <v>4343</v>
      </c>
      <c r="H121" s="113"/>
      <c r="I121" s="114">
        <v>45968.0</v>
      </c>
      <c r="J121" s="124"/>
      <c r="K121" s="120" t="str">
        <f>IFERROR(__xludf.DUMMYFUNCTION("""COMPUTED_VALUE"""),"")</f>
        <v/>
      </c>
      <c r="L121" s="114">
        <f>IFERROR(__xludf.DUMMYFUNCTION("""COMPUTED_VALUE"""),45961.0)</f>
        <v>45961</v>
      </c>
      <c r="M121" s="116">
        <v>5.0</v>
      </c>
      <c r="N121" s="110"/>
      <c r="O121" s="110"/>
      <c r="P121" s="110"/>
      <c r="Q121" s="110"/>
      <c r="R121" s="110"/>
      <c r="S121" s="110"/>
      <c r="T121" s="110"/>
      <c r="U121" s="110"/>
      <c r="V121" s="110"/>
      <c r="W121" s="110"/>
      <c r="X121" s="110"/>
      <c r="Y121" s="110"/>
      <c r="Z121" s="110"/>
      <c r="AA121" s="110"/>
      <c r="AB121" s="110"/>
      <c r="AC121" s="110"/>
      <c r="AD121" s="110"/>
    </row>
    <row r="122">
      <c r="A122" s="118" t="s">
        <v>1402</v>
      </c>
      <c r="B122" s="112" t="s">
        <v>4454</v>
      </c>
      <c r="C122" s="112">
        <v>2.023157659E9</v>
      </c>
      <c r="D122" s="119" t="s">
        <v>4301</v>
      </c>
      <c r="E122" s="128"/>
      <c r="F122" s="113" t="s">
        <v>327</v>
      </c>
      <c r="G122" s="113" t="s">
        <v>4343</v>
      </c>
      <c r="H122" s="113"/>
      <c r="I122" s="114">
        <v>45968.0</v>
      </c>
      <c r="J122" s="124"/>
      <c r="K122" s="120" t="str">
        <f>IFERROR(__xludf.DUMMYFUNCTION("""COMPUTED_VALUE"""),"")</f>
        <v/>
      </c>
      <c r="L122" s="114">
        <f>IFERROR(__xludf.DUMMYFUNCTION("""COMPUTED_VALUE"""),45961.0)</f>
        <v>45961</v>
      </c>
      <c r="M122" s="116">
        <v>5.0</v>
      </c>
      <c r="N122" s="110"/>
      <c r="O122" s="110"/>
      <c r="P122" s="110"/>
      <c r="Q122" s="110"/>
      <c r="R122" s="110"/>
      <c r="S122" s="110"/>
      <c r="T122" s="110"/>
      <c r="U122" s="110"/>
      <c r="V122" s="110"/>
      <c r="W122" s="110"/>
      <c r="X122" s="110"/>
      <c r="Y122" s="110"/>
      <c r="Z122" s="110"/>
      <c r="AA122" s="110"/>
      <c r="AB122" s="110"/>
      <c r="AC122" s="110"/>
      <c r="AD122" s="110"/>
    </row>
    <row r="123">
      <c r="A123" s="118" t="s">
        <v>1867</v>
      </c>
      <c r="B123" s="112" t="s">
        <v>4455</v>
      </c>
      <c r="C123" s="112" t="s">
        <v>1875</v>
      </c>
      <c r="D123" s="119" t="s">
        <v>4301</v>
      </c>
      <c r="E123" s="128"/>
      <c r="F123" s="113" t="s">
        <v>31</v>
      </c>
      <c r="G123" s="113" t="s">
        <v>4343</v>
      </c>
      <c r="H123" s="113"/>
      <c r="I123" s="114">
        <v>45968.0</v>
      </c>
      <c r="J123" s="124"/>
      <c r="K123" s="120" t="str">
        <f>IFERROR(__xludf.DUMMYFUNCTION("""COMPUTED_VALUE"""),"")</f>
        <v/>
      </c>
      <c r="L123" s="114">
        <f>IFERROR(__xludf.DUMMYFUNCTION("""COMPUTED_VALUE"""),45961.0)</f>
        <v>45961</v>
      </c>
      <c r="M123" s="116">
        <v>5.0</v>
      </c>
      <c r="N123" s="110"/>
      <c r="O123" s="110"/>
      <c r="P123" s="110"/>
      <c r="Q123" s="110"/>
      <c r="R123" s="110"/>
      <c r="S123" s="110"/>
      <c r="T123" s="110"/>
      <c r="U123" s="110"/>
      <c r="V123" s="110"/>
      <c r="W123" s="110"/>
      <c r="X123" s="110"/>
      <c r="Y123" s="110"/>
      <c r="Z123" s="110"/>
      <c r="AA123" s="110"/>
      <c r="AB123" s="110"/>
      <c r="AC123" s="110"/>
      <c r="AD123" s="110"/>
    </row>
    <row r="124">
      <c r="A124" s="118" t="s">
        <v>2408</v>
      </c>
      <c r="B124" s="112" t="s">
        <v>4456</v>
      </c>
      <c r="C124" s="112" t="s">
        <v>2418</v>
      </c>
      <c r="D124" s="119" t="s">
        <v>4301</v>
      </c>
      <c r="E124" s="128"/>
      <c r="F124" s="113" t="s">
        <v>643</v>
      </c>
      <c r="G124" s="113" t="s">
        <v>4343</v>
      </c>
      <c r="H124" s="113"/>
      <c r="I124" s="114">
        <v>45968.0</v>
      </c>
      <c r="J124" s="124"/>
      <c r="K124" s="120" t="str">
        <f>IFERROR(__xludf.DUMMYFUNCTION("""COMPUTED_VALUE"""),"")</f>
        <v/>
      </c>
      <c r="L124" s="114">
        <f>IFERROR(__xludf.DUMMYFUNCTION("""COMPUTED_VALUE"""),45961.0)</f>
        <v>45961</v>
      </c>
      <c r="M124" s="116">
        <v>5.0</v>
      </c>
      <c r="N124" s="110"/>
      <c r="O124" s="110"/>
      <c r="P124" s="110"/>
      <c r="Q124" s="110"/>
      <c r="R124" s="110"/>
      <c r="S124" s="110"/>
      <c r="T124" s="110"/>
      <c r="U124" s="110"/>
      <c r="V124" s="110"/>
      <c r="W124" s="110"/>
      <c r="X124" s="110"/>
      <c r="Y124" s="110"/>
      <c r="Z124" s="110"/>
      <c r="AA124" s="110"/>
      <c r="AB124" s="110"/>
      <c r="AC124" s="110"/>
      <c r="AD124" s="110"/>
    </row>
    <row r="125">
      <c r="A125" s="118" t="s">
        <v>1867</v>
      </c>
      <c r="B125" s="112" t="s">
        <v>4455</v>
      </c>
      <c r="C125" s="112" t="s">
        <v>1875</v>
      </c>
      <c r="D125" s="119" t="s">
        <v>4301</v>
      </c>
      <c r="E125" s="128"/>
      <c r="F125" s="113" t="s">
        <v>31</v>
      </c>
      <c r="G125" s="113" t="s">
        <v>4343</v>
      </c>
      <c r="H125" s="113"/>
      <c r="I125" s="114">
        <v>45968.0</v>
      </c>
      <c r="J125" s="124"/>
      <c r="K125" s="120" t="str">
        <f>IFERROR(__xludf.DUMMYFUNCTION("""COMPUTED_VALUE"""),"")</f>
        <v/>
      </c>
      <c r="L125" s="114">
        <f>IFERROR(__xludf.DUMMYFUNCTION("""COMPUTED_VALUE"""),45961.0)</f>
        <v>45961</v>
      </c>
      <c r="M125" s="116">
        <v>5.0</v>
      </c>
      <c r="N125" s="110"/>
      <c r="O125" s="110"/>
      <c r="P125" s="110"/>
      <c r="Q125" s="110"/>
      <c r="R125" s="110"/>
      <c r="S125" s="110"/>
      <c r="T125" s="110"/>
      <c r="U125" s="110"/>
      <c r="V125" s="110"/>
      <c r="W125" s="110"/>
      <c r="X125" s="110"/>
      <c r="Y125" s="110"/>
      <c r="Z125" s="110"/>
      <c r="AA125" s="110"/>
      <c r="AB125" s="110"/>
      <c r="AC125" s="110"/>
      <c r="AD125" s="110"/>
    </row>
    <row r="126">
      <c r="A126" s="118" t="s">
        <v>2850</v>
      </c>
      <c r="B126" s="112" t="s">
        <v>4457</v>
      </c>
      <c r="C126" s="112" t="s">
        <v>2856</v>
      </c>
      <c r="D126" s="119" t="s">
        <v>4301</v>
      </c>
      <c r="E126" s="128"/>
      <c r="F126" s="113" t="s">
        <v>643</v>
      </c>
      <c r="G126" s="113" t="s">
        <v>4343</v>
      </c>
      <c r="H126" s="113"/>
      <c r="I126" s="114">
        <v>45968.0</v>
      </c>
      <c r="J126" s="124"/>
      <c r="K126" s="120" t="str">
        <f>IFERROR(__xludf.DUMMYFUNCTION("""COMPUTED_VALUE"""),"")</f>
        <v/>
      </c>
      <c r="L126" s="114">
        <f>IFERROR(__xludf.DUMMYFUNCTION("""COMPUTED_VALUE"""),45961.0)</f>
        <v>45961</v>
      </c>
      <c r="M126" s="116">
        <v>5.0</v>
      </c>
      <c r="N126" s="110"/>
      <c r="O126" s="110"/>
      <c r="P126" s="110"/>
      <c r="Q126" s="110"/>
      <c r="R126" s="110"/>
      <c r="S126" s="110"/>
      <c r="T126" s="110"/>
      <c r="U126" s="110"/>
      <c r="V126" s="110"/>
      <c r="W126" s="110"/>
      <c r="X126" s="110"/>
      <c r="Y126" s="110"/>
      <c r="Z126" s="110"/>
      <c r="AA126" s="110"/>
      <c r="AB126" s="110"/>
      <c r="AC126" s="110"/>
      <c r="AD126" s="110"/>
    </row>
    <row r="127">
      <c r="A127" s="118" t="s">
        <v>2860</v>
      </c>
      <c r="B127" s="112" t="s">
        <v>4458</v>
      </c>
      <c r="C127" s="112" t="s">
        <v>2864</v>
      </c>
      <c r="D127" s="119" t="s">
        <v>4301</v>
      </c>
      <c r="E127" s="128"/>
      <c r="F127" s="113" t="s">
        <v>643</v>
      </c>
      <c r="G127" s="113" t="s">
        <v>4343</v>
      </c>
      <c r="H127" s="113"/>
      <c r="I127" s="114">
        <v>45968.0</v>
      </c>
      <c r="J127" s="124"/>
      <c r="K127" s="120" t="str">
        <f>IFERROR(__xludf.DUMMYFUNCTION("""COMPUTED_VALUE"""),"")</f>
        <v/>
      </c>
      <c r="L127" s="114">
        <f>IFERROR(__xludf.DUMMYFUNCTION("""COMPUTED_VALUE"""),45961.0)</f>
        <v>45961</v>
      </c>
      <c r="M127" s="116">
        <v>5.0</v>
      </c>
      <c r="N127" s="110"/>
      <c r="O127" s="110"/>
      <c r="P127" s="110"/>
      <c r="Q127" s="110"/>
      <c r="R127" s="110"/>
      <c r="S127" s="110"/>
      <c r="T127" s="110"/>
      <c r="U127" s="110"/>
      <c r="V127" s="110"/>
      <c r="W127" s="110"/>
      <c r="X127" s="110"/>
      <c r="Y127" s="110"/>
      <c r="Z127" s="110"/>
      <c r="AA127" s="110"/>
      <c r="AB127" s="110"/>
      <c r="AC127" s="110"/>
      <c r="AD127" s="110"/>
    </row>
    <row r="128">
      <c r="A128" s="118" t="s">
        <v>2867</v>
      </c>
      <c r="B128" s="112" t="s">
        <v>4459</v>
      </c>
      <c r="C128" s="112" t="s">
        <v>2871</v>
      </c>
      <c r="D128" s="119" t="s">
        <v>4301</v>
      </c>
      <c r="E128" s="128"/>
      <c r="F128" s="113" t="s">
        <v>643</v>
      </c>
      <c r="G128" s="113" t="s">
        <v>4343</v>
      </c>
      <c r="H128" s="113"/>
      <c r="I128" s="114">
        <v>45968.0</v>
      </c>
      <c r="J128" s="124"/>
      <c r="K128" s="120" t="str">
        <f>IFERROR(__xludf.DUMMYFUNCTION("""COMPUTED_VALUE"""),"")</f>
        <v/>
      </c>
      <c r="L128" s="114">
        <f>IFERROR(__xludf.DUMMYFUNCTION("""COMPUTED_VALUE"""),45961.0)</f>
        <v>45961</v>
      </c>
      <c r="M128" s="116">
        <v>5.0</v>
      </c>
      <c r="N128" s="110"/>
      <c r="O128" s="110"/>
      <c r="P128" s="110"/>
      <c r="Q128" s="110"/>
      <c r="R128" s="110"/>
      <c r="S128" s="110"/>
      <c r="T128" s="110"/>
      <c r="U128" s="110"/>
      <c r="V128" s="110"/>
      <c r="W128" s="110"/>
      <c r="X128" s="110"/>
      <c r="Y128" s="110"/>
      <c r="Z128" s="110"/>
      <c r="AA128" s="110"/>
      <c r="AB128" s="110"/>
      <c r="AC128" s="110"/>
      <c r="AD128" s="110"/>
    </row>
    <row r="129">
      <c r="A129" s="118" t="s">
        <v>2874</v>
      </c>
      <c r="B129" s="112" t="s">
        <v>4460</v>
      </c>
      <c r="C129" s="112" t="s">
        <v>2877</v>
      </c>
      <c r="D129" s="119" t="s">
        <v>4301</v>
      </c>
      <c r="E129" s="128">
        <v>45828.0</v>
      </c>
      <c r="F129" s="113" t="s">
        <v>643</v>
      </c>
      <c r="G129" s="113" t="s">
        <v>4343</v>
      </c>
      <c r="H129" s="113"/>
      <c r="I129" s="114">
        <v>45968.0</v>
      </c>
      <c r="J129" s="124"/>
      <c r="K129" s="120" t="str">
        <f>IFERROR(__xludf.DUMMYFUNCTION("""COMPUTED_VALUE"""),"")</f>
        <v/>
      </c>
      <c r="L129" s="114">
        <f>IFERROR(__xludf.DUMMYFUNCTION("""COMPUTED_VALUE"""),45961.0)</f>
        <v>45961</v>
      </c>
      <c r="M129" s="116">
        <v>5.0</v>
      </c>
      <c r="N129" s="110"/>
      <c r="O129" s="110"/>
      <c r="P129" s="110"/>
      <c r="Q129" s="110"/>
      <c r="R129" s="110"/>
      <c r="S129" s="110"/>
      <c r="T129" s="110"/>
      <c r="U129" s="110"/>
      <c r="V129" s="110"/>
      <c r="W129" s="110"/>
      <c r="X129" s="110"/>
      <c r="Y129" s="110"/>
      <c r="Z129" s="110"/>
      <c r="AA129" s="110"/>
      <c r="AB129" s="110"/>
      <c r="AC129" s="110"/>
      <c r="AD129" s="110"/>
    </row>
    <row r="130">
      <c r="A130" s="118" t="s">
        <v>2899</v>
      </c>
      <c r="B130" s="112" t="s">
        <v>4461</v>
      </c>
      <c r="C130" s="112" t="s">
        <v>2903</v>
      </c>
      <c r="D130" s="119" t="s">
        <v>4301</v>
      </c>
      <c r="E130" s="128"/>
      <c r="F130" s="113" t="s">
        <v>643</v>
      </c>
      <c r="G130" s="113" t="s">
        <v>4343</v>
      </c>
      <c r="H130" s="113"/>
      <c r="I130" s="114">
        <v>45968.0</v>
      </c>
      <c r="J130" s="124"/>
      <c r="K130" s="120" t="str">
        <f>IFERROR(__xludf.DUMMYFUNCTION("""COMPUTED_VALUE"""),"")</f>
        <v/>
      </c>
      <c r="L130" s="114">
        <f>IFERROR(__xludf.DUMMYFUNCTION("""COMPUTED_VALUE"""),45961.0)</f>
        <v>45961</v>
      </c>
      <c r="M130" s="116">
        <v>5.0</v>
      </c>
      <c r="N130" s="110"/>
      <c r="O130" s="110"/>
      <c r="P130" s="110"/>
      <c r="Q130" s="110"/>
      <c r="R130" s="110"/>
      <c r="S130" s="110"/>
      <c r="T130" s="110"/>
      <c r="U130" s="110"/>
      <c r="V130" s="110"/>
      <c r="W130" s="110"/>
      <c r="X130" s="110"/>
      <c r="Y130" s="110"/>
      <c r="Z130" s="110"/>
      <c r="AA130" s="110"/>
      <c r="AB130" s="110"/>
      <c r="AC130" s="110"/>
      <c r="AD130" s="110"/>
    </row>
    <row r="131">
      <c r="A131" s="118" t="s">
        <v>3032</v>
      </c>
      <c r="B131" s="112" t="s">
        <v>4462</v>
      </c>
      <c r="C131" s="112" t="s">
        <v>3037</v>
      </c>
      <c r="D131" s="119" t="s">
        <v>4301</v>
      </c>
      <c r="E131" s="128"/>
      <c r="F131" s="113" t="s">
        <v>31</v>
      </c>
      <c r="G131" s="113" t="s">
        <v>4343</v>
      </c>
      <c r="H131" s="113"/>
      <c r="I131" s="114">
        <v>45968.0</v>
      </c>
      <c r="J131" s="124"/>
      <c r="K131" s="120" t="str">
        <f>IFERROR(__xludf.DUMMYFUNCTION("""COMPUTED_VALUE"""),"")</f>
        <v/>
      </c>
      <c r="L131" s="114">
        <f>IFERROR(__xludf.DUMMYFUNCTION("""COMPUTED_VALUE"""),45961.0)</f>
        <v>45961</v>
      </c>
      <c r="M131" s="116">
        <v>5.0</v>
      </c>
      <c r="N131" s="110"/>
      <c r="O131" s="110"/>
      <c r="P131" s="110"/>
      <c r="Q131" s="110"/>
      <c r="R131" s="110"/>
      <c r="S131" s="110"/>
      <c r="T131" s="110"/>
      <c r="U131" s="110"/>
      <c r="V131" s="110"/>
      <c r="W131" s="110"/>
      <c r="X131" s="110"/>
      <c r="Y131" s="110"/>
      <c r="Z131" s="110"/>
      <c r="AA131" s="110"/>
      <c r="AB131" s="110"/>
      <c r="AC131" s="110"/>
      <c r="AD131" s="110"/>
    </row>
    <row r="132">
      <c r="A132" s="118" t="s">
        <v>3090</v>
      </c>
      <c r="B132" s="112" t="s">
        <v>4463</v>
      </c>
      <c r="C132" s="112" t="s">
        <v>3095</v>
      </c>
      <c r="D132" s="119" t="s">
        <v>4301</v>
      </c>
      <c r="E132" s="128">
        <v>45939.0</v>
      </c>
      <c r="F132" s="113" t="s">
        <v>31</v>
      </c>
      <c r="G132" s="113" t="s">
        <v>4343</v>
      </c>
      <c r="H132" s="113"/>
      <c r="I132" s="114">
        <v>45968.0</v>
      </c>
      <c r="J132" s="132"/>
      <c r="K132" s="120" t="str">
        <f>IFERROR(__xludf.DUMMYFUNCTION("""COMPUTED_VALUE"""),"")</f>
        <v/>
      </c>
      <c r="L132" s="114">
        <f>IFERROR(__xludf.DUMMYFUNCTION("""COMPUTED_VALUE"""),45961.0)</f>
        <v>45961</v>
      </c>
      <c r="M132" s="116">
        <v>5.0</v>
      </c>
      <c r="N132" s="110"/>
      <c r="O132" s="110"/>
      <c r="P132" s="110"/>
      <c r="Q132" s="110"/>
      <c r="R132" s="110"/>
      <c r="S132" s="110"/>
      <c r="T132" s="110"/>
      <c r="U132" s="110"/>
      <c r="V132" s="110"/>
      <c r="W132" s="110"/>
      <c r="X132" s="110"/>
      <c r="Y132" s="110"/>
      <c r="Z132" s="110"/>
      <c r="AA132" s="110"/>
      <c r="AB132" s="110"/>
      <c r="AC132" s="110"/>
      <c r="AD132" s="110"/>
    </row>
    <row r="133">
      <c r="A133" s="118" t="s">
        <v>2899</v>
      </c>
      <c r="B133" s="112" t="s">
        <v>4464</v>
      </c>
      <c r="C133" s="112" t="s">
        <v>2903</v>
      </c>
      <c r="D133" s="119" t="s">
        <v>4301</v>
      </c>
      <c r="E133" s="128"/>
      <c r="F133" s="113" t="s">
        <v>643</v>
      </c>
      <c r="G133" s="113" t="s">
        <v>4343</v>
      </c>
      <c r="H133" s="113"/>
      <c r="I133" s="114">
        <v>45968.0</v>
      </c>
      <c r="J133" s="132"/>
      <c r="K133" s="120" t="str">
        <f>IFERROR(__xludf.DUMMYFUNCTION("""COMPUTED_VALUE"""),"")</f>
        <v/>
      </c>
      <c r="L133" s="114">
        <f>IFERROR(__xludf.DUMMYFUNCTION("""COMPUTED_VALUE"""),45961.0)</f>
        <v>45961</v>
      </c>
      <c r="M133" s="116">
        <v>5.0</v>
      </c>
      <c r="N133" s="110"/>
      <c r="O133" s="110"/>
      <c r="P133" s="110"/>
      <c r="Q133" s="110"/>
      <c r="R133" s="110"/>
      <c r="S133" s="110"/>
      <c r="T133" s="110"/>
      <c r="U133" s="110"/>
      <c r="V133" s="110"/>
      <c r="W133" s="110"/>
      <c r="X133" s="110"/>
      <c r="Y133" s="110"/>
      <c r="Z133" s="110"/>
      <c r="AA133" s="110"/>
      <c r="AB133" s="110"/>
      <c r="AC133" s="110"/>
      <c r="AD133" s="110"/>
    </row>
    <row r="134">
      <c r="A134" s="118" t="s">
        <v>3400</v>
      </c>
      <c r="B134" s="112" t="s">
        <v>4465</v>
      </c>
      <c r="C134" s="112" t="s">
        <v>3409</v>
      </c>
      <c r="D134" s="119" t="s">
        <v>4301</v>
      </c>
      <c r="E134" s="128">
        <v>45925.0</v>
      </c>
      <c r="F134" s="113" t="s">
        <v>31</v>
      </c>
      <c r="G134" s="113" t="s">
        <v>4343</v>
      </c>
      <c r="H134" s="113"/>
      <c r="I134" s="114">
        <v>45968.0</v>
      </c>
      <c r="J134" s="132"/>
      <c r="K134" s="120" t="str">
        <f>IFERROR(__xludf.DUMMYFUNCTION("""COMPUTED_VALUE"""),"")</f>
        <v/>
      </c>
      <c r="L134" s="114">
        <f>IFERROR(__xludf.DUMMYFUNCTION("""COMPUTED_VALUE"""),45961.0)</f>
        <v>45961</v>
      </c>
      <c r="M134" s="116">
        <v>5.0</v>
      </c>
      <c r="N134" s="110"/>
      <c r="O134" s="110"/>
      <c r="P134" s="110"/>
      <c r="Q134" s="110"/>
      <c r="R134" s="110"/>
      <c r="S134" s="110"/>
      <c r="T134" s="110"/>
      <c r="U134" s="110"/>
      <c r="V134" s="110"/>
      <c r="W134" s="110"/>
      <c r="X134" s="110"/>
      <c r="Y134" s="110"/>
      <c r="Z134" s="110"/>
      <c r="AA134" s="110"/>
      <c r="AB134" s="110"/>
      <c r="AC134" s="110"/>
      <c r="AD134" s="110"/>
    </row>
    <row r="135">
      <c r="A135" s="118" t="s">
        <v>3839</v>
      </c>
      <c r="B135" s="112" t="s">
        <v>4466</v>
      </c>
      <c r="C135" s="112" t="s">
        <v>3848</v>
      </c>
      <c r="D135" s="119" t="s">
        <v>4301</v>
      </c>
      <c r="E135" s="128">
        <v>45932.0</v>
      </c>
      <c r="F135" s="113" t="s">
        <v>643</v>
      </c>
      <c r="G135" s="113" t="s">
        <v>4343</v>
      </c>
      <c r="H135" s="113"/>
      <c r="I135" s="114">
        <v>45968.0</v>
      </c>
      <c r="J135" s="132"/>
      <c r="K135" s="120" t="str">
        <f>IFERROR(__xludf.DUMMYFUNCTION("""COMPUTED_VALUE"""),"")</f>
        <v/>
      </c>
      <c r="L135" s="114">
        <f>IFERROR(__xludf.DUMMYFUNCTION("""COMPUTED_VALUE"""),45961.0)</f>
        <v>45961</v>
      </c>
      <c r="M135" s="116">
        <v>5.0</v>
      </c>
      <c r="N135" s="110"/>
      <c r="O135" s="110"/>
      <c r="P135" s="110"/>
      <c r="Q135" s="110"/>
      <c r="R135" s="110"/>
      <c r="S135" s="110"/>
      <c r="T135" s="110"/>
      <c r="U135" s="110"/>
      <c r="V135" s="110"/>
      <c r="W135" s="110"/>
      <c r="X135" s="110"/>
      <c r="Y135" s="110"/>
      <c r="Z135" s="110"/>
      <c r="AA135" s="110"/>
      <c r="AB135" s="110"/>
      <c r="AC135" s="110"/>
      <c r="AD135" s="110"/>
    </row>
    <row r="136">
      <c r="A136" s="118" t="s">
        <v>4006</v>
      </c>
      <c r="B136" s="112" t="s">
        <v>4467</v>
      </c>
      <c r="C136" s="112" t="s">
        <v>4014</v>
      </c>
      <c r="D136" s="119" t="s">
        <v>4301</v>
      </c>
      <c r="E136" s="128">
        <v>45966.0</v>
      </c>
      <c r="F136" s="113" t="s">
        <v>643</v>
      </c>
      <c r="G136" s="113" t="s">
        <v>4343</v>
      </c>
      <c r="H136" s="113"/>
      <c r="I136" s="114">
        <v>45968.0</v>
      </c>
      <c r="J136" s="132"/>
      <c r="K136" s="120" t="str">
        <f>IFERROR(__xludf.DUMMYFUNCTION("""COMPUTED_VALUE"""),"")</f>
        <v/>
      </c>
      <c r="L136" s="114">
        <f>IFERROR(__xludf.DUMMYFUNCTION("""COMPUTED_VALUE"""),45961.0)</f>
        <v>45961</v>
      </c>
      <c r="M136" s="116">
        <v>5.0</v>
      </c>
      <c r="N136" s="110"/>
      <c r="O136" s="110"/>
      <c r="P136" s="110"/>
      <c r="Q136" s="110"/>
      <c r="R136" s="110"/>
      <c r="S136" s="110"/>
      <c r="T136" s="110"/>
      <c r="U136" s="110"/>
      <c r="V136" s="110"/>
      <c r="W136" s="110"/>
      <c r="X136" s="110"/>
      <c r="Y136" s="110"/>
      <c r="Z136" s="110"/>
      <c r="AA136" s="110"/>
      <c r="AB136" s="110"/>
      <c r="AC136" s="110"/>
      <c r="AD136" s="110"/>
    </row>
    <row r="137">
      <c r="A137" s="118" t="s">
        <v>4059</v>
      </c>
      <c r="B137" s="112" t="s">
        <v>4468</v>
      </c>
      <c r="C137" s="112" t="s">
        <v>4064</v>
      </c>
      <c r="D137" s="119" t="s">
        <v>4301</v>
      </c>
      <c r="E137" s="128">
        <v>45959.0</v>
      </c>
      <c r="F137" s="113" t="s">
        <v>643</v>
      </c>
      <c r="G137" s="113" t="s">
        <v>4343</v>
      </c>
      <c r="H137" s="113"/>
      <c r="I137" s="114">
        <v>45968.0</v>
      </c>
      <c r="J137" s="132"/>
      <c r="K137" s="120" t="str">
        <f>IFERROR(__xludf.DUMMYFUNCTION("""COMPUTED_VALUE"""),"")</f>
        <v/>
      </c>
      <c r="L137" s="114">
        <f>IFERROR(__xludf.DUMMYFUNCTION("""COMPUTED_VALUE"""),45961.0)</f>
        <v>45961</v>
      </c>
      <c r="M137" s="116">
        <v>5.0</v>
      </c>
      <c r="N137" s="110"/>
      <c r="O137" s="110"/>
      <c r="P137" s="110"/>
      <c r="Q137" s="110"/>
      <c r="R137" s="110"/>
      <c r="S137" s="110"/>
      <c r="T137" s="110"/>
      <c r="U137" s="110"/>
      <c r="V137" s="110"/>
      <c r="W137" s="110"/>
      <c r="X137" s="110"/>
      <c r="Y137" s="110"/>
      <c r="Z137" s="110"/>
      <c r="AA137" s="110"/>
      <c r="AB137" s="110"/>
      <c r="AC137" s="110"/>
      <c r="AD137" s="110"/>
    </row>
    <row r="138">
      <c r="A138" s="118" t="s">
        <v>382</v>
      </c>
      <c r="B138" s="112" t="s">
        <v>4469</v>
      </c>
      <c r="C138" s="112" t="s">
        <v>391</v>
      </c>
      <c r="D138" s="119" t="s">
        <v>4301</v>
      </c>
      <c r="E138" s="128">
        <v>45918.0</v>
      </c>
      <c r="F138" s="113" t="s">
        <v>31</v>
      </c>
      <c r="G138" s="113" t="s">
        <v>4343</v>
      </c>
      <c r="H138" s="113"/>
      <c r="I138" s="114">
        <v>45974.0</v>
      </c>
      <c r="J138" s="132"/>
      <c r="K138" s="120" t="str">
        <f>IFERROR(__xludf.DUMMYFUNCTION("""COMPUTED_VALUE"""),"")</f>
        <v/>
      </c>
      <c r="L138" s="114">
        <f>IFERROR(__xludf.DUMMYFUNCTION("""COMPUTED_VALUE"""),45967.0)</f>
        <v>45967</v>
      </c>
      <c r="M138" s="116">
        <v>5.0</v>
      </c>
      <c r="N138" s="110"/>
      <c r="O138" s="110"/>
      <c r="P138" s="110"/>
      <c r="Q138" s="110"/>
      <c r="R138" s="110"/>
      <c r="S138" s="110"/>
      <c r="T138" s="110"/>
      <c r="U138" s="110"/>
      <c r="V138" s="110"/>
      <c r="W138" s="110"/>
      <c r="X138" s="110"/>
      <c r="Y138" s="110"/>
      <c r="Z138" s="110"/>
      <c r="AA138" s="110"/>
      <c r="AB138" s="110"/>
      <c r="AC138" s="110"/>
      <c r="AD138" s="110"/>
    </row>
    <row r="139">
      <c r="A139" s="118" t="s">
        <v>534</v>
      </c>
      <c r="B139" s="112" t="s">
        <v>4470</v>
      </c>
      <c r="C139" s="112">
        <v>2.023670147E9</v>
      </c>
      <c r="D139" s="119" t="s">
        <v>4301</v>
      </c>
      <c r="E139" s="128">
        <v>45951.0</v>
      </c>
      <c r="F139" s="113" t="s">
        <v>4305</v>
      </c>
      <c r="G139" s="113" t="s">
        <v>4343</v>
      </c>
      <c r="H139" s="113"/>
      <c r="I139" s="114">
        <v>45974.0</v>
      </c>
      <c r="J139" s="132"/>
      <c r="K139" s="120" t="str">
        <f>IFERROR(__xludf.DUMMYFUNCTION("""COMPUTED_VALUE"""),"")</f>
        <v/>
      </c>
      <c r="L139" s="114">
        <f>IFERROR(__xludf.DUMMYFUNCTION("""COMPUTED_VALUE"""),45967.0)</f>
        <v>45967</v>
      </c>
      <c r="M139" s="116">
        <v>5.0</v>
      </c>
      <c r="N139" s="110"/>
      <c r="O139" s="110"/>
      <c r="P139" s="110"/>
      <c r="Q139" s="110"/>
      <c r="R139" s="110"/>
      <c r="S139" s="110"/>
      <c r="T139" s="110"/>
      <c r="U139" s="110"/>
      <c r="V139" s="110"/>
      <c r="W139" s="110"/>
      <c r="X139" s="110"/>
      <c r="Y139" s="110"/>
      <c r="Z139" s="110"/>
      <c r="AA139" s="110"/>
      <c r="AB139" s="110"/>
      <c r="AC139" s="110"/>
      <c r="AD139" s="110"/>
    </row>
    <row r="140">
      <c r="A140" s="118" t="s">
        <v>1553</v>
      </c>
      <c r="B140" s="112" t="s">
        <v>1554</v>
      </c>
      <c r="C140" s="112">
        <v>2.028780072E9</v>
      </c>
      <c r="D140" s="119" t="s">
        <v>4301</v>
      </c>
      <c r="E140" s="128">
        <v>45946.0</v>
      </c>
      <c r="F140" s="113" t="s">
        <v>31</v>
      </c>
      <c r="G140" s="113" t="s">
        <v>4343</v>
      </c>
      <c r="H140" s="113"/>
      <c r="I140" s="114">
        <v>45974.0</v>
      </c>
      <c r="J140" s="132"/>
      <c r="K140" s="120" t="str">
        <f>IFERROR(__xludf.DUMMYFUNCTION("""COMPUTED_VALUE"""),"")</f>
        <v/>
      </c>
      <c r="L140" s="114">
        <f>IFERROR(__xludf.DUMMYFUNCTION("""COMPUTED_VALUE"""),45967.0)</f>
        <v>45967</v>
      </c>
      <c r="M140" s="116">
        <v>5.0</v>
      </c>
      <c r="N140" s="110"/>
      <c r="O140" s="110"/>
      <c r="P140" s="110"/>
      <c r="Q140" s="110"/>
      <c r="R140" s="110"/>
      <c r="S140" s="110"/>
      <c r="T140" s="110"/>
      <c r="U140" s="110"/>
      <c r="V140" s="110"/>
      <c r="W140" s="110"/>
      <c r="X140" s="110"/>
      <c r="Y140" s="110"/>
      <c r="Z140" s="110"/>
      <c r="AA140" s="110"/>
      <c r="AB140" s="110"/>
      <c r="AC140" s="110"/>
      <c r="AD140" s="110"/>
    </row>
    <row r="141">
      <c r="A141" s="118" t="s">
        <v>1565</v>
      </c>
      <c r="B141" s="112" t="s">
        <v>4471</v>
      </c>
      <c r="C141" s="112">
        <v>7.712150935E9</v>
      </c>
      <c r="D141" s="119" t="s">
        <v>4301</v>
      </c>
      <c r="E141" s="128">
        <v>45944.0</v>
      </c>
      <c r="F141" s="113" t="s">
        <v>4305</v>
      </c>
      <c r="G141" s="113" t="s">
        <v>4343</v>
      </c>
      <c r="H141" s="113"/>
      <c r="I141" s="114">
        <v>45974.0</v>
      </c>
      <c r="J141" s="132"/>
      <c r="K141" s="120" t="str">
        <f>IFERROR(__xludf.DUMMYFUNCTION("""COMPUTED_VALUE"""),"")</f>
        <v/>
      </c>
      <c r="L141" s="114">
        <f>IFERROR(__xludf.DUMMYFUNCTION("""COMPUTED_VALUE"""),45967.0)</f>
        <v>45967</v>
      </c>
      <c r="M141" s="116">
        <v>5.0</v>
      </c>
      <c r="N141" s="110"/>
      <c r="O141" s="110"/>
      <c r="P141" s="110"/>
      <c r="Q141" s="110"/>
      <c r="R141" s="110"/>
      <c r="S141" s="110"/>
      <c r="T141" s="110"/>
      <c r="U141" s="110"/>
      <c r="V141" s="110"/>
      <c r="W141" s="110"/>
      <c r="X141" s="110"/>
      <c r="Y141" s="110"/>
      <c r="Z141" s="110"/>
      <c r="AA141" s="110"/>
      <c r="AB141" s="110"/>
      <c r="AC141" s="110"/>
      <c r="AD141" s="110"/>
    </row>
    <row r="142">
      <c r="A142" s="118" t="s">
        <v>1980</v>
      </c>
      <c r="B142" s="112" t="s">
        <v>4472</v>
      </c>
      <c r="C142" s="112">
        <v>2.025829004E9</v>
      </c>
      <c r="D142" s="119" t="s">
        <v>4301</v>
      </c>
      <c r="E142" s="128"/>
      <c r="F142" s="113" t="s">
        <v>31</v>
      </c>
      <c r="G142" s="113" t="s">
        <v>4343</v>
      </c>
      <c r="H142" s="113" t="s">
        <v>4473</v>
      </c>
      <c r="I142" s="114">
        <v>45974.0</v>
      </c>
      <c r="J142" s="132"/>
      <c r="K142" s="120" t="str">
        <f>IFERROR(__xludf.DUMMYFUNCTION("""COMPUTED_VALUE"""),"")</f>
        <v/>
      </c>
      <c r="L142" s="114">
        <f>IFERROR(__xludf.DUMMYFUNCTION("""COMPUTED_VALUE"""),45967.0)</f>
        <v>45967</v>
      </c>
      <c r="M142" s="116">
        <v>5.0</v>
      </c>
      <c r="N142" s="110"/>
      <c r="O142" s="110"/>
      <c r="P142" s="110"/>
      <c r="Q142" s="110"/>
      <c r="R142" s="110"/>
      <c r="S142" s="110"/>
      <c r="T142" s="110"/>
      <c r="U142" s="110"/>
      <c r="V142" s="110"/>
      <c r="W142" s="110"/>
      <c r="X142" s="110"/>
      <c r="Y142" s="110"/>
      <c r="Z142" s="110"/>
      <c r="AA142" s="110"/>
      <c r="AB142" s="110"/>
      <c r="AC142" s="110"/>
      <c r="AD142" s="110"/>
    </row>
    <row r="143">
      <c r="A143" s="118" t="s">
        <v>2583</v>
      </c>
      <c r="B143" s="112" t="s">
        <v>4474</v>
      </c>
      <c r="C143" s="112" t="s">
        <v>2593</v>
      </c>
      <c r="D143" s="119" t="s">
        <v>4301</v>
      </c>
      <c r="E143" s="128"/>
      <c r="F143" s="113" t="s">
        <v>643</v>
      </c>
      <c r="G143" s="113" t="s">
        <v>4343</v>
      </c>
      <c r="H143" s="113" t="s">
        <v>4382</v>
      </c>
      <c r="I143" s="114">
        <v>45974.0</v>
      </c>
      <c r="J143" s="132"/>
      <c r="K143" s="120" t="str">
        <f>IFERROR(__xludf.DUMMYFUNCTION("""COMPUTED_VALUE"""),"")</f>
        <v/>
      </c>
      <c r="L143" s="114">
        <f>IFERROR(__xludf.DUMMYFUNCTION("""COMPUTED_VALUE"""),45967.0)</f>
        <v>45967</v>
      </c>
      <c r="M143" s="116">
        <v>5.0</v>
      </c>
      <c r="N143" s="110"/>
      <c r="O143" s="110"/>
      <c r="P143" s="110"/>
      <c r="Q143" s="110"/>
      <c r="R143" s="110"/>
      <c r="S143" s="110"/>
      <c r="T143" s="110"/>
      <c r="U143" s="110"/>
      <c r="V143" s="110"/>
      <c r="W143" s="110"/>
      <c r="X143" s="110"/>
      <c r="Y143" s="110"/>
      <c r="Z143" s="110"/>
      <c r="AA143" s="110"/>
      <c r="AB143" s="110"/>
      <c r="AC143" s="110"/>
      <c r="AD143" s="110"/>
    </row>
    <row r="144">
      <c r="A144" s="118" t="s">
        <v>3361</v>
      </c>
      <c r="B144" s="112" t="s">
        <v>4475</v>
      </c>
      <c r="C144" s="112" t="s">
        <v>3371</v>
      </c>
      <c r="D144" s="119" t="s">
        <v>4476</v>
      </c>
      <c r="E144" s="128">
        <v>45938.0</v>
      </c>
      <c r="F144" s="113" t="s">
        <v>327</v>
      </c>
      <c r="G144" s="113" t="s">
        <v>4343</v>
      </c>
      <c r="H144" s="113"/>
      <c r="I144" s="114">
        <v>45974.0</v>
      </c>
      <c r="J144" s="132"/>
      <c r="K144" s="120" t="str">
        <f>IFERROR(__xludf.DUMMYFUNCTION("""COMPUTED_VALUE"""),"")</f>
        <v/>
      </c>
      <c r="L144" s="114">
        <f>IFERROR(__xludf.DUMMYFUNCTION("""COMPUTED_VALUE"""),45967.0)</f>
        <v>45967</v>
      </c>
      <c r="M144" s="116">
        <v>5.0</v>
      </c>
      <c r="N144" s="110"/>
      <c r="O144" s="110"/>
      <c r="P144" s="110"/>
      <c r="Q144" s="110"/>
      <c r="R144" s="110"/>
      <c r="S144" s="110"/>
      <c r="T144" s="110"/>
      <c r="U144" s="110"/>
      <c r="V144" s="110"/>
      <c r="W144" s="110"/>
      <c r="X144" s="110"/>
      <c r="Y144" s="110"/>
      <c r="Z144" s="110"/>
      <c r="AA144" s="110"/>
      <c r="AB144" s="110"/>
      <c r="AC144" s="110"/>
      <c r="AD144" s="110"/>
    </row>
    <row r="145">
      <c r="A145" s="118" t="s">
        <v>373</v>
      </c>
      <c r="B145" s="112" t="s">
        <v>4477</v>
      </c>
      <c r="C145" s="112">
        <v>3.4726497E9</v>
      </c>
      <c r="D145" s="119" t="s">
        <v>4301</v>
      </c>
      <c r="E145" s="128">
        <v>45901.0</v>
      </c>
      <c r="F145" s="113" t="s">
        <v>31</v>
      </c>
      <c r="G145" s="113" t="s">
        <v>4343</v>
      </c>
      <c r="H145" s="113"/>
      <c r="I145" s="114">
        <v>45975.0</v>
      </c>
      <c r="J145" s="132"/>
      <c r="K145" s="120" t="str">
        <f>IFERROR(__xludf.DUMMYFUNCTION("""COMPUTED_VALUE"""),"")</f>
        <v/>
      </c>
      <c r="L145" s="114">
        <f>IFERROR(__xludf.DUMMYFUNCTION("""COMPUTED_VALUE"""),45968.0)</f>
        <v>45968</v>
      </c>
      <c r="M145" s="116">
        <v>5.0</v>
      </c>
      <c r="N145" s="110"/>
      <c r="O145" s="110"/>
      <c r="P145" s="110"/>
      <c r="Q145" s="110"/>
      <c r="R145" s="110"/>
      <c r="S145" s="110"/>
      <c r="T145" s="110"/>
      <c r="U145" s="110"/>
      <c r="V145" s="110"/>
      <c r="W145" s="110"/>
      <c r="X145" s="110"/>
      <c r="Y145" s="110"/>
      <c r="Z145" s="110"/>
      <c r="AA145" s="110"/>
      <c r="AB145" s="110"/>
      <c r="AC145" s="110"/>
      <c r="AD145" s="110"/>
    </row>
    <row r="146">
      <c r="A146" s="118" t="s">
        <v>478</v>
      </c>
      <c r="B146" s="112" t="s">
        <v>4478</v>
      </c>
      <c r="C146" s="112">
        <v>2.026742329E9</v>
      </c>
      <c r="D146" s="119" t="s">
        <v>4301</v>
      </c>
      <c r="E146" s="128">
        <v>45976.0</v>
      </c>
      <c r="F146" s="113" t="s">
        <v>4305</v>
      </c>
      <c r="G146" s="113" t="s">
        <v>4343</v>
      </c>
      <c r="H146" s="113" t="s">
        <v>4311</v>
      </c>
      <c r="I146" s="114">
        <v>45975.0</v>
      </c>
      <c r="J146" s="132"/>
      <c r="K146" s="120" t="str">
        <f>IFERROR(__xludf.DUMMYFUNCTION("""COMPUTED_VALUE"""),"")</f>
        <v/>
      </c>
      <c r="L146" s="114">
        <f>IFERROR(__xludf.DUMMYFUNCTION("""COMPUTED_VALUE"""),45968.0)</f>
        <v>45968</v>
      </c>
      <c r="M146" s="116">
        <v>5.0</v>
      </c>
      <c r="N146" s="110"/>
      <c r="O146" s="110"/>
      <c r="P146" s="110"/>
      <c r="Q146" s="110"/>
      <c r="R146" s="110"/>
      <c r="S146" s="110"/>
      <c r="T146" s="110"/>
      <c r="U146" s="110"/>
      <c r="V146" s="110"/>
      <c r="W146" s="110"/>
      <c r="X146" s="110"/>
      <c r="Y146" s="110"/>
      <c r="Z146" s="110"/>
      <c r="AA146" s="110"/>
      <c r="AB146" s="110"/>
      <c r="AC146" s="110"/>
      <c r="AD146" s="110"/>
    </row>
    <row r="147">
      <c r="A147" s="118" t="s">
        <v>506</v>
      </c>
      <c r="B147" s="112" t="s">
        <v>4479</v>
      </c>
      <c r="C147" s="112">
        <v>2.024255506E9</v>
      </c>
      <c r="D147" s="119" t="s">
        <v>4301</v>
      </c>
      <c r="E147" s="128">
        <v>45946.0</v>
      </c>
      <c r="F147" s="113" t="s">
        <v>282</v>
      </c>
      <c r="G147" s="113" t="s">
        <v>4343</v>
      </c>
      <c r="H147" s="113"/>
      <c r="I147" s="114">
        <v>45975.0</v>
      </c>
      <c r="J147" s="132"/>
      <c r="K147" s="120" t="str">
        <f>IFERROR(__xludf.DUMMYFUNCTION("""COMPUTED_VALUE"""),"")</f>
        <v/>
      </c>
      <c r="L147" s="114">
        <f>IFERROR(__xludf.DUMMYFUNCTION("""COMPUTED_VALUE"""),45968.0)</f>
        <v>45968</v>
      </c>
      <c r="M147" s="116">
        <v>5.0</v>
      </c>
      <c r="N147" s="110"/>
      <c r="O147" s="110"/>
      <c r="P147" s="110"/>
      <c r="Q147" s="110"/>
      <c r="R147" s="110"/>
      <c r="S147" s="110"/>
      <c r="T147" s="110"/>
      <c r="U147" s="110"/>
      <c r="V147" s="110"/>
      <c r="W147" s="110"/>
      <c r="X147" s="110"/>
      <c r="Y147" s="110"/>
      <c r="Z147" s="110"/>
      <c r="AA147" s="110"/>
      <c r="AB147" s="110"/>
      <c r="AC147" s="110"/>
      <c r="AD147" s="110"/>
    </row>
    <row r="148">
      <c r="A148" s="118" t="s">
        <v>517</v>
      </c>
      <c r="B148" s="112" t="s">
        <v>4480</v>
      </c>
      <c r="C148" s="112">
        <v>2.02716376E9</v>
      </c>
      <c r="D148" s="119" t="s">
        <v>4301</v>
      </c>
      <c r="E148" s="128">
        <v>45946.0</v>
      </c>
      <c r="F148" s="113" t="s">
        <v>31</v>
      </c>
      <c r="G148" s="113" t="s">
        <v>4343</v>
      </c>
      <c r="H148" s="113"/>
      <c r="I148" s="114">
        <v>45975.0</v>
      </c>
      <c r="J148" s="132"/>
      <c r="K148" s="120" t="str">
        <f>IFERROR(__xludf.DUMMYFUNCTION("""COMPUTED_VALUE"""),"")</f>
        <v/>
      </c>
      <c r="L148" s="114">
        <f>IFERROR(__xludf.DUMMYFUNCTION("""COMPUTED_VALUE"""),45968.0)</f>
        <v>45968</v>
      </c>
      <c r="M148" s="116">
        <v>5.0</v>
      </c>
      <c r="N148" s="110"/>
      <c r="O148" s="110"/>
      <c r="P148" s="110"/>
      <c r="Q148" s="110"/>
      <c r="R148" s="110"/>
      <c r="S148" s="110"/>
      <c r="T148" s="110"/>
      <c r="U148" s="110"/>
      <c r="V148" s="110"/>
      <c r="W148" s="110"/>
      <c r="X148" s="110"/>
      <c r="Y148" s="110"/>
      <c r="Z148" s="110"/>
      <c r="AA148" s="110"/>
      <c r="AB148" s="110"/>
      <c r="AC148" s="110"/>
      <c r="AD148" s="110"/>
    </row>
    <row r="149">
      <c r="A149" s="118" t="s">
        <v>651</v>
      </c>
      <c r="B149" s="112" t="s">
        <v>4481</v>
      </c>
      <c r="C149" s="112">
        <v>2.029469215E9</v>
      </c>
      <c r="D149" s="119" t="s">
        <v>4301</v>
      </c>
      <c r="E149" s="128">
        <v>45946.0</v>
      </c>
      <c r="F149" s="113" t="s">
        <v>31</v>
      </c>
      <c r="G149" s="113" t="s">
        <v>4343</v>
      </c>
      <c r="H149" s="113"/>
      <c r="I149" s="114">
        <v>45975.0</v>
      </c>
      <c r="J149" s="132"/>
      <c r="K149" s="120" t="str">
        <f>IFERROR(__xludf.DUMMYFUNCTION("""COMPUTED_VALUE"""),"")</f>
        <v/>
      </c>
      <c r="L149" s="114">
        <f>IFERROR(__xludf.DUMMYFUNCTION("""COMPUTED_VALUE"""),45968.0)</f>
        <v>45968</v>
      </c>
      <c r="M149" s="116">
        <v>5.0</v>
      </c>
      <c r="N149" s="110"/>
      <c r="O149" s="110"/>
      <c r="P149" s="110"/>
      <c r="Q149" s="110"/>
      <c r="R149" s="110"/>
      <c r="S149" s="110"/>
      <c r="T149" s="110"/>
      <c r="U149" s="110"/>
      <c r="V149" s="110"/>
      <c r="W149" s="110"/>
      <c r="X149" s="110"/>
      <c r="Y149" s="110"/>
      <c r="Z149" s="110"/>
      <c r="AA149" s="110"/>
      <c r="AB149" s="110"/>
      <c r="AC149" s="110"/>
      <c r="AD149" s="110"/>
    </row>
    <row r="150">
      <c r="A150" s="118" t="s">
        <v>1191</v>
      </c>
      <c r="B150" s="112" t="s">
        <v>1192</v>
      </c>
      <c r="C150" s="112">
        <v>2.027022783E9</v>
      </c>
      <c r="D150" s="119" t="s">
        <v>4301</v>
      </c>
      <c r="E150" s="128">
        <v>45939.0</v>
      </c>
      <c r="F150" s="113" t="s">
        <v>31</v>
      </c>
      <c r="G150" s="113" t="s">
        <v>4343</v>
      </c>
      <c r="H150" s="113"/>
      <c r="I150" s="114">
        <v>45975.0</v>
      </c>
      <c r="J150" s="132"/>
      <c r="K150" s="120" t="str">
        <f>IFERROR(__xludf.DUMMYFUNCTION("""COMPUTED_VALUE"""),"")</f>
        <v/>
      </c>
      <c r="L150" s="114">
        <f>IFERROR(__xludf.DUMMYFUNCTION("""COMPUTED_VALUE"""),45968.0)</f>
        <v>45968</v>
      </c>
      <c r="M150" s="116">
        <v>5.0</v>
      </c>
      <c r="N150" s="110"/>
      <c r="O150" s="110"/>
      <c r="P150" s="110"/>
      <c r="Q150" s="110"/>
      <c r="R150" s="110"/>
      <c r="S150" s="110"/>
      <c r="T150" s="110"/>
      <c r="U150" s="110"/>
      <c r="V150" s="110"/>
      <c r="W150" s="110"/>
      <c r="X150" s="110"/>
      <c r="Y150" s="110"/>
      <c r="Z150" s="110"/>
      <c r="AA150" s="110"/>
      <c r="AB150" s="110"/>
      <c r="AC150" s="110"/>
      <c r="AD150" s="110"/>
    </row>
    <row r="151">
      <c r="A151" s="118" t="s">
        <v>1752</v>
      </c>
      <c r="B151" s="112" t="s">
        <v>1753</v>
      </c>
      <c r="C151" s="112" t="s">
        <v>1759</v>
      </c>
      <c r="D151" s="119" t="s">
        <v>4301</v>
      </c>
      <c r="E151" s="128">
        <v>45931.0</v>
      </c>
      <c r="F151" s="113" t="s">
        <v>31</v>
      </c>
      <c r="G151" s="113" t="s">
        <v>4343</v>
      </c>
      <c r="H151" s="113"/>
      <c r="I151" s="114">
        <v>45975.0</v>
      </c>
      <c r="J151" s="132"/>
      <c r="K151" s="120" t="str">
        <f>IFERROR(__xludf.DUMMYFUNCTION("""COMPUTED_VALUE"""),"")</f>
        <v/>
      </c>
      <c r="L151" s="114">
        <f>IFERROR(__xludf.DUMMYFUNCTION("""COMPUTED_VALUE"""),45968.0)</f>
        <v>45968</v>
      </c>
      <c r="M151" s="116">
        <v>5.0</v>
      </c>
      <c r="N151" s="110"/>
      <c r="O151" s="110"/>
      <c r="P151" s="110"/>
      <c r="Q151" s="110"/>
      <c r="R151" s="110"/>
      <c r="S151" s="110"/>
      <c r="T151" s="110"/>
      <c r="U151" s="110"/>
      <c r="V151" s="110"/>
      <c r="W151" s="110"/>
      <c r="X151" s="110"/>
      <c r="Y151" s="110"/>
      <c r="Z151" s="110"/>
      <c r="AA151" s="110"/>
      <c r="AB151" s="110"/>
      <c r="AC151" s="110"/>
      <c r="AD151" s="110"/>
    </row>
    <row r="152">
      <c r="A152" s="118" t="s">
        <v>2034</v>
      </c>
      <c r="B152" s="112" t="s">
        <v>4482</v>
      </c>
      <c r="C152" s="112">
        <v>2.025719108E9</v>
      </c>
      <c r="D152" s="119" t="s">
        <v>4301</v>
      </c>
      <c r="E152" s="128">
        <v>45946.0</v>
      </c>
      <c r="F152" s="113" t="s">
        <v>31</v>
      </c>
      <c r="G152" s="113" t="s">
        <v>4343</v>
      </c>
      <c r="H152" s="113"/>
      <c r="I152" s="114">
        <v>45975.0</v>
      </c>
      <c r="J152" s="132"/>
      <c r="K152" s="120" t="str">
        <f>IFERROR(__xludf.DUMMYFUNCTION("""COMPUTED_VALUE"""),"")</f>
        <v/>
      </c>
      <c r="L152" s="114">
        <f>IFERROR(__xludf.DUMMYFUNCTION("""COMPUTED_VALUE"""),45968.0)</f>
        <v>45968</v>
      </c>
      <c r="M152" s="116">
        <v>5.0</v>
      </c>
      <c r="N152" s="110"/>
      <c r="O152" s="110"/>
      <c r="P152" s="110"/>
      <c r="Q152" s="110"/>
      <c r="R152" s="110"/>
      <c r="S152" s="110"/>
      <c r="T152" s="110"/>
      <c r="U152" s="110"/>
      <c r="V152" s="110"/>
      <c r="W152" s="110"/>
      <c r="X152" s="110"/>
      <c r="Y152" s="110"/>
      <c r="Z152" s="110"/>
      <c r="AA152" s="110"/>
      <c r="AB152" s="110"/>
      <c r="AC152" s="110"/>
      <c r="AD152" s="110"/>
    </row>
    <row r="153">
      <c r="A153" s="118" t="s">
        <v>3482</v>
      </c>
      <c r="B153" s="112" t="s">
        <v>4483</v>
      </c>
      <c r="C153" s="112" t="s">
        <v>3489</v>
      </c>
      <c r="D153" s="119" t="s">
        <v>4301</v>
      </c>
      <c r="E153" s="128"/>
      <c r="F153" s="113"/>
      <c r="G153" s="113" t="s">
        <v>4343</v>
      </c>
      <c r="H153" s="113"/>
      <c r="I153" s="114">
        <v>45975.0</v>
      </c>
      <c r="J153" s="132"/>
      <c r="K153" s="120" t="str">
        <f>IFERROR(__xludf.DUMMYFUNCTION("""COMPUTED_VALUE"""),"")</f>
        <v/>
      </c>
      <c r="L153" s="114">
        <f>IFERROR(__xludf.DUMMYFUNCTION("""COMPUTED_VALUE"""),45968.0)</f>
        <v>45968</v>
      </c>
      <c r="M153" s="116">
        <v>5.0</v>
      </c>
      <c r="N153" s="110"/>
      <c r="O153" s="110"/>
      <c r="P153" s="110"/>
      <c r="Q153" s="110"/>
      <c r="R153" s="110"/>
      <c r="S153" s="110"/>
      <c r="T153" s="110"/>
      <c r="U153" s="110"/>
      <c r="V153" s="110"/>
      <c r="W153" s="110"/>
      <c r="X153" s="110"/>
      <c r="Y153" s="110"/>
      <c r="Z153" s="110"/>
      <c r="AA153" s="110"/>
      <c r="AB153" s="110"/>
      <c r="AC153" s="110"/>
      <c r="AD153" s="110"/>
    </row>
    <row r="154">
      <c r="A154" s="118" t="s">
        <v>3568</v>
      </c>
      <c r="B154" s="112" t="s">
        <v>4484</v>
      </c>
      <c r="C154" s="112" t="s">
        <v>3577</v>
      </c>
      <c r="D154" s="119" t="s">
        <v>4301</v>
      </c>
      <c r="E154" s="128"/>
      <c r="F154" s="113" t="s">
        <v>643</v>
      </c>
      <c r="G154" s="113" t="s">
        <v>4343</v>
      </c>
      <c r="H154" s="113"/>
      <c r="I154" s="114">
        <v>45975.0</v>
      </c>
      <c r="J154" s="132"/>
      <c r="K154" s="120" t="str">
        <f>IFERROR(__xludf.DUMMYFUNCTION("""COMPUTED_VALUE"""),"")</f>
        <v/>
      </c>
      <c r="L154" s="114">
        <f>IFERROR(__xludf.DUMMYFUNCTION("""COMPUTED_VALUE"""),45968.0)</f>
        <v>45968</v>
      </c>
      <c r="M154" s="116">
        <v>5.0</v>
      </c>
      <c r="N154" s="110"/>
      <c r="O154" s="110"/>
      <c r="P154" s="110"/>
      <c r="Q154" s="110"/>
      <c r="R154" s="110"/>
      <c r="S154" s="110"/>
      <c r="T154" s="110"/>
      <c r="U154" s="110"/>
      <c r="V154" s="110"/>
      <c r="W154" s="110"/>
      <c r="X154" s="110"/>
      <c r="Y154" s="110"/>
      <c r="Z154" s="110"/>
      <c r="AA154" s="110"/>
      <c r="AB154" s="110"/>
      <c r="AC154" s="110"/>
      <c r="AD154" s="110"/>
    </row>
    <row r="155">
      <c r="A155" s="118" t="s">
        <v>3881</v>
      </c>
      <c r="B155" s="112" t="s">
        <v>4485</v>
      </c>
      <c r="C155" s="112" t="s">
        <v>3886</v>
      </c>
      <c r="D155" s="119" t="s">
        <v>4301</v>
      </c>
      <c r="E155" s="128"/>
      <c r="F155" s="113"/>
      <c r="G155" s="113" t="s">
        <v>4343</v>
      </c>
      <c r="H155" s="113"/>
      <c r="I155" s="114">
        <v>45975.0</v>
      </c>
      <c r="J155" s="132"/>
      <c r="K155" s="120" t="str">
        <f>IFERROR(__xludf.DUMMYFUNCTION("""COMPUTED_VALUE"""),"")</f>
        <v/>
      </c>
      <c r="L155" s="114">
        <f>IFERROR(__xludf.DUMMYFUNCTION("""COMPUTED_VALUE"""),45968.0)</f>
        <v>45968</v>
      </c>
      <c r="M155" s="116">
        <v>5.0</v>
      </c>
      <c r="N155" s="110"/>
      <c r="O155" s="110"/>
      <c r="P155" s="110"/>
      <c r="Q155" s="110"/>
      <c r="R155" s="110"/>
      <c r="S155" s="110"/>
      <c r="T155" s="110"/>
      <c r="U155" s="110"/>
      <c r="V155" s="110"/>
      <c r="W155" s="110"/>
      <c r="X155" s="110"/>
      <c r="Y155" s="110"/>
      <c r="Z155" s="110"/>
      <c r="AA155" s="110"/>
      <c r="AB155" s="110"/>
      <c r="AC155" s="110"/>
      <c r="AD155" s="110"/>
    </row>
    <row r="156">
      <c r="A156" s="118" t="s">
        <v>146</v>
      </c>
      <c r="B156" s="112" t="s">
        <v>4486</v>
      </c>
      <c r="C156" s="112" t="s">
        <v>154</v>
      </c>
      <c r="D156" s="119" t="s">
        <v>4301</v>
      </c>
      <c r="E156" s="128">
        <v>45931.0</v>
      </c>
      <c r="F156" s="113"/>
      <c r="G156" s="113" t="s">
        <v>4343</v>
      </c>
      <c r="H156" s="113"/>
      <c r="I156" s="114">
        <v>45981.0</v>
      </c>
      <c r="J156" s="132"/>
      <c r="K156" s="120" t="str">
        <f>IFERROR(__xludf.DUMMYFUNCTION("""COMPUTED_VALUE"""),"")</f>
        <v/>
      </c>
      <c r="L156" s="114">
        <f>IFERROR(__xludf.DUMMYFUNCTION("""COMPUTED_VALUE"""),45974.0)</f>
        <v>45974</v>
      </c>
      <c r="M156" s="116">
        <v>5.0</v>
      </c>
      <c r="N156" s="110"/>
      <c r="O156" s="110"/>
      <c r="P156" s="110"/>
      <c r="Q156" s="110"/>
      <c r="R156" s="110"/>
      <c r="S156" s="110"/>
      <c r="T156" s="110"/>
      <c r="U156" s="110"/>
      <c r="V156" s="110"/>
      <c r="W156" s="110"/>
      <c r="X156" s="110"/>
      <c r="Y156" s="110"/>
      <c r="Z156" s="110"/>
      <c r="AA156" s="110"/>
      <c r="AB156" s="110"/>
      <c r="AC156" s="110"/>
      <c r="AD156" s="110"/>
    </row>
    <row r="157">
      <c r="A157" s="118" t="s">
        <v>211</v>
      </c>
      <c r="B157" s="112" t="s">
        <v>4487</v>
      </c>
      <c r="C157" s="112" t="s">
        <v>219</v>
      </c>
      <c r="D157" s="119" t="s">
        <v>4301</v>
      </c>
      <c r="E157" s="128">
        <v>45946.0</v>
      </c>
      <c r="F157" s="113" t="s">
        <v>31</v>
      </c>
      <c r="G157" s="113" t="s">
        <v>4343</v>
      </c>
      <c r="H157" s="113"/>
      <c r="I157" s="114">
        <v>45981.0</v>
      </c>
      <c r="J157" s="132"/>
      <c r="K157" s="120" t="str">
        <f>IFERROR(__xludf.DUMMYFUNCTION("""COMPUTED_VALUE"""),"")</f>
        <v/>
      </c>
      <c r="L157" s="114">
        <f>IFERROR(__xludf.DUMMYFUNCTION("""COMPUTED_VALUE"""),45974.0)</f>
        <v>45974</v>
      </c>
      <c r="M157" s="116">
        <v>5.0</v>
      </c>
      <c r="N157" s="110"/>
      <c r="O157" s="110"/>
      <c r="P157" s="110"/>
      <c r="Q157" s="110"/>
      <c r="R157" s="110"/>
      <c r="S157" s="110"/>
      <c r="T157" s="110"/>
      <c r="U157" s="110"/>
      <c r="V157" s="110"/>
      <c r="W157" s="110"/>
      <c r="X157" s="110"/>
      <c r="Y157" s="110"/>
      <c r="Z157" s="110"/>
      <c r="AA157" s="110"/>
      <c r="AB157" s="110"/>
      <c r="AC157" s="110"/>
      <c r="AD157" s="110"/>
    </row>
    <row r="158">
      <c r="A158" s="118" t="s">
        <v>243</v>
      </c>
      <c r="B158" s="112" t="s">
        <v>4488</v>
      </c>
      <c r="C158" s="112">
        <v>2.026780318E9</v>
      </c>
      <c r="D158" s="119" t="s">
        <v>4301</v>
      </c>
      <c r="E158" s="128">
        <v>45925.0</v>
      </c>
      <c r="F158" s="113" t="s">
        <v>31</v>
      </c>
      <c r="G158" s="113" t="s">
        <v>4343</v>
      </c>
      <c r="H158" s="113"/>
      <c r="I158" s="114">
        <v>45981.0</v>
      </c>
      <c r="J158" s="132"/>
      <c r="K158" s="120" t="str">
        <f>IFERROR(__xludf.DUMMYFUNCTION("""COMPUTED_VALUE"""),"")</f>
        <v/>
      </c>
      <c r="L158" s="114">
        <f>IFERROR(__xludf.DUMMYFUNCTION("""COMPUTED_VALUE"""),45974.0)</f>
        <v>45974</v>
      </c>
      <c r="M158" s="116">
        <v>5.0</v>
      </c>
      <c r="N158" s="110"/>
      <c r="O158" s="110"/>
      <c r="P158" s="110"/>
      <c r="Q158" s="110"/>
      <c r="R158" s="110"/>
      <c r="S158" s="110"/>
      <c r="T158" s="110"/>
      <c r="U158" s="110"/>
      <c r="V158" s="110"/>
      <c r="W158" s="110"/>
      <c r="X158" s="110"/>
      <c r="Y158" s="110"/>
      <c r="Z158" s="110"/>
      <c r="AA158" s="110"/>
      <c r="AB158" s="110"/>
      <c r="AC158" s="110"/>
      <c r="AD158" s="110"/>
    </row>
    <row r="159">
      <c r="A159" s="118" t="s">
        <v>249</v>
      </c>
      <c r="B159" s="112" t="s">
        <v>4489</v>
      </c>
      <c r="C159" s="112" t="s">
        <v>258</v>
      </c>
      <c r="D159" s="119" t="s">
        <v>4301</v>
      </c>
      <c r="E159" s="128">
        <v>45946.0</v>
      </c>
      <c r="F159" s="113" t="s">
        <v>31</v>
      </c>
      <c r="G159" s="113" t="s">
        <v>4343</v>
      </c>
      <c r="H159" s="113"/>
      <c r="I159" s="114">
        <v>45981.0</v>
      </c>
      <c r="J159" s="132"/>
      <c r="K159" s="120" t="str">
        <f>IFERROR(__xludf.DUMMYFUNCTION("""COMPUTED_VALUE"""),"")</f>
        <v/>
      </c>
      <c r="L159" s="114">
        <f>IFERROR(__xludf.DUMMYFUNCTION("""COMPUTED_VALUE"""),45974.0)</f>
        <v>45974</v>
      </c>
      <c r="M159" s="116">
        <v>5.0</v>
      </c>
      <c r="N159" s="110"/>
      <c r="O159" s="110"/>
      <c r="P159" s="110"/>
      <c r="Q159" s="110"/>
      <c r="R159" s="110"/>
      <c r="S159" s="110"/>
      <c r="T159" s="110"/>
      <c r="U159" s="110"/>
      <c r="V159" s="110"/>
      <c r="W159" s="110"/>
      <c r="X159" s="110"/>
      <c r="Y159" s="110"/>
      <c r="Z159" s="110"/>
      <c r="AA159" s="110"/>
      <c r="AB159" s="110"/>
      <c r="AC159" s="110"/>
      <c r="AD159" s="110"/>
    </row>
    <row r="160">
      <c r="A160" s="118" t="s">
        <v>261</v>
      </c>
      <c r="B160" s="112" t="s">
        <v>4490</v>
      </c>
      <c r="C160" s="112" t="s">
        <v>269</v>
      </c>
      <c r="D160" s="119" t="s">
        <v>4301</v>
      </c>
      <c r="E160" s="128">
        <v>45946.0</v>
      </c>
      <c r="F160" s="113" t="s">
        <v>31</v>
      </c>
      <c r="G160" s="113" t="s">
        <v>4343</v>
      </c>
      <c r="H160" s="113"/>
      <c r="I160" s="114">
        <v>45981.0</v>
      </c>
      <c r="J160" s="132"/>
      <c r="K160" s="120" t="str">
        <f>IFERROR(__xludf.DUMMYFUNCTION("""COMPUTED_VALUE"""),"")</f>
        <v/>
      </c>
      <c r="L160" s="114">
        <f>IFERROR(__xludf.DUMMYFUNCTION("""COMPUTED_VALUE"""),45974.0)</f>
        <v>45974</v>
      </c>
      <c r="M160" s="116">
        <v>5.0</v>
      </c>
      <c r="N160" s="110"/>
      <c r="O160" s="110"/>
      <c r="P160" s="110"/>
      <c r="Q160" s="110"/>
      <c r="R160" s="110"/>
      <c r="S160" s="110"/>
      <c r="T160" s="110"/>
      <c r="U160" s="110"/>
      <c r="V160" s="110"/>
      <c r="W160" s="110"/>
      <c r="X160" s="110"/>
      <c r="Y160" s="110"/>
      <c r="Z160" s="110"/>
      <c r="AA160" s="110"/>
      <c r="AB160" s="110"/>
      <c r="AC160" s="110"/>
      <c r="AD160" s="110"/>
    </row>
    <row r="161">
      <c r="A161" s="118" t="s">
        <v>421</v>
      </c>
      <c r="B161" s="112" t="s">
        <v>4491</v>
      </c>
      <c r="C161" s="112" t="s">
        <v>428</v>
      </c>
      <c r="D161" s="119" t="s">
        <v>4301</v>
      </c>
      <c r="E161" s="128">
        <v>45946.0</v>
      </c>
      <c r="F161" s="113" t="s">
        <v>31</v>
      </c>
      <c r="G161" s="113" t="s">
        <v>4343</v>
      </c>
      <c r="H161" s="113"/>
      <c r="I161" s="114">
        <v>45981.0</v>
      </c>
      <c r="J161" s="132"/>
      <c r="K161" s="120" t="str">
        <f>IFERROR(__xludf.DUMMYFUNCTION("""COMPUTED_VALUE"""),"")</f>
        <v/>
      </c>
      <c r="L161" s="114">
        <f>IFERROR(__xludf.DUMMYFUNCTION("""COMPUTED_VALUE"""),45974.0)</f>
        <v>45974</v>
      </c>
      <c r="M161" s="116">
        <v>5.0</v>
      </c>
      <c r="N161" s="110"/>
      <c r="O161" s="110"/>
      <c r="P161" s="110"/>
      <c r="Q161" s="110"/>
      <c r="R161" s="110"/>
      <c r="S161" s="110"/>
      <c r="T161" s="110"/>
      <c r="U161" s="110"/>
      <c r="V161" s="110"/>
      <c r="W161" s="110"/>
      <c r="X161" s="110"/>
      <c r="Y161" s="110"/>
      <c r="Z161" s="110"/>
      <c r="AA161" s="110"/>
      <c r="AB161" s="110"/>
      <c r="AC161" s="110"/>
      <c r="AD161" s="110"/>
    </row>
    <row r="162">
      <c r="A162" s="118" t="s">
        <v>526</v>
      </c>
      <c r="B162" s="112" t="s">
        <v>4492</v>
      </c>
      <c r="C162" s="112">
        <v>2.024250238E9</v>
      </c>
      <c r="D162" s="119" t="s">
        <v>4301</v>
      </c>
      <c r="E162" s="128">
        <v>45946.0</v>
      </c>
      <c r="F162" s="113" t="s">
        <v>327</v>
      </c>
      <c r="G162" s="113" t="s">
        <v>4343</v>
      </c>
      <c r="H162" s="113"/>
      <c r="I162" s="114">
        <v>45981.0</v>
      </c>
      <c r="J162" s="132"/>
      <c r="K162" s="120" t="str">
        <f>IFERROR(__xludf.DUMMYFUNCTION("""COMPUTED_VALUE"""),"")</f>
        <v/>
      </c>
      <c r="L162" s="114">
        <f>IFERROR(__xludf.DUMMYFUNCTION("""COMPUTED_VALUE"""),45974.0)</f>
        <v>45974</v>
      </c>
      <c r="M162" s="116">
        <v>5.0</v>
      </c>
      <c r="N162" s="110"/>
      <c r="O162" s="110"/>
      <c r="P162" s="110"/>
      <c r="Q162" s="110"/>
      <c r="R162" s="110"/>
      <c r="S162" s="110"/>
      <c r="T162" s="110"/>
      <c r="U162" s="110"/>
      <c r="V162" s="110"/>
      <c r="W162" s="110"/>
      <c r="X162" s="110"/>
      <c r="Y162" s="110"/>
      <c r="Z162" s="110"/>
      <c r="AA162" s="110"/>
      <c r="AB162" s="110"/>
      <c r="AC162" s="110"/>
      <c r="AD162" s="110"/>
    </row>
    <row r="163">
      <c r="A163" s="118" t="s">
        <v>1431</v>
      </c>
      <c r="B163" s="112" t="s">
        <v>4493</v>
      </c>
      <c r="C163" s="112" t="s">
        <v>4494</v>
      </c>
      <c r="D163" s="119" t="s">
        <v>4301</v>
      </c>
      <c r="E163" s="128">
        <v>45961.0</v>
      </c>
      <c r="F163" s="113" t="s">
        <v>31</v>
      </c>
      <c r="G163" s="113" t="s">
        <v>4343</v>
      </c>
      <c r="H163" s="113"/>
      <c r="I163" s="114">
        <v>45981.0</v>
      </c>
      <c r="J163" s="132"/>
      <c r="K163" s="120" t="str">
        <f>IFERROR(__xludf.DUMMYFUNCTION("""COMPUTED_VALUE"""),"")</f>
        <v/>
      </c>
      <c r="L163" s="114">
        <f>IFERROR(__xludf.DUMMYFUNCTION("""COMPUTED_VALUE"""),45974.0)</f>
        <v>45974</v>
      </c>
      <c r="M163" s="116">
        <v>5.0</v>
      </c>
      <c r="N163" s="110"/>
      <c r="O163" s="110"/>
      <c r="P163" s="110"/>
      <c r="Q163" s="110"/>
      <c r="R163" s="110"/>
      <c r="S163" s="110"/>
      <c r="T163" s="110"/>
      <c r="U163" s="110"/>
      <c r="V163" s="110"/>
      <c r="W163" s="110"/>
      <c r="X163" s="110"/>
      <c r="Y163" s="110"/>
      <c r="Z163" s="110"/>
      <c r="AA163" s="110"/>
      <c r="AB163" s="110"/>
      <c r="AC163" s="110"/>
      <c r="AD163" s="110"/>
    </row>
    <row r="164">
      <c r="A164" s="118" t="s">
        <v>1529</v>
      </c>
      <c r="B164" s="112" t="s">
        <v>4495</v>
      </c>
      <c r="C164" s="112" t="s">
        <v>1535</v>
      </c>
      <c r="D164" s="119" t="s">
        <v>4301</v>
      </c>
      <c r="E164" s="128">
        <v>45925.0</v>
      </c>
      <c r="F164" s="113" t="s">
        <v>31</v>
      </c>
      <c r="G164" s="113" t="s">
        <v>4343</v>
      </c>
      <c r="H164" s="113" t="s">
        <v>4496</v>
      </c>
      <c r="I164" s="114">
        <v>45981.0</v>
      </c>
      <c r="J164" s="132"/>
      <c r="K164" s="120" t="str">
        <f>IFERROR(__xludf.DUMMYFUNCTION("""COMPUTED_VALUE"""),"")</f>
        <v/>
      </c>
      <c r="L164" s="114">
        <f>IFERROR(__xludf.DUMMYFUNCTION("""COMPUTED_VALUE"""),45974.0)</f>
        <v>45974</v>
      </c>
      <c r="M164" s="116">
        <v>5.0</v>
      </c>
      <c r="N164" s="110"/>
      <c r="O164" s="110"/>
      <c r="P164" s="110"/>
      <c r="Q164" s="110"/>
      <c r="R164" s="110"/>
      <c r="S164" s="110"/>
      <c r="T164" s="110"/>
      <c r="U164" s="110"/>
      <c r="V164" s="110"/>
      <c r="W164" s="110"/>
      <c r="X164" s="110"/>
      <c r="Y164" s="110"/>
      <c r="Z164" s="110"/>
      <c r="AA164" s="110"/>
      <c r="AB164" s="110"/>
      <c r="AC164" s="110"/>
      <c r="AD164" s="110"/>
    </row>
    <row r="165">
      <c r="A165" s="118" t="s">
        <v>1576</v>
      </c>
      <c r="B165" s="112" t="s">
        <v>4497</v>
      </c>
      <c r="C165" s="112">
        <v>2.029071634E9</v>
      </c>
      <c r="D165" s="119" t="s">
        <v>4301</v>
      </c>
      <c r="E165" s="128">
        <v>45946.0</v>
      </c>
      <c r="F165" s="113" t="s">
        <v>31</v>
      </c>
      <c r="G165" s="113" t="s">
        <v>4343</v>
      </c>
      <c r="H165" s="113"/>
      <c r="I165" s="114">
        <v>45981.0</v>
      </c>
      <c r="J165" s="132"/>
      <c r="K165" s="120" t="str">
        <f>IFERROR(__xludf.DUMMYFUNCTION("""COMPUTED_VALUE"""),"")</f>
        <v/>
      </c>
      <c r="L165" s="114">
        <f>IFERROR(__xludf.DUMMYFUNCTION("""COMPUTED_VALUE"""),45974.0)</f>
        <v>45974</v>
      </c>
      <c r="M165" s="116">
        <v>5.0</v>
      </c>
      <c r="N165" s="110"/>
      <c r="O165" s="110"/>
      <c r="P165" s="110"/>
      <c r="Q165" s="110"/>
      <c r="R165" s="110"/>
      <c r="S165" s="110"/>
      <c r="T165" s="110"/>
      <c r="U165" s="110"/>
      <c r="V165" s="110"/>
      <c r="W165" s="110"/>
      <c r="X165" s="110"/>
      <c r="Y165" s="110"/>
      <c r="Z165" s="110"/>
      <c r="AA165" s="110"/>
      <c r="AB165" s="110"/>
      <c r="AC165" s="110"/>
      <c r="AD165" s="110"/>
    </row>
    <row r="166">
      <c r="A166" s="118" t="s">
        <v>2008</v>
      </c>
      <c r="B166" s="112" t="s">
        <v>4498</v>
      </c>
      <c r="C166" s="112">
        <v>2.027053462E9</v>
      </c>
      <c r="D166" s="119" t="s">
        <v>4301</v>
      </c>
      <c r="E166" s="128">
        <v>45931.0</v>
      </c>
      <c r="F166" s="113" t="s">
        <v>282</v>
      </c>
      <c r="G166" s="113" t="s">
        <v>4343</v>
      </c>
      <c r="H166" s="113"/>
      <c r="I166" s="114">
        <v>45981.0</v>
      </c>
      <c r="J166" s="132"/>
      <c r="K166" s="120" t="str">
        <f>IFERROR(__xludf.DUMMYFUNCTION("""COMPUTED_VALUE"""),"")</f>
        <v/>
      </c>
      <c r="L166" s="114">
        <f>IFERROR(__xludf.DUMMYFUNCTION("""COMPUTED_VALUE"""),45974.0)</f>
        <v>45974</v>
      </c>
      <c r="M166" s="116">
        <v>5.0</v>
      </c>
      <c r="N166" s="110"/>
      <c r="O166" s="110"/>
      <c r="P166" s="110"/>
      <c r="Q166" s="110"/>
      <c r="R166" s="110"/>
      <c r="S166" s="110"/>
      <c r="T166" s="110"/>
      <c r="U166" s="110"/>
      <c r="V166" s="110"/>
      <c r="W166" s="110"/>
      <c r="X166" s="110"/>
      <c r="Y166" s="110"/>
      <c r="Z166" s="110"/>
      <c r="AA166" s="110"/>
      <c r="AB166" s="110"/>
      <c r="AC166" s="110"/>
      <c r="AD166" s="110"/>
    </row>
    <row r="167">
      <c r="A167" s="118" t="s">
        <v>2093</v>
      </c>
      <c r="B167" s="112" t="s">
        <v>4499</v>
      </c>
      <c r="C167" s="112" t="s">
        <v>2101</v>
      </c>
      <c r="D167" s="119" t="s">
        <v>4301</v>
      </c>
      <c r="E167" s="128">
        <v>45995.0</v>
      </c>
      <c r="F167" s="113" t="s">
        <v>31</v>
      </c>
      <c r="G167" s="113" t="s">
        <v>4343</v>
      </c>
      <c r="H167" s="113"/>
      <c r="I167" s="114">
        <v>45981.0</v>
      </c>
      <c r="J167" s="132"/>
      <c r="K167" s="120" t="str">
        <f>IFERROR(__xludf.DUMMYFUNCTION("""COMPUTED_VALUE"""),"")</f>
        <v/>
      </c>
      <c r="L167" s="114">
        <f>IFERROR(__xludf.DUMMYFUNCTION("""COMPUTED_VALUE"""),45974.0)</f>
        <v>45974</v>
      </c>
      <c r="M167" s="116">
        <v>5.0</v>
      </c>
      <c r="N167" s="110"/>
      <c r="O167" s="110"/>
      <c r="P167" s="110"/>
      <c r="Q167" s="110"/>
      <c r="R167" s="110"/>
      <c r="S167" s="110"/>
      <c r="T167" s="110"/>
      <c r="U167" s="110"/>
      <c r="V167" s="110"/>
      <c r="W167" s="110"/>
      <c r="X167" s="110"/>
      <c r="Y167" s="110"/>
      <c r="Z167" s="110"/>
      <c r="AA167" s="110"/>
      <c r="AB167" s="110"/>
      <c r="AC167" s="110"/>
      <c r="AD167" s="110"/>
    </row>
    <row r="168">
      <c r="A168" s="118" t="s">
        <v>2170</v>
      </c>
      <c r="B168" s="112" t="s">
        <v>4500</v>
      </c>
      <c r="C168" s="112" t="s">
        <v>2178</v>
      </c>
      <c r="D168" s="119" t="s">
        <v>4301</v>
      </c>
      <c r="E168" s="128">
        <v>45939.0</v>
      </c>
      <c r="F168" s="113" t="s">
        <v>31</v>
      </c>
      <c r="G168" s="113" t="s">
        <v>4343</v>
      </c>
      <c r="H168" s="113"/>
      <c r="I168" s="114">
        <v>45981.0</v>
      </c>
      <c r="J168" s="132"/>
      <c r="K168" s="120" t="str">
        <f>IFERROR(__xludf.DUMMYFUNCTION("""COMPUTED_VALUE"""),"")</f>
        <v/>
      </c>
      <c r="L168" s="114">
        <f>IFERROR(__xludf.DUMMYFUNCTION("""COMPUTED_VALUE"""),45974.0)</f>
        <v>45974</v>
      </c>
      <c r="M168" s="116">
        <v>5.0</v>
      </c>
      <c r="N168" s="110"/>
      <c r="O168" s="110"/>
      <c r="P168" s="110"/>
      <c r="Q168" s="110"/>
      <c r="R168" s="110"/>
      <c r="S168" s="110"/>
      <c r="T168" s="110"/>
      <c r="U168" s="110"/>
      <c r="V168" s="110"/>
      <c r="W168" s="110"/>
      <c r="X168" s="110"/>
      <c r="Y168" s="110"/>
      <c r="Z168" s="110"/>
      <c r="AA168" s="110"/>
      <c r="AB168" s="110"/>
      <c r="AC168" s="110"/>
      <c r="AD168" s="110"/>
    </row>
    <row r="169">
      <c r="A169" s="118" t="s">
        <v>249</v>
      </c>
      <c r="B169" s="112" t="s">
        <v>4489</v>
      </c>
      <c r="C169" s="112" t="s">
        <v>258</v>
      </c>
      <c r="D169" s="119" t="s">
        <v>4301</v>
      </c>
      <c r="E169" s="128">
        <v>45946.0</v>
      </c>
      <c r="F169" s="113" t="s">
        <v>31</v>
      </c>
      <c r="G169" s="113" t="s">
        <v>4343</v>
      </c>
      <c r="H169" s="113"/>
      <c r="I169" s="114">
        <v>45981.0</v>
      </c>
      <c r="J169" s="132"/>
      <c r="K169" s="120" t="str">
        <f>IFERROR(__xludf.DUMMYFUNCTION("""COMPUTED_VALUE"""),"")</f>
        <v/>
      </c>
      <c r="L169" s="114">
        <f>IFERROR(__xludf.DUMMYFUNCTION("""COMPUTED_VALUE"""),45974.0)</f>
        <v>45974</v>
      </c>
      <c r="M169" s="116">
        <v>5.0</v>
      </c>
      <c r="N169" s="110"/>
      <c r="O169" s="110"/>
      <c r="P169" s="110"/>
      <c r="Q169" s="110"/>
      <c r="R169" s="110"/>
      <c r="S169" s="110"/>
      <c r="T169" s="110"/>
      <c r="U169" s="110"/>
      <c r="V169" s="110"/>
      <c r="W169" s="110"/>
      <c r="X169" s="110"/>
      <c r="Y169" s="110"/>
      <c r="Z169" s="110"/>
      <c r="AA169" s="110"/>
      <c r="AB169" s="110"/>
      <c r="AC169" s="110"/>
      <c r="AD169" s="110"/>
    </row>
    <row r="170">
      <c r="A170" s="118" t="s">
        <v>3013</v>
      </c>
      <c r="B170" s="112" t="s">
        <v>4501</v>
      </c>
      <c r="C170" s="112" t="s">
        <v>3021</v>
      </c>
      <c r="D170" s="119" t="s">
        <v>4301</v>
      </c>
      <c r="E170" s="128">
        <v>45977.0</v>
      </c>
      <c r="F170" s="113" t="s">
        <v>4310</v>
      </c>
      <c r="G170" s="113" t="s">
        <v>4343</v>
      </c>
      <c r="H170" s="113" t="s">
        <v>4502</v>
      </c>
      <c r="I170" s="114">
        <v>45981.0</v>
      </c>
      <c r="J170" s="132"/>
      <c r="K170" s="120" t="str">
        <f>IFERROR(__xludf.DUMMYFUNCTION("""COMPUTED_VALUE"""),"")</f>
        <v/>
      </c>
      <c r="L170" s="114">
        <f>IFERROR(__xludf.DUMMYFUNCTION("""COMPUTED_VALUE"""),45974.0)</f>
        <v>45974</v>
      </c>
      <c r="M170" s="116">
        <v>5.0</v>
      </c>
      <c r="N170" s="110"/>
      <c r="O170" s="110"/>
      <c r="P170" s="110"/>
      <c r="Q170" s="110"/>
      <c r="R170" s="110"/>
      <c r="S170" s="110"/>
      <c r="T170" s="110"/>
      <c r="U170" s="110"/>
      <c r="V170" s="110"/>
      <c r="W170" s="110"/>
      <c r="X170" s="110"/>
      <c r="Y170" s="110"/>
      <c r="Z170" s="110"/>
      <c r="AA170" s="110"/>
      <c r="AB170" s="110"/>
      <c r="AC170" s="110"/>
      <c r="AD170" s="110"/>
    </row>
    <row r="171">
      <c r="A171" s="118" t="s">
        <v>3529</v>
      </c>
      <c r="B171" s="112" t="s">
        <v>4503</v>
      </c>
      <c r="C171" s="112" t="s">
        <v>3530</v>
      </c>
      <c r="D171" s="119" t="s">
        <v>4301</v>
      </c>
      <c r="E171" s="128">
        <v>45953.0</v>
      </c>
      <c r="F171" s="113"/>
      <c r="G171" s="113" t="s">
        <v>4343</v>
      </c>
      <c r="H171" s="113"/>
      <c r="I171" s="114">
        <v>45981.0</v>
      </c>
      <c r="J171" s="132"/>
      <c r="K171" s="120" t="str">
        <f>IFERROR(__xludf.DUMMYFUNCTION("""COMPUTED_VALUE"""),"")</f>
        <v/>
      </c>
      <c r="L171" s="114">
        <f>IFERROR(__xludf.DUMMYFUNCTION("""COMPUTED_VALUE"""),45974.0)</f>
        <v>45974</v>
      </c>
      <c r="M171" s="116">
        <v>5.0</v>
      </c>
      <c r="N171" s="110"/>
      <c r="O171" s="110"/>
      <c r="P171" s="110"/>
      <c r="Q171" s="110"/>
      <c r="R171" s="110"/>
      <c r="S171" s="110"/>
      <c r="T171" s="110"/>
      <c r="U171" s="110"/>
      <c r="V171" s="110"/>
      <c r="W171" s="110"/>
      <c r="X171" s="110"/>
      <c r="Y171" s="110"/>
      <c r="Z171" s="110"/>
      <c r="AA171" s="110"/>
      <c r="AB171" s="110"/>
      <c r="AC171" s="110"/>
      <c r="AD171" s="110"/>
    </row>
    <row r="172">
      <c r="A172" s="118" t="s">
        <v>168</v>
      </c>
      <c r="B172" s="112" t="s">
        <v>4504</v>
      </c>
      <c r="C172" s="112" t="s">
        <v>177</v>
      </c>
      <c r="D172" s="119" t="s">
        <v>4301</v>
      </c>
      <c r="E172" s="128">
        <v>45946.0</v>
      </c>
      <c r="F172" s="113" t="s">
        <v>31</v>
      </c>
      <c r="G172" s="113" t="s">
        <v>4343</v>
      </c>
      <c r="H172" s="113"/>
      <c r="I172" s="114">
        <v>45982.0</v>
      </c>
      <c r="J172" s="132"/>
      <c r="K172" s="120" t="str">
        <f>IFERROR(__xludf.DUMMYFUNCTION("""COMPUTED_VALUE"""),"")</f>
        <v/>
      </c>
      <c r="L172" s="114">
        <f>IFERROR(__xludf.DUMMYFUNCTION("""COMPUTED_VALUE"""),45975.0)</f>
        <v>45975</v>
      </c>
      <c r="M172" s="116">
        <v>5.0</v>
      </c>
      <c r="N172" s="110"/>
      <c r="O172" s="110"/>
      <c r="P172" s="110"/>
      <c r="Q172" s="110"/>
      <c r="R172" s="110"/>
      <c r="S172" s="110"/>
      <c r="T172" s="110"/>
      <c r="U172" s="110"/>
      <c r="V172" s="110"/>
      <c r="W172" s="110"/>
      <c r="X172" s="110"/>
      <c r="Y172" s="110"/>
      <c r="Z172" s="110"/>
      <c r="AA172" s="110"/>
      <c r="AB172" s="110"/>
      <c r="AC172" s="110"/>
      <c r="AD172" s="110"/>
    </row>
    <row r="173">
      <c r="A173" s="118" t="s">
        <v>318</v>
      </c>
      <c r="B173" s="112" t="s">
        <v>4505</v>
      </c>
      <c r="C173" s="112">
        <v>2.027185014E9</v>
      </c>
      <c r="D173" s="119" t="s">
        <v>4301</v>
      </c>
      <c r="E173" s="128">
        <v>45946.0</v>
      </c>
      <c r="F173" s="113" t="s">
        <v>31</v>
      </c>
      <c r="G173" s="113" t="s">
        <v>4343</v>
      </c>
      <c r="H173" s="113"/>
      <c r="I173" s="114">
        <v>45982.0</v>
      </c>
      <c r="J173" s="132"/>
      <c r="K173" s="120" t="str">
        <f>IFERROR(__xludf.DUMMYFUNCTION("""COMPUTED_VALUE"""),"")</f>
        <v/>
      </c>
      <c r="L173" s="114">
        <f>IFERROR(__xludf.DUMMYFUNCTION("""COMPUTED_VALUE"""),45975.0)</f>
        <v>45975</v>
      </c>
      <c r="M173" s="116">
        <v>5.0</v>
      </c>
      <c r="N173" s="110"/>
      <c r="O173" s="110"/>
      <c r="P173" s="110"/>
      <c r="Q173" s="110"/>
      <c r="R173" s="110"/>
      <c r="S173" s="110"/>
      <c r="T173" s="110"/>
      <c r="U173" s="110"/>
      <c r="V173" s="110"/>
      <c r="W173" s="110"/>
      <c r="X173" s="110"/>
      <c r="Y173" s="110"/>
      <c r="Z173" s="110"/>
      <c r="AA173" s="110"/>
      <c r="AB173" s="110"/>
      <c r="AC173" s="110"/>
      <c r="AD173" s="110"/>
    </row>
    <row r="174">
      <c r="A174" s="118" t="s">
        <v>328</v>
      </c>
      <c r="B174" s="112" t="s">
        <v>4506</v>
      </c>
      <c r="C174" s="112" t="s">
        <v>333</v>
      </c>
      <c r="D174" s="119" t="s">
        <v>4301</v>
      </c>
      <c r="E174" s="128">
        <v>45946.0</v>
      </c>
      <c r="F174" s="113" t="s">
        <v>31</v>
      </c>
      <c r="G174" s="113" t="s">
        <v>4343</v>
      </c>
      <c r="H174" s="113"/>
      <c r="I174" s="114">
        <v>45982.0</v>
      </c>
      <c r="J174" s="132"/>
      <c r="K174" s="120" t="str">
        <f>IFERROR(__xludf.DUMMYFUNCTION("""COMPUTED_VALUE"""),"")</f>
        <v/>
      </c>
      <c r="L174" s="114">
        <f>IFERROR(__xludf.DUMMYFUNCTION("""COMPUTED_VALUE"""),45975.0)</f>
        <v>45975</v>
      </c>
      <c r="M174" s="116">
        <v>5.0</v>
      </c>
      <c r="N174" s="110"/>
      <c r="O174" s="110"/>
      <c r="P174" s="110"/>
      <c r="Q174" s="110"/>
      <c r="R174" s="110"/>
      <c r="S174" s="110"/>
      <c r="T174" s="110"/>
      <c r="U174" s="110"/>
      <c r="V174" s="110"/>
      <c r="W174" s="110"/>
      <c r="X174" s="110"/>
      <c r="Y174" s="110"/>
      <c r="Z174" s="110"/>
      <c r="AA174" s="110"/>
      <c r="AB174" s="110"/>
      <c r="AC174" s="110"/>
      <c r="AD174" s="110"/>
    </row>
    <row r="175">
      <c r="A175" s="118" t="s">
        <v>1225</v>
      </c>
      <c r="B175" s="112" t="s">
        <v>4507</v>
      </c>
      <c r="C175" s="112">
        <v>2.028085289E9</v>
      </c>
      <c r="D175" s="119" t="s">
        <v>4301</v>
      </c>
      <c r="E175" s="128">
        <v>45960.0</v>
      </c>
      <c r="F175" s="113" t="s">
        <v>31</v>
      </c>
      <c r="G175" s="113" t="s">
        <v>4343</v>
      </c>
      <c r="H175" s="113"/>
      <c r="I175" s="114">
        <v>45982.0</v>
      </c>
      <c r="J175" s="132"/>
      <c r="K175" s="120" t="str">
        <f>IFERROR(__xludf.DUMMYFUNCTION("""COMPUTED_VALUE"""),"")</f>
        <v/>
      </c>
      <c r="L175" s="114">
        <f>IFERROR(__xludf.DUMMYFUNCTION("""COMPUTED_VALUE"""),45975.0)</f>
        <v>45975</v>
      </c>
      <c r="M175" s="116">
        <v>5.0</v>
      </c>
      <c r="N175" s="110"/>
      <c r="O175" s="110"/>
      <c r="P175" s="110"/>
      <c r="Q175" s="110"/>
      <c r="R175" s="110"/>
      <c r="S175" s="110"/>
      <c r="T175" s="110"/>
      <c r="U175" s="110"/>
      <c r="V175" s="110"/>
      <c r="W175" s="110"/>
      <c r="X175" s="110"/>
      <c r="Y175" s="110"/>
      <c r="Z175" s="110"/>
      <c r="AA175" s="110"/>
      <c r="AB175" s="110"/>
      <c r="AC175" s="110"/>
      <c r="AD175" s="110"/>
    </row>
    <row r="176">
      <c r="A176" s="118" t="s">
        <v>1247</v>
      </c>
      <c r="B176" s="112" t="s">
        <v>4508</v>
      </c>
      <c r="C176" s="112">
        <v>2.02381742E9</v>
      </c>
      <c r="D176" s="119" t="s">
        <v>4301</v>
      </c>
      <c r="E176" s="128"/>
      <c r="F176" s="113" t="s">
        <v>327</v>
      </c>
      <c r="G176" s="113" t="s">
        <v>4343</v>
      </c>
      <c r="H176" s="113"/>
      <c r="I176" s="114">
        <v>45982.0</v>
      </c>
      <c r="J176" s="132"/>
      <c r="K176" s="120" t="str">
        <f>IFERROR(__xludf.DUMMYFUNCTION("""COMPUTED_VALUE"""),"")</f>
        <v/>
      </c>
      <c r="L176" s="114">
        <f>IFERROR(__xludf.DUMMYFUNCTION("""COMPUTED_VALUE"""),45975.0)</f>
        <v>45975</v>
      </c>
      <c r="M176" s="116">
        <v>5.0</v>
      </c>
      <c r="N176" s="110"/>
      <c r="O176" s="110"/>
      <c r="P176" s="110"/>
      <c r="Q176" s="110"/>
      <c r="R176" s="110"/>
      <c r="S176" s="110"/>
      <c r="T176" s="110"/>
      <c r="U176" s="110"/>
      <c r="V176" s="110"/>
      <c r="W176" s="110"/>
      <c r="X176" s="110"/>
      <c r="Y176" s="110"/>
      <c r="Z176" s="110"/>
      <c r="AA176" s="110"/>
      <c r="AB176" s="110"/>
      <c r="AC176" s="110"/>
      <c r="AD176" s="110"/>
    </row>
    <row r="177">
      <c r="A177" s="118" t="s">
        <v>2082</v>
      </c>
      <c r="B177" s="112" t="s">
        <v>4509</v>
      </c>
      <c r="C177" s="112" t="s">
        <v>2090</v>
      </c>
      <c r="D177" s="119" t="s">
        <v>4301</v>
      </c>
      <c r="E177" s="128">
        <v>45977.0</v>
      </c>
      <c r="F177" s="113" t="s">
        <v>4310</v>
      </c>
      <c r="G177" s="113" t="s">
        <v>4343</v>
      </c>
      <c r="H177" s="113"/>
      <c r="I177" s="114">
        <v>45982.0</v>
      </c>
      <c r="J177" s="132"/>
      <c r="K177" s="120" t="str">
        <f>IFERROR(__xludf.DUMMYFUNCTION("""COMPUTED_VALUE"""),"")</f>
        <v/>
      </c>
      <c r="L177" s="114">
        <f>IFERROR(__xludf.DUMMYFUNCTION("""COMPUTED_VALUE"""),45975.0)</f>
        <v>45975</v>
      </c>
      <c r="M177" s="116">
        <v>5.0</v>
      </c>
      <c r="N177" s="110"/>
      <c r="O177" s="110"/>
      <c r="P177" s="110"/>
      <c r="Q177" s="110"/>
      <c r="R177" s="110"/>
      <c r="S177" s="110"/>
      <c r="T177" s="110"/>
      <c r="U177" s="110"/>
      <c r="V177" s="110"/>
      <c r="W177" s="110"/>
      <c r="X177" s="110"/>
      <c r="Y177" s="110"/>
      <c r="Z177" s="110"/>
      <c r="AA177" s="110"/>
      <c r="AB177" s="110"/>
      <c r="AC177" s="110"/>
      <c r="AD177" s="110"/>
    </row>
    <row r="178">
      <c r="A178" s="118" t="s">
        <v>3136</v>
      </c>
      <c r="B178" s="112" t="s">
        <v>4510</v>
      </c>
      <c r="C178" s="112" t="s">
        <v>3144</v>
      </c>
      <c r="D178" s="119" t="s">
        <v>4301</v>
      </c>
      <c r="E178" s="128"/>
      <c r="F178" s="113" t="s">
        <v>31</v>
      </c>
      <c r="G178" s="113" t="s">
        <v>4343</v>
      </c>
      <c r="H178" s="113"/>
      <c r="I178" s="114">
        <v>45982.0</v>
      </c>
      <c r="J178" s="132"/>
      <c r="K178" s="120" t="str">
        <f>IFERROR(__xludf.DUMMYFUNCTION("""COMPUTED_VALUE"""),"")</f>
        <v/>
      </c>
      <c r="L178" s="114">
        <f>IFERROR(__xludf.DUMMYFUNCTION("""COMPUTED_VALUE"""),45975.0)</f>
        <v>45975</v>
      </c>
      <c r="M178" s="116">
        <v>5.0</v>
      </c>
      <c r="N178" s="110"/>
      <c r="O178" s="110"/>
      <c r="P178" s="110"/>
      <c r="Q178" s="110"/>
      <c r="R178" s="110"/>
      <c r="S178" s="110"/>
      <c r="T178" s="110"/>
      <c r="U178" s="110"/>
      <c r="V178" s="110"/>
      <c r="W178" s="110"/>
      <c r="X178" s="110"/>
      <c r="Y178" s="110"/>
      <c r="Z178" s="110"/>
      <c r="AA178" s="110"/>
      <c r="AB178" s="110"/>
      <c r="AC178" s="110"/>
      <c r="AD178" s="110"/>
    </row>
    <row r="179">
      <c r="A179" s="118" t="s">
        <v>3622</v>
      </c>
      <c r="B179" s="112" t="s">
        <v>4511</v>
      </c>
      <c r="C179" s="112" t="s">
        <v>3630</v>
      </c>
      <c r="D179" s="119" t="s">
        <v>4301</v>
      </c>
      <c r="E179" s="128"/>
      <c r="F179" s="113"/>
      <c r="G179" s="113" t="s">
        <v>4343</v>
      </c>
      <c r="H179" s="113"/>
      <c r="I179" s="114">
        <v>45982.0</v>
      </c>
      <c r="J179" s="132"/>
      <c r="K179" s="120" t="str">
        <f>IFERROR(__xludf.DUMMYFUNCTION("""COMPUTED_VALUE"""),"")</f>
        <v/>
      </c>
      <c r="L179" s="114">
        <f>IFERROR(__xludf.DUMMYFUNCTION("""COMPUTED_VALUE"""),45975.0)</f>
        <v>45975</v>
      </c>
      <c r="M179" s="116">
        <v>5.0</v>
      </c>
      <c r="N179" s="110"/>
      <c r="O179" s="110"/>
      <c r="P179" s="110"/>
      <c r="Q179" s="110"/>
      <c r="R179" s="110"/>
      <c r="S179" s="110"/>
      <c r="T179" s="110"/>
      <c r="U179" s="110"/>
      <c r="V179" s="110"/>
      <c r="W179" s="110"/>
      <c r="X179" s="110"/>
      <c r="Y179" s="110"/>
      <c r="Z179" s="110"/>
      <c r="AA179" s="110"/>
      <c r="AB179" s="110"/>
      <c r="AC179" s="110"/>
      <c r="AD179" s="110"/>
    </row>
    <row r="180">
      <c r="A180" s="117" t="s">
        <v>3869</v>
      </c>
      <c r="B180" s="112" t="s">
        <v>4512</v>
      </c>
      <c r="C180" s="112" t="s">
        <v>3878</v>
      </c>
      <c r="D180" s="119" t="s">
        <v>4301</v>
      </c>
      <c r="E180" s="128">
        <v>45917.0</v>
      </c>
      <c r="F180" s="113" t="s">
        <v>643</v>
      </c>
      <c r="G180" s="113" t="s">
        <v>4343</v>
      </c>
      <c r="H180" s="113"/>
      <c r="I180" s="114">
        <v>45982.0</v>
      </c>
      <c r="J180" s="132"/>
      <c r="K180" s="120" t="str">
        <f>IFERROR(__xludf.DUMMYFUNCTION("""COMPUTED_VALUE"""),"")</f>
        <v/>
      </c>
      <c r="L180" s="114">
        <f>IFERROR(__xludf.DUMMYFUNCTION("""COMPUTED_VALUE"""),45975.0)</f>
        <v>45975</v>
      </c>
      <c r="M180" s="116">
        <v>5.0</v>
      </c>
      <c r="N180" s="110"/>
      <c r="O180" s="110"/>
      <c r="P180" s="110"/>
      <c r="Q180" s="110"/>
      <c r="R180" s="110"/>
      <c r="S180" s="110"/>
      <c r="T180" s="110"/>
      <c r="U180" s="110"/>
      <c r="V180" s="110"/>
      <c r="W180" s="110"/>
      <c r="X180" s="110"/>
      <c r="Y180" s="110"/>
      <c r="Z180" s="110"/>
      <c r="AA180" s="110"/>
      <c r="AB180" s="110"/>
      <c r="AC180" s="110"/>
      <c r="AD180" s="110"/>
    </row>
    <row r="181">
      <c r="A181" s="118" t="s">
        <v>307</v>
      </c>
      <c r="B181" s="112" t="s">
        <v>4513</v>
      </c>
      <c r="C181" s="112">
        <v>2.028831404E9</v>
      </c>
      <c r="D181" s="119" t="s">
        <v>4301</v>
      </c>
      <c r="E181" s="128">
        <v>45981.0</v>
      </c>
      <c r="F181" s="113" t="s">
        <v>31</v>
      </c>
      <c r="G181" s="113" t="s">
        <v>4343</v>
      </c>
      <c r="H181" s="113"/>
      <c r="I181" s="114">
        <v>45986.0</v>
      </c>
      <c r="J181" s="132"/>
      <c r="K181" s="120" t="str">
        <f>IFERROR(__xludf.DUMMYFUNCTION("""COMPUTED_VALUE"""),"")</f>
        <v/>
      </c>
      <c r="L181" s="114">
        <f>IFERROR(__xludf.DUMMYFUNCTION("""COMPUTED_VALUE"""),45979.0)</f>
        <v>45979</v>
      </c>
      <c r="M181" s="116">
        <v>5.0</v>
      </c>
      <c r="N181" s="110"/>
      <c r="O181" s="110"/>
      <c r="P181" s="110"/>
      <c r="Q181" s="110"/>
      <c r="R181" s="110"/>
      <c r="S181" s="110"/>
      <c r="T181" s="110"/>
      <c r="U181" s="110"/>
      <c r="V181" s="110"/>
      <c r="W181" s="110"/>
      <c r="X181" s="110"/>
      <c r="Y181" s="110"/>
      <c r="Z181" s="110"/>
      <c r="AA181" s="110"/>
      <c r="AB181" s="110"/>
      <c r="AC181" s="110"/>
      <c r="AD181" s="110"/>
    </row>
    <row r="182">
      <c r="A182" s="118" t="s">
        <v>539</v>
      </c>
      <c r="B182" s="112" t="s">
        <v>4514</v>
      </c>
      <c r="C182" s="112">
        <v>7.712006882E9</v>
      </c>
      <c r="D182" s="119" t="s">
        <v>4301</v>
      </c>
      <c r="E182" s="128">
        <v>45946.0</v>
      </c>
      <c r="F182" s="113" t="s">
        <v>31</v>
      </c>
      <c r="G182" s="113" t="s">
        <v>4343</v>
      </c>
      <c r="H182" s="113"/>
      <c r="I182" s="114">
        <v>45986.0</v>
      </c>
      <c r="J182" s="132"/>
      <c r="K182" s="120" t="str">
        <f>IFERROR(__xludf.DUMMYFUNCTION("""COMPUTED_VALUE"""),"")</f>
        <v/>
      </c>
      <c r="L182" s="114">
        <f>IFERROR(__xludf.DUMMYFUNCTION("""COMPUTED_VALUE"""),45979.0)</f>
        <v>45979</v>
      </c>
      <c r="M182" s="116">
        <v>5.0</v>
      </c>
      <c r="N182" s="110"/>
      <c r="O182" s="110"/>
      <c r="P182" s="110"/>
      <c r="Q182" s="110"/>
      <c r="R182" s="110"/>
      <c r="S182" s="110"/>
      <c r="T182" s="110"/>
      <c r="U182" s="110"/>
      <c r="V182" s="110"/>
      <c r="W182" s="110"/>
      <c r="X182" s="110"/>
      <c r="Y182" s="110"/>
      <c r="Z182" s="110"/>
      <c r="AA182" s="110"/>
      <c r="AB182" s="110"/>
      <c r="AC182" s="110"/>
      <c r="AD182" s="110"/>
    </row>
    <row r="183">
      <c r="A183" s="118" t="s">
        <v>644</v>
      </c>
      <c r="B183" s="112" t="s">
        <v>4515</v>
      </c>
      <c r="C183" s="112">
        <v>2.405564396E9</v>
      </c>
      <c r="D183" s="119" t="s">
        <v>4301</v>
      </c>
      <c r="E183" s="128">
        <v>45889.0</v>
      </c>
      <c r="F183" s="113"/>
      <c r="G183" s="113" t="s">
        <v>4343</v>
      </c>
      <c r="H183" s="113" t="s">
        <v>4437</v>
      </c>
      <c r="I183" s="114">
        <v>45986.0</v>
      </c>
      <c r="J183" s="132"/>
      <c r="K183" s="120" t="str">
        <f>IFERROR(__xludf.DUMMYFUNCTION("""COMPUTED_VALUE"""),"")</f>
        <v/>
      </c>
      <c r="L183" s="114">
        <f>IFERROR(__xludf.DUMMYFUNCTION("""COMPUTED_VALUE"""),45979.0)</f>
        <v>45979</v>
      </c>
      <c r="M183" s="116">
        <v>5.0</v>
      </c>
      <c r="N183" s="110"/>
      <c r="O183" s="110"/>
      <c r="P183" s="110"/>
      <c r="Q183" s="110"/>
      <c r="R183" s="110"/>
      <c r="S183" s="110"/>
      <c r="T183" s="110"/>
      <c r="U183" s="110"/>
      <c r="V183" s="110"/>
      <c r="W183" s="110"/>
      <c r="X183" s="110"/>
      <c r="Y183" s="110"/>
      <c r="Z183" s="110"/>
      <c r="AA183" s="110"/>
      <c r="AB183" s="110"/>
      <c r="AC183" s="110"/>
      <c r="AD183" s="110"/>
    </row>
    <row r="184">
      <c r="A184" s="118" t="s">
        <v>739</v>
      </c>
      <c r="B184" s="112" t="s">
        <v>4516</v>
      </c>
      <c r="C184" s="112">
        <v>2.023593456E9</v>
      </c>
      <c r="D184" s="119" t="s">
        <v>4301</v>
      </c>
      <c r="E184" s="128">
        <v>45981.0</v>
      </c>
      <c r="F184" s="113" t="s">
        <v>4313</v>
      </c>
      <c r="G184" s="113" t="s">
        <v>4343</v>
      </c>
      <c r="H184" s="113"/>
      <c r="I184" s="114">
        <v>45986.0</v>
      </c>
      <c r="J184" s="132"/>
      <c r="K184" s="120" t="str">
        <f>IFERROR(__xludf.DUMMYFUNCTION("""COMPUTED_VALUE"""),"")</f>
        <v/>
      </c>
      <c r="L184" s="114">
        <f>IFERROR(__xludf.DUMMYFUNCTION("""COMPUTED_VALUE"""),45979.0)</f>
        <v>45979</v>
      </c>
      <c r="M184" s="116">
        <v>5.0</v>
      </c>
      <c r="N184" s="110"/>
      <c r="O184" s="110"/>
      <c r="P184" s="110"/>
      <c r="Q184" s="110"/>
      <c r="R184" s="110"/>
      <c r="S184" s="110"/>
      <c r="T184" s="110"/>
      <c r="U184" s="110"/>
      <c r="V184" s="110"/>
      <c r="W184" s="110"/>
      <c r="X184" s="110"/>
      <c r="Y184" s="110"/>
      <c r="Z184" s="110"/>
      <c r="AA184" s="110"/>
      <c r="AB184" s="110"/>
      <c r="AC184" s="110"/>
      <c r="AD184" s="110"/>
    </row>
    <row r="185">
      <c r="A185" s="118" t="s">
        <v>744</v>
      </c>
      <c r="B185" s="112" t="s">
        <v>4517</v>
      </c>
      <c r="C185" s="112">
        <v>7.712339043E9</v>
      </c>
      <c r="D185" s="119" t="s">
        <v>4301</v>
      </c>
      <c r="E185" s="128">
        <v>45981.0</v>
      </c>
      <c r="F185" s="113" t="s">
        <v>327</v>
      </c>
      <c r="G185" s="113" t="s">
        <v>4343</v>
      </c>
      <c r="H185" s="113"/>
      <c r="I185" s="114">
        <v>45986.0</v>
      </c>
      <c r="J185" s="132"/>
      <c r="K185" s="120" t="str">
        <f>IFERROR(__xludf.DUMMYFUNCTION("""COMPUTED_VALUE"""),"")</f>
        <v/>
      </c>
      <c r="L185" s="114">
        <f>IFERROR(__xludf.DUMMYFUNCTION("""COMPUTED_VALUE"""),45979.0)</f>
        <v>45979</v>
      </c>
      <c r="M185" s="116">
        <v>5.0</v>
      </c>
      <c r="N185" s="110"/>
      <c r="O185" s="110"/>
      <c r="P185" s="110"/>
      <c r="Q185" s="110"/>
      <c r="R185" s="110"/>
      <c r="S185" s="110"/>
      <c r="T185" s="110"/>
      <c r="U185" s="110"/>
      <c r="V185" s="110"/>
      <c r="W185" s="110"/>
      <c r="X185" s="110"/>
      <c r="Y185" s="110"/>
      <c r="Z185" s="110"/>
      <c r="AA185" s="110"/>
      <c r="AB185" s="110"/>
      <c r="AC185" s="110"/>
      <c r="AD185" s="110"/>
    </row>
    <row r="186">
      <c r="A186" s="118" t="s">
        <v>1821</v>
      </c>
      <c r="B186" s="112" t="s">
        <v>4518</v>
      </c>
      <c r="C186" s="112" t="s">
        <v>1826</v>
      </c>
      <c r="D186" s="119" t="s">
        <v>4301</v>
      </c>
      <c r="E186" s="128">
        <v>45971.0</v>
      </c>
      <c r="F186" s="113" t="s">
        <v>4305</v>
      </c>
      <c r="G186" s="113" t="s">
        <v>4343</v>
      </c>
      <c r="H186" s="113"/>
      <c r="I186" s="114">
        <v>45986.0</v>
      </c>
      <c r="J186" s="132"/>
      <c r="K186" s="120" t="str">
        <f>IFERROR(__xludf.DUMMYFUNCTION("""COMPUTED_VALUE"""),"")</f>
        <v/>
      </c>
      <c r="L186" s="114">
        <f>IFERROR(__xludf.DUMMYFUNCTION("""COMPUTED_VALUE"""),45979.0)</f>
        <v>45979</v>
      </c>
      <c r="M186" s="116">
        <v>5.0</v>
      </c>
      <c r="N186" s="110"/>
      <c r="O186" s="110"/>
      <c r="P186" s="110"/>
      <c r="Q186" s="110"/>
      <c r="R186" s="110"/>
      <c r="S186" s="110"/>
      <c r="T186" s="110"/>
      <c r="U186" s="110"/>
      <c r="V186" s="110"/>
      <c r="W186" s="110"/>
      <c r="X186" s="110"/>
      <c r="Y186" s="110"/>
      <c r="Z186" s="110"/>
      <c r="AA186" s="110"/>
      <c r="AB186" s="110"/>
      <c r="AC186" s="110"/>
      <c r="AD186" s="110"/>
    </row>
    <row r="187">
      <c r="A187" s="118" t="s">
        <v>1913</v>
      </c>
      <c r="B187" s="112" t="s">
        <v>4519</v>
      </c>
      <c r="C187" s="112">
        <v>2.02940729E9</v>
      </c>
      <c r="D187" s="119" t="s">
        <v>4301</v>
      </c>
      <c r="E187" s="128">
        <v>45985.0</v>
      </c>
      <c r="F187" s="113" t="s">
        <v>31</v>
      </c>
      <c r="G187" s="113" t="s">
        <v>4343</v>
      </c>
      <c r="H187" s="113" t="s">
        <v>4311</v>
      </c>
      <c r="I187" s="114">
        <v>45986.0</v>
      </c>
      <c r="J187" s="132"/>
      <c r="K187" s="120" t="str">
        <f>IFERROR(__xludf.DUMMYFUNCTION("""COMPUTED_VALUE"""),"")</f>
        <v/>
      </c>
      <c r="L187" s="114">
        <f>IFERROR(__xludf.DUMMYFUNCTION("""COMPUTED_VALUE"""),45979.0)</f>
        <v>45979</v>
      </c>
      <c r="M187" s="116">
        <v>5.0</v>
      </c>
      <c r="N187" s="110"/>
      <c r="O187" s="110"/>
      <c r="P187" s="110"/>
      <c r="Q187" s="110"/>
      <c r="R187" s="110"/>
      <c r="S187" s="110"/>
      <c r="T187" s="110"/>
      <c r="U187" s="110"/>
      <c r="V187" s="110"/>
      <c r="W187" s="110"/>
      <c r="X187" s="110"/>
      <c r="Y187" s="110"/>
      <c r="Z187" s="110"/>
      <c r="AA187" s="110"/>
      <c r="AB187" s="110"/>
      <c r="AC187" s="110"/>
      <c r="AD187" s="110"/>
    </row>
    <row r="188">
      <c r="A188" s="118" t="s">
        <v>1990</v>
      </c>
      <c r="B188" s="112" t="s">
        <v>4520</v>
      </c>
      <c r="C188" s="112" t="s">
        <v>1998</v>
      </c>
      <c r="D188" s="119" t="s">
        <v>4301</v>
      </c>
      <c r="E188" s="128">
        <v>45981.0</v>
      </c>
      <c r="F188" s="113" t="s">
        <v>4313</v>
      </c>
      <c r="G188" s="113" t="s">
        <v>4343</v>
      </c>
      <c r="H188" s="113" t="s">
        <v>4521</v>
      </c>
      <c r="I188" s="114">
        <v>45986.0</v>
      </c>
      <c r="J188" s="132"/>
      <c r="K188" s="120" t="str">
        <f>IFERROR(__xludf.DUMMYFUNCTION("""COMPUTED_VALUE"""),"")</f>
        <v/>
      </c>
      <c r="L188" s="114">
        <f>IFERROR(__xludf.DUMMYFUNCTION("""COMPUTED_VALUE"""),45979.0)</f>
        <v>45979</v>
      </c>
      <c r="M188" s="116">
        <v>5.0</v>
      </c>
      <c r="N188" s="110"/>
      <c r="O188" s="110"/>
      <c r="P188" s="110"/>
      <c r="Q188" s="110"/>
      <c r="R188" s="110"/>
      <c r="S188" s="110"/>
      <c r="T188" s="110"/>
      <c r="U188" s="110"/>
      <c r="V188" s="110"/>
      <c r="W188" s="110"/>
      <c r="X188" s="110"/>
      <c r="Y188" s="110"/>
      <c r="Z188" s="110"/>
      <c r="AA188" s="110"/>
      <c r="AB188" s="110"/>
      <c r="AC188" s="110"/>
      <c r="AD188" s="110"/>
    </row>
    <row r="189">
      <c r="A189" s="118" t="s">
        <v>2691</v>
      </c>
      <c r="B189" s="112" t="s">
        <v>4522</v>
      </c>
      <c r="C189" s="112" t="s">
        <v>2699</v>
      </c>
      <c r="D189" s="119" t="s">
        <v>4301</v>
      </c>
      <c r="E189" s="128">
        <v>45985.0</v>
      </c>
      <c r="F189" s="113" t="s">
        <v>31</v>
      </c>
      <c r="G189" s="113" t="s">
        <v>4343</v>
      </c>
      <c r="H189" s="113"/>
      <c r="I189" s="114">
        <v>45986.0</v>
      </c>
      <c r="J189" s="132"/>
      <c r="K189" s="120" t="str">
        <f>IFERROR(__xludf.DUMMYFUNCTION("""COMPUTED_VALUE"""),"")</f>
        <v/>
      </c>
      <c r="L189" s="114">
        <f>IFERROR(__xludf.DUMMYFUNCTION("""COMPUTED_VALUE"""),45979.0)</f>
        <v>45979</v>
      </c>
      <c r="M189" s="116">
        <v>5.0</v>
      </c>
      <c r="N189" s="110"/>
      <c r="O189" s="110"/>
      <c r="P189" s="110"/>
      <c r="Q189" s="110"/>
      <c r="R189" s="110"/>
      <c r="S189" s="110"/>
      <c r="T189" s="110"/>
      <c r="U189" s="110"/>
      <c r="V189" s="110"/>
      <c r="W189" s="110"/>
      <c r="X189" s="110"/>
      <c r="Y189" s="110"/>
      <c r="Z189" s="110"/>
      <c r="AA189" s="110"/>
      <c r="AB189" s="110"/>
      <c r="AC189" s="110"/>
      <c r="AD189" s="110"/>
    </row>
    <row r="190">
      <c r="A190" s="118" t="s">
        <v>3175</v>
      </c>
      <c r="B190" s="112" t="s">
        <v>4523</v>
      </c>
      <c r="C190" s="112" t="s">
        <v>3180</v>
      </c>
      <c r="D190" s="119" t="s">
        <v>4301</v>
      </c>
      <c r="E190" s="128">
        <v>45985.0</v>
      </c>
      <c r="F190" s="113" t="s">
        <v>643</v>
      </c>
      <c r="G190" s="113" t="s">
        <v>4343</v>
      </c>
      <c r="H190" s="113"/>
      <c r="I190" s="114">
        <v>45986.0</v>
      </c>
      <c r="J190" s="132"/>
      <c r="K190" s="120" t="str">
        <f>IFERROR(__xludf.DUMMYFUNCTION("""COMPUTED_VALUE"""),"")</f>
        <v/>
      </c>
      <c r="L190" s="114">
        <f>IFERROR(__xludf.DUMMYFUNCTION("""COMPUTED_VALUE"""),45979.0)</f>
        <v>45979</v>
      </c>
      <c r="M190" s="116">
        <v>5.0</v>
      </c>
      <c r="N190" s="110"/>
      <c r="O190" s="110"/>
      <c r="P190" s="110"/>
      <c r="Q190" s="110"/>
      <c r="R190" s="110"/>
      <c r="S190" s="110"/>
      <c r="T190" s="110"/>
      <c r="U190" s="110"/>
      <c r="V190" s="110"/>
      <c r="W190" s="110"/>
      <c r="X190" s="110"/>
      <c r="Y190" s="110"/>
      <c r="Z190" s="110"/>
      <c r="AA190" s="110"/>
      <c r="AB190" s="110"/>
      <c r="AC190" s="110"/>
      <c r="AD190" s="110"/>
    </row>
    <row r="191">
      <c r="A191" s="118" t="s">
        <v>3207</v>
      </c>
      <c r="B191" s="112" t="s">
        <v>4524</v>
      </c>
      <c r="C191" s="112" t="s">
        <v>3214</v>
      </c>
      <c r="D191" s="119" t="s">
        <v>4301</v>
      </c>
      <c r="E191" s="128">
        <v>45960.0</v>
      </c>
      <c r="F191" s="113" t="s">
        <v>31</v>
      </c>
      <c r="G191" s="113" t="s">
        <v>4343</v>
      </c>
      <c r="H191" s="113"/>
      <c r="I191" s="114">
        <v>45986.0</v>
      </c>
      <c r="J191" s="132"/>
      <c r="K191" s="120" t="str">
        <f>IFERROR(__xludf.DUMMYFUNCTION("""COMPUTED_VALUE"""),"")</f>
        <v/>
      </c>
      <c r="L191" s="114">
        <f>IFERROR(__xludf.DUMMYFUNCTION("""COMPUTED_VALUE"""),45979.0)</f>
        <v>45979</v>
      </c>
      <c r="M191" s="116">
        <v>5.0</v>
      </c>
      <c r="N191" s="110"/>
      <c r="O191" s="110"/>
      <c r="P191" s="110"/>
      <c r="Q191" s="110"/>
      <c r="R191" s="110"/>
      <c r="S191" s="110"/>
      <c r="T191" s="110"/>
      <c r="U191" s="110"/>
      <c r="V191" s="110"/>
      <c r="W191" s="110"/>
      <c r="X191" s="110"/>
      <c r="Y191" s="110"/>
      <c r="Z191" s="110"/>
      <c r="AA191" s="110"/>
      <c r="AB191" s="110"/>
      <c r="AC191" s="110"/>
      <c r="AD191" s="110"/>
    </row>
    <row r="192">
      <c r="A192" s="118" t="s">
        <v>3217</v>
      </c>
      <c r="B192" s="112" t="s">
        <v>4525</v>
      </c>
      <c r="C192" s="112" t="s">
        <v>3221</v>
      </c>
      <c r="D192" s="119" t="s">
        <v>4301</v>
      </c>
      <c r="E192" s="128"/>
      <c r="F192" s="113" t="s">
        <v>31</v>
      </c>
      <c r="G192" s="113" t="s">
        <v>4343</v>
      </c>
      <c r="H192" s="113"/>
      <c r="I192" s="114">
        <v>45986.0</v>
      </c>
      <c r="J192" s="132"/>
      <c r="K192" s="120" t="str">
        <f>IFERROR(__xludf.DUMMYFUNCTION("""COMPUTED_VALUE"""),"")</f>
        <v/>
      </c>
      <c r="L192" s="114">
        <f>IFERROR(__xludf.DUMMYFUNCTION("""COMPUTED_VALUE"""),45979.0)</f>
        <v>45979</v>
      </c>
      <c r="M192" s="116">
        <v>5.0</v>
      </c>
      <c r="N192" s="110"/>
      <c r="O192" s="110"/>
      <c r="P192" s="110"/>
      <c r="Q192" s="110"/>
      <c r="R192" s="110"/>
      <c r="S192" s="110"/>
      <c r="T192" s="110"/>
      <c r="U192" s="110"/>
      <c r="V192" s="110"/>
      <c r="W192" s="110"/>
      <c r="X192" s="110"/>
      <c r="Y192" s="110"/>
      <c r="Z192" s="110"/>
      <c r="AA192" s="110"/>
      <c r="AB192" s="110"/>
      <c r="AC192" s="110"/>
      <c r="AD192" s="110"/>
    </row>
    <row r="193">
      <c r="A193" s="118" t="s">
        <v>3329</v>
      </c>
      <c r="B193" s="112" t="s">
        <v>4526</v>
      </c>
      <c r="C193" s="112" t="s">
        <v>3333</v>
      </c>
      <c r="D193" s="119" t="s">
        <v>4301</v>
      </c>
      <c r="E193" s="128">
        <v>45985.0</v>
      </c>
      <c r="F193" s="113" t="s">
        <v>31</v>
      </c>
      <c r="G193" s="113" t="s">
        <v>4343</v>
      </c>
      <c r="H193" s="113"/>
      <c r="I193" s="114">
        <v>45986.0</v>
      </c>
      <c r="J193" s="132"/>
      <c r="K193" s="120" t="str">
        <f>IFERROR(__xludf.DUMMYFUNCTION("""COMPUTED_VALUE"""),"")</f>
        <v/>
      </c>
      <c r="L193" s="114">
        <f>IFERROR(__xludf.DUMMYFUNCTION("""COMPUTED_VALUE"""),45979.0)</f>
        <v>45979</v>
      </c>
      <c r="M193" s="116">
        <v>5.0</v>
      </c>
      <c r="N193" s="110"/>
      <c r="O193" s="110"/>
      <c r="P193" s="110"/>
      <c r="Q193" s="110"/>
      <c r="R193" s="110"/>
      <c r="S193" s="110"/>
      <c r="T193" s="110"/>
      <c r="U193" s="110"/>
      <c r="V193" s="110"/>
      <c r="W193" s="110"/>
      <c r="X193" s="110"/>
      <c r="Y193" s="110"/>
      <c r="Z193" s="110"/>
      <c r="AA193" s="110"/>
      <c r="AB193" s="110"/>
      <c r="AC193" s="110"/>
      <c r="AD193" s="110"/>
    </row>
    <row r="194">
      <c r="A194" s="118" t="s">
        <v>3516</v>
      </c>
      <c r="B194" s="112" t="s">
        <v>4527</v>
      </c>
      <c r="C194" s="112" t="s">
        <v>3525</v>
      </c>
      <c r="D194" s="119" t="s">
        <v>4301</v>
      </c>
      <c r="E194" s="128">
        <v>45946.0</v>
      </c>
      <c r="F194" s="113" t="s">
        <v>31</v>
      </c>
      <c r="G194" s="113" t="s">
        <v>4343</v>
      </c>
      <c r="H194" s="113"/>
      <c r="I194" s="114">
        <v>45986.0</v>
      </c>
      <c r="J194" s="132"/>
      <c r="K194" s="120" t="str">
        <f>IFERROR(__xludf.DUMMYFUNCTION("""COMPUTED_VALUE"""),"")</f>
        <v/>
      </c>
      <c r="L194" s="114">
        <f>IFERROR(__xludf.DUMMYFUNCTION("""COMPUTED_VALUE"""),45979.0)</f>
        <v>45979</v>
      </c>
      <c r="M194" s="116">
        <v>5.0</v>
      </c>
      <c r="N194" s="110"/>
      <c r="O194" s="110"/>
      <c r="P194" s="110"/>
      <c r="Q194" s="110"/>
      <c r="R194" s="110"/>
      <c r="S194" s="110"/>
      <c r="T194" s="110"/>
      <c r="U194" s="110"/>
      <c r="V194" s="110"/>
      <c r="W194" s="110"/>
      <c r="X194" s="110"/>
      <c r="Y194" s="110"/>
      <c r="Z194" s="110"/>
      <c r="AA194" s="110"/>
      <c r="AB194" s="110"/>
      <c r="AC194" s="110"/>
      <c r="AD194" s="110"/>
    </row>
    <row r="195">
      <c r="A195" s="118" t="s">
        <v>3933</v>
      </c>
      <c r="B195" s="112" t="s">
        <v>4528</v>
      </c>
      <c r="C195" s="112" t="s">
        <v>3941</v>
      </c>
      <c r="D195" s="119" t="s">
        <v>4301</v>
      </c>
      <c r="E195" s="128">
        <v>45985.0</v>
      </c>
      <c r="F195" s="113" t="s">
        <v>643</v>
      </c>
      <c r="G195" s="113" t="s">
        <v>4343</v>
      </c>
      <c r="H195" s="113"/>
      <c r="I195" s="114">
        <v>45986.0</v>
      </c>
      <c r="J195" s="132"/>
      <c r="K195" s="120" t="str">
        <f>IFERROR(__xludf.DUMMYFUNCTION("""COMPUTED_VALUE"""),"")</f>
        <v/>
      </c>
      <c r="L195" s="114">
        <f>IFERROR(__xludf.DUMMYFUNCTION("""COMPUTED_VALUE"""),45979.0)</f>
        <v>45979</v>
      </c>
      <c r="M195" s="116">
        <v>5.0</v>
      </c>
      <c r="N195" s="110"/>
      <c r="O195" s="110"/>
      <c r="P195" s="110"/>
      <c r="Q195" s="110"/>
      <c r="R195" s="110"/>
      <c r="S195" s="110"/>
      <c r="T195" s="110"/>
      <c r="U195" s="110"/>
      <c r="V195" s="110"/>
      <c r="W195" s="110"/>
      <c r="X195" s="110"/>
      <c r="Y195" s="110"/>
      <c r="Z195" s="110"/>
      <c r="AA195" s="110"/>
      <c r="AB195" s="110"/>
      <c r="AC195" s="110"/>
      <c r="AD195" s="110"/>
    </row>
    <row r="196">
      <c r="A196" s="118" t="s">
        <v>451</v>
      </c>
      <c r="B196" s="112" t="s">
        <v>4529</v>
      </c>
      <c r="C196" s="112" t="s">
        <v>457</v>
      </c>
      <c r="D196" s="119" t="s">
        <v>4301</v>
      </c>
      <c r="E196" s="128">
        <v>45963.0</v>
      </c>
      <c r="F196" s="113" t="s">
        <v>4310</v>
      </c>
      <c r="G196" s="113" t="s">
        <v>4343</v>
      </c>
      <c r="H196" s="113"/>
      <c r="I196" s="114">
        <v>45987.0</v>
      </c>
      <c r="J196" s="132"/>
      <c r="K196" s="120" t="str">
        <f>IFERROR(__xludf.DUMMYFUNCTION("""COMPUTED_VALUE"""),"")</f>
        <v/>
      </c>
      <c r="L196" s="114">
        <f>IFERROR(__xludf.DUMMYFUNCTION("""COMPUTED_VALUE"""),45980.0)</f>
        <v>45980</v>
      </c>
      <c r="M196" s="116">
        <v>5.0</v>
      </c>
      <c r="N196" s="110"/>
      <c r="O196" s="110"/>
      <c r="P196" s="110"/>
      <c r="Q196" s="110"/>
      <c r="R196" s="110"/>
      <c r="S196" s="110"/>
      <c r="T196" s="110"/>
      <c r="U196" s="110"/>
      <c r="V196" s="110"/>
      <c r="W196" s="110"/>
      <c r="X196" s="110"/>
      <c r="Y196" s="110"/>
      <c r="Z196" s="110"/>
      <c r="AA196" s="110"/>
      <c r="AB196" s="110"/>
      <c r="AC196" s="110"/>
      <c r="AD196" s="110"/>
    </row>
    <row r="197">
      <c r="A197" s="118" t="s">
        <v>619</v>
      </c>
      <c r="B197" s="112" t="s">
        <v>4530</v>
      </c>
      <c r="C197" s="112">
        <v>2.024227823E9</v>
      </c>
      <c r="D197" s="119" t="s">
        <v>4301</v>
      </c>
      <c r="E197" s="128">
        <v>45946.0</v>
      </c>
      <c r="F197" s="113" t="s">
        <v>31</v>
      </c>
      <c r="G197" s="113" t="s">
        <v>4343</v>
      </c>
      <c r="H197" s="113"/>
      <c r="I197" s="114">
        <v>45987.0</v>
      </c>
      <c r="J197" s="132"/>
      <c r="K197" s="120" t="str">
        <f>IFERROR(__xludf.DUMMYFUNCTION("""COMPUTED_VALUE"""),"")</f>
        <v/>
      </c>
      <c r="L197" s="114">
        <f>IFERROR(__xludf.DUMMYFUNCTION("""COMPUTED_VALUE"""),45980.0)</f>
        <v>45980</v>
      </c>
      <c r="M197" s="116">
        <v>5.0</v>
      </c>
      <c r="N197" s="110"/>
      <c r="O197" s="110"/>
      <c r="P197" s="110"/>
      <c r="Q197" s="110"/>
      <c r="R197" s="110"/>
      <c r="S197" s="110"/>
      <c r="T197" s="110"/>
      <c r="U197" s="110"/>
      <c r="V197" s="110"/>
      <c r="W197" s="110"/>
      <c r="X197" s="110"/>
      <c r="Y197" s="110"/>
      <c r="Z197" s="110"/>
      <c r="AA197" s="110"/>
      <c r="AB197" s="110"/>
      <c r="AC197" s="110"/>
      <c r="AD197" s="110"/>
    </row>
    <row r="198">
      <c r="A198" s="118" t="s">
        <v>713</v>
      </c>
      <c r="B198" s="112" t="s">
        <v>4531</v>
      </c>
      <c r="C198" s="112" t="s">
        <v>720</v>
      </c>
      <c r="D198" s="119" t="s">
        <v>4301</v>
      </c>
      <c r="E198" s="128">
        <v>45974.0</v>
      </c>
      <c r="F198" s="113" t="s">
        <v>31</v>
      </c>
      <c r="G198" s="113" t="s">
        <v>4343</v>
      </c>
      <c r="H198" s="113" t="s">
        <v>4532</v>
      </c>
      <c r="I198" s="114">
        <v>45987.0</v>
      </c>
      <c r="J198" s="132"/>
      <c r="K198" s="120" t="str">
        <f>IFERROR(__xludf.DUMMYFUNCTION("""COMPUTED_VALUE"""),"")</f>
        <v/>
      </c>
      <c r="L198" s="114">
        <f>IFERROR(__xludf.DUMMYFUNCTION("""COMPUTED_VALUE"""),45980.0)</f>
        <v>45980</v>
      </c>
      <c r="M198" s="116">
        <v>5.0</v>
      </c>
      <c r="N198" s="110"/>
      <c r="O198" s="110"/>
      <c r="P198" s="110"/>
      <c r="Q198" s="110"/>
      <c r="R198" s="110"/>
      <c r="S198" s="110"/>
      <c r="T198" s="110"/>
      <c r="U198" s="110"/>
      <c r="V198" s="110"/>
      <c r="W198" s="110"/>
      <c r="X198" s="110"/>
      <c r="Y198" s="110"/>
      <c r="Z198" s="110"/>
      <c r="AA198" s="110"/>
      <c r="AB198" s="110"/>
      <c r="AC198" s="110"/>
      <c r="AD198" s="110"/>
    </row>
    <row r="199">
      <c r="A199" s="118" t="s">
        <v>860</v>
      </c>
      <c r="B199" s="112" t="s">
        <v>4533</v>
      </c>
      <c r="C199" s="112">
        <v>7.032949702E9</v>
      </c>
      <c r="D199" s="119" t="s">
        <v>4301</v>
      </c>
      <c r="E199" s="128">
        <v>45985.0</v>
      </c>
      <c r="F199" s="113" t="s">
        <v>643</v>
      </c>
      <c r="G199" s="113" t="s">
        <v>4343</v>
      </c>
      <c r="H199" s="113"/>
      <c r="I199" s="114">
        <v>45987.0</v>
      </c>
      <c r="J199" s="132"/>
      <c r="K199" s="120" t="str">
        <f>IFERROR(__xludf.DUMMYFUNCTION("""COMPUTED_VALUE"""),"")</f>
        <v/>
      </c>
      <c r="L199" s="114">
        <f>IFERROR(__xludf.DUMMYFUNCTION("""COMPUTED_VALUE"""),45980.0)</f>
        <v>45980</v>
      </c>
      <c r="M199" s="116">
        <v>5.0</v>
      </c>
      <c r="N199" s="110"/>
      <c r="O199" s="110"/>
      <c r="P199" s="110"/>
      <c r="Q199" s="110"/>
      <c r="R199" s="110"/>
      <c r="S199" s="110"/>
      <c r="T199" s="110"/>
      <c r="U199" s="110"/>
      <c r="V199" s="110"/>
      <c r="W199" s="110"/>
      <c r="X199" s="110"/>
      <c r="Y199" s="110"/>
      <c r="Z199" s="110"/>
      <c r="AA199" s="110"/>
      <c r="AB199" s="110"/>
      <c r="AC199" s="110"/>
      <c r="AD199" s="110"/>
    </row>
    <row r="200">
      <c r="A200" s="118" t="s">
        <v>1143</v>
      </c>
      <c r="B200" s="112" t="s">
        <v>4534</v>
      </c>
      <c r="C200" s="112" t="s">
        <v>1150</v>
      </c>
      <c r="D200" s="119" t="s">
        <v>4301</v>
      </c>
      <c r="E200" s="128">
        <v>45990.0</v>
      </c>
      <c r="F200" s="113" t="s">
        <v>643</v>
      </c>
      <c r="G200" s="113" t="s">
        <v>4343</v>
      </c>
      <c r="H200" s="113" t="s">
        <v>4535</v>
      </c>
      <c r="I200" s="114">
        <v>45987.0</v>
      </c>
      <c r="J200" s="132"/>
      <c r="K200" s="120" t="str">
        <f>IFERROR(__xludf.DUMMYFUNCTION("""COMPUTED_VALUE"""),"")</f>
        <v/>
      </c>
      <c r="L200" s="114">
        <f>IFERROR(__xludf.DUMMYFUNCTION("""COMPUTED_VALUE"""),45980.0)</f>
        <v>45980</v>
      </c>
      <c r="M200" s="116">
        <v>5.0</v>
      </c>
      <c r="N200" s="110"/>
      <c r="O200" s="110"/>
      <c r="P200" s="110"/>
      <c r="Q200" s="110"/>
      <c r="R200" s="110"/>
      <c r="S200" s="110"/>
      <c r="T200" s="110"/>
      <c r="U200" s="110"/>
      <c r="V200" s="110"/>
      <c r="W200" s="110"/>
      <c r="X200" s="110"/>
      <c r="Y200" s="110"/>
      <c r="Z200" s="110"/>
      <c r="AA200" s="110"/>
      <c r="AB200" s="110"/>
      <c r="AC200" s="110"/>
      <c r="AD200" s="110"/>
    </row>
    <row r="201">
      <c r="A201" s="118" t="s">
        <v>1380</v>
      </c>
      <c r="B201" s="112" t="s">
        <v>4536</v>
      </c>
      <c r="C201" s="112">
        <v>2.023083934E9</v>
      </c>
      <c r="D201" s="119" t="s">
        <v>4301</v>
      </c>
      <c r="E201" s="128">
        <v>45987.0</v>
      </c>
      <c r="F201" s="113" t="s">
        <v>4313</v>
      </c>
      <c r="G201" s="113" t="s">
        <v>4343</v>
      </c>
      <c r="H201" s="113" t="s">
        <v>4358</v>
      </c>
      <c r="I201" s="114">
        <v>45987.0</v>
      </c>
      <c r="J201" s="132"/>
      <c r="K201" s="120" t="str">
        <f>IFERROR(__xludf.DUMMYFUNCTION("""COMPUTED_VALUE"""),"")</f>
        <v/>
      </c>
      <c r="L201" s="114">
        <f>IFERROR(__xludf.DUMMYFUNCTION("""COMPUTED_VALUE"""),45980.0)</f>
        <v>45980</v>
      </c>
      <c r="M201" s="116">
        <v>5.0</v>
      </c>
      <c r="N201" s="110"/>
      <c r="O201" s="110"/>
      <c r="P201" s="110"/>
      <c r="Q201" s="110"/>
      <c r="R201" s="110"/>
      <c r="S201" s="110"/>
      <c r="T201" s="110"/>
      <c r="U201" s="110"/>
      <c r="V201" s="110"/>
      <c r="W201" s="110"/>
      <c r="X201" s="110"/>
      <c r="Y201" s="110"/>
      <c r="Z201" s="110"/>
      <c r="AA201" s="110"/>
      <c r="AB201" s="110"/>
      <c r="AC201" s="110"/>
      <c r="AD201" s="110"/>
    </row>
    <row r="202">
      <c r="A202" s="118" t="s">
        <v>1586</v>
      </c>
      <c r="B202" s="112" t="s">
        <v>4537</v>
      </c>
      <c r="C202" s="112" t="s">
        <v>1590</v>
      </c>
      <c r="D202" s="119" t="s">
        <v>4301</v>
      </c>
      <c r="E202" s="128">
        <v>45985.0</v>
      </c>
      <c r="F202" s="113" t="s">
        <v>31</v>
      </c>
      <c r="G202" s="113" t="s">
        <v>4343</v>
      </c>
      <c r="H202" s="113"/>
      <c r="I202" s="114">
        <v>45987.0</v>
      </c>
      <c r="J202" s="132"/>
      <c r="K202" s="120" t="str">
        <f>IFERROR(__xludf.DUMMYFUNCTION("""COMPUTED_VALUE"""),"")</f>
        <v/>
      </c>
      <c r="L202" s="114">
        <f>IFERROR(__xludf.DUMMYFUNCTION("""COMPUTED_VALUE"""),45980.0)</f>
        <v>45980</v>
      </c>
      <c r="M202" s="116">
        <v>5.0</v>
      </c>
      <c r="N202" s="110"/>
      <c r="O202" s="110"/>
      <c r="P202" s="110"/>
      <c r="Q202" s="110"/>
      <c r="R202" s="110"/>
      <c r="S202" s="110"/>
      <c r="T202" s="110"/>
      <c r="U202" s="110"/>
      <c r="V202" s="110"/>
      <c r="W202" s="110"/>
      <c r="X202" s="110"/>
      <c r="Y202" s="110"/>
      <c r="Z202" s="110"/>
      <c r="AA202" s="110"/>
      <c r="AB202" s="110"/>
      <c r="AC202" s="110"/>
      <c r="AD202" s="110"/>
    </row>
    <row r="203">
      <c r="A203" s="118" t="s">
        <v>1625</v>
      </c>
      <c r="B203" s="112" t="s">
        <v>4538</v>
      </c>
      <c r="C203" s="112">
        <v>2.024243248E9</v>
      </c>
      <c r="D203" s="119" t="s">
        <v>4301</v>
      </c>
      <c r="E203" s="128">
        <v>45981.0</v>
      </c>
      <c r="F203" s="113" t="s">
        <v>31</v>
      </c>
      <c r="G203" s="113" t="s">
        <v>4343</v>
      </c>
      <c r="H203" s="113"/>
      <c r="I203" s="114">
        <v>45987.0</v>
      </c>
      <c r="J203" s="132"/>
      <c r="K203" s="120" t="str">
        <f>IFERROR(__xludf.DUMMYFUNCTION("""COMPUTED_VALUE"""),"")</f>
        <v/>
      </c>
      <c r="L203" s="114">
        <f>IFERROR(__xludf.DUMMYFUNCTION("""COMPUTED_VALUE"""),45980.0)</f>
        <v>45980</v>
      </c>
      <c r="M203" s="116">
        <v>5.0</v>
      </c>
      <c r="N203" s="110"/>
      <c r="O203" s="110"/>
      <c r="P203" s="110"/>
      <c r="Q203" s="110"/>
      <c r="R203" s="110"/>
      <c r="S203" s="110"/>
      <c r="T203" s="110"/>
      <c r="U203" s="110"/>
      <c r="V203" s="110"/>
      <c r="W203" s="110"/>
      <c r="X203" s="110"/>
      <c r="Y203" s="110"/>
      <c r="Z203" s="110"/>
      <c r="AA203" s="110"/>
      <c r="AB203" s="110"/>
      <c r="AC203" s="110"/>
      <c r="AD203" s="110"/>
    </row>
    <row r="204">
      <c r="A204" s="118" t="s">
        <v>2927</v>
      </c>
      <c r="B204" s="112" t="s">
        <v>4539</v>
      </c>
      <c r="C204" s="112" t="s">
        <v>2936</v>
      </c>
      <c r="D204" s="119" t="s">
        <v>4301</v>
      </c>
      <c r="E204" s="128">
        <v>45972.0</v>
      </c>
      <c r="F204" s="113" t="s">
        <v>4305</v>
      </c>
      <c r="G204" s="113" t="s">
        <v>4343</v>
      </c>
      <c r="H204" s="113" t="s">
        <v>4502</v>
      </c>
      <c r="I204" s="114">
        <v>45987.0</v>
      </c>
      <c r="J204" s="132"/>
      <c r="K204" s="120" t="str">
        <f>IFERROR(__xludf.DUMMYFUNCTION("""COMPUTED_VALUE"""),"")</f>
        <v/>
      </c>
      <c r="L204" s="114">
        <f>IFERROR(__xludf.DUMMYFUNCTION("""COMPUTED_VALUE"""),45980.0)</f>
        <v>45980</v>
      </c>
      <c r="M204" s="116">
        <v>5.0</v>
      </c>
      <c r="N204" s="110"/>
      <c r="O204" s="110"/>
      <c r="P204" s="110"/>
      <c r="Q204" s="110"/>
      <c r="R204" s="110"/>
      <c r="S204" s="110"/>
      <c r="T204" s="110"/>
      <c r="U204" s="110"/>
      <c r="V204" s="110"/>
      <c r="W204" s="110"/>
      <c r="X204" s="110"/>
      <c r="Y204" s="110"/>
      <c r="Z204" s="110"/>
      <c r="AA204" s="110"/>
      <c r="AB204" s="110"/>
      <c r="AC204" s="110"/>
      <c r="AD204" s="110"/>
    </row>
    <row r="205">
      <c r="A205" s="118" t="s">
        <v>3374</v>
      </c>
      <c r="B205" s="112" t="s">
        <v>4540</v>
      </c>
      <c r="C205" s="112" t="s">
        <v>3382</v>
      </c>
      <c r="D205" s="119" t="s">
        <v>4301</v>
      </c>
      <c r="E205" s="128">
        <v>45855.0</v>
      </c>
      <c r="F205" s="113" t="s">
        <v>31</v>
      </c>
      <c r="G205" s="113" t="s">
        <v>4343</v>
      </c>
      <c r="H205" s="113"/>
      <c r="I205" s="114">
        <v>45987.0</v>
      </c>
      <c r="J205" s="132"/>
      <c r="K205" s="120" t="str">
        <f>IFERROR(__xludf.DUMMYFUNCTION("""COMPUTED_VALUE"""),"")</f>
        <v/>
      </c>
      <c r="L205" s="114">
        <f>IFERROR(__xludf.DUMMYFUNCTION("""COMPUTED_VALUE"""),45980.0)</f>
        <v>45980</v>
      </c>
      <c r="M205" s="116">
        <v>5.0</v>
      </c>
      <c r="N205" s="110"/>
      <c r="O205" s="110"/>
      <c r="P205" s="110"/>
      <c r="Q205" s="110"/>
      <c r="R205" s="110"/>
      <c r="S205" s="110"/>
      <c r="T205" s="110"/>
      <c r="U205" s="110"/>
      <c r="V205" s="110"/>
      <c r="W205" s="110"/>
      <c r="X205" s="110"/>
      <c r="Y205" s="110"/>
      <c r="Z205" s="110"/>
      <c r="AA205" s="110"/>
      <c r="AB205" s="110"/>
      <c r="AC205" s="110"/>
      <c r="AD205" s="110"/>
    </row>
    <row r="206">
      <c r="A206" s="118" t="s">
        <v>3374</v>
      </c>
      <c r="B206" s="112" t="s">
        <v>4541</v>
      </c>
      <c r="C206" s="112" t="s">
        <v>3382</v>
      </c>
      <c r="D206" s="119" t="s">
        <v>4301</v>
      </c>
      <c r="E206" s="128">
        <v>45855.0</v>
      </c>
      <c r="F206" s="113" t="s">
        <v>31</v>
      </c>
      <c r="G206" s="113" t="s">
        <v>4343</v>
      </c>
      <c r="H206" s="113"/>
      <c r="I206" s="114">
        <v>45987.0</v>
      </c>
      <c r="J206" s="132"/>
      <c r="K206" s="120" t="str">
        <f>IFERROR(__xludf.DUMMYFUNCTION("""COMPUTED_VALUE"""),"")</f>
        <v/>
      </c>
      <c r="L206" s="114">
        <f>IFERROR(__xludf.DUMMYFUNCTION("""COMPUTED_VALUE"""),45980.0)</f>
        <v>45980</v>
      </c>
      <c r="M206" s="116">
        <v>5.0</v>
      </c>
      <c r="N206" s="110"/>
      <c r="O206" s="110"/>
      <c r="P206" s="110"/>
      <c r="Q206" s="110"/>
      <c r="R206" s="110"/>
      <c r="S206" s="110"/>
      <c r="T206" s="110"/>
      <c r="U206" s="110"/>
      <c r="V206" s="110"/>
      <c r="W206" s="110"/>
      <c r="X206" s="110"/>
      <c r="Y206" s="110"/>
      <c r="Z206" s="110"/>
      <c r="AA206" s="110"/>
      <c r="AB206" s="110"/>
      <c r="AC206" s="110"/>
      <c r="AD206" s="110"/>
    </row>
    <row r="207">
      <c r="A207" s="118" t="s">
        <v>3633</v>
      </c>
      <c r="B207" s="112" t="s">
        <v>4542</v>
      </c>
      <c r="C207" s="112" t="s">
        <v>3638</v>
      </c>
      <c r="D207" s="119" t="s">
        <v>4301</v>
      </c>
      <c r="E207" s="128">
        <v>45985.0</v>
      </c>
      <c r="F207" s="113" t="s">
        <v>643</v>
      </c>
      <c r="G207" s="113" t="s">
        <v>4343</v>
      </c>
      <c r="H207" s="113"/>
      <c r="I207" s="114">
        <v>45987.0</v>
      </c>
      <c r="J207" s="132"/>
      <c r="K207" s="120" t="str">
        <f>IFERROR(__xludf.DUMMYFUNCTION("""COMPUTED_VALUE"""),"")</f>
        <v/>
      </c>
      <c r="L207" s="114">
        <f>IFERROR(__xludf.DUMMYFUNCTION("""COMPUTED_VALUE"""),45980.0)</f>
        <v>45980</v>
      </c>
      <c r="M207" s="116">
        <v>5.0</v>
      </c>
      <c r="N207" s="110"/>
      <c r="O207" s="110"/>
      <c r="P207" s="110"/>
      <c r="Q207" s="110"/>
      <c r="R207" s="110"/>
      <c r="S207" s="110"/>
      <c r="T207" s="110"/>
      <c r="U207" s="110"/>
      <c r="V207" s="110"/>
      <c r="W207" s="110"/>
      <c r="X207" s="110"/>
      <c r="Y207" s="110"/>
      <c r="Z207" s="110"/>
      <c r="AA207" s="110"/>
      <c r="AB207" s="110"/>
      <c r="AC207" s="110"/>
      <c r="AD207" s="110"/>
    </row>
    <row r="208">
      <c r="A208" s="118" t="s">
        <v>3656</v>
      </c>
      <c r="B208" s="112" t="s">
        <v>4543</v>
      </c>
      <c r="C208" s="112" t="s">
        <v>3662</v>
      </c>
      <c r="D208" s="119" t="s">
        <v>4301</v>
      </c>
      <c r="E208" s="128">
        <v>45985.0</v>
      </c>
      <c r="F208" s="113" t="s">
        <v>643</v>
      </c>
      <c r="G208" s="113" t="s">
        <v>4343</v>
      </c>
      <c r="H208" s="113"/>
      <c r="I208" s="114">
        <v>45987.0</v>
      </c>
      <c r="J208" s="132"/>
      <c r="K208" s="120" t="str">
        <f>IFERROR(__xludf.DUMMYFUNCTION("""COMPUTED_VALUE"""),"")</f>
        <v/>
      </c>
      <c r="L208" s="114">
        <f>IFERROR(__xludf.DUMMYFUNCTION("""COMPUTED_VALUE"""),45980.0)</f>
        <v>45980</v>
      </c>
      <c r="M208" s="116">
        <v>5.0</v>
      </c>
      <c r="N208" s="110"/>
      <c r="O208" s="110"/>
      <c r="P208" s="110"/>
      <c r="Q208" s="110"/>
      <c r="R208" s="110"/>
      <c r="S208" s="110"/>
      <c r="T208" s="110"/>
      <c r="U208" s="110"/>
      <c r="V208" s="110"/>
      <c r="W208" s="110"/>
      <c r="X208" s="110"/>
      <c r="Y208" s="110"/>
      <c r="Z208" s="110"/>
      <c r="AA208" s="110"/>
      <c r="AB208" s="110"/>
      <c r="AC208" s="110"/>
      <c r="AD208" s="110"/>
    </row>
    <row r="209">
      <c r="A209" s="118" t="s">
        <v>3747</v>
      </c>
      <c r="B209" s="112" t="s">
        <v>4544</v>
      </c>
      <c r="C209" s="112" t="s">
        <v>3751</v>
      </c>
      <c r="D209" s="119" t="s">
        <v>4301</v>
      </c>
      <c r="E209" s="128">
        <v>45985.0</v>
      </c>
      <c r="F209" s="113" t="s">
        <v>643</v>
      </c>
      <c r="G209" s="113" t="s">
        <v>4343</v>
      </c>
      <c r="H209" s="113"/>
      <c r="I209" s="114">
        <v>45987.0</v>
      </c>
      <c r="J209" s="132"/>
      <c r="K209" s="120" t="str">
        <f>IFERROR(__xludf.DUMMYFUNCTION("""COMPUTED_VALUE"""),"")</f>
        <v/>
      </c>
      <c r="L209" s="114">
        <f>IFERROR(__xludf.DUMMYFUNCTION("""COMPUTED_VALUE"""),45980.0)</f>
        <v>45980</v>
      </c>
      <c r="M209" s="116">
        <v>5.0</v>
      </c>
      <c r="N209" s="110"/>
      <c r="O209" s="110"/>
      <c r="P209" s="110"/>
      <c r="Q209" s="110"/>
      <c r="R209" s="110"/>
      <c r="S209" s="110"/>
      <c r="T209" s="110"/>
      <c r="U209" s="110"/>
      <c r="V209" s="110"/>
      <c r="W209" s="110"/>
      <c r="X209" s="110"/>
      <c r="Y209" s="110"/>
      <c r="Z209" s="110"/>
      <c r="AA209" s="110"/>
      <c r="AB209" s="110"/>
      <c r="AC209" s="110"/>
      <c r="AD209" s="110"/>
    </row>
    <row r="210">
      <c r="A210" s="118" t="s">
        <v>3830</v>
      </c>
      <c r="B210" s="112" t="s">
        <v>4545</v>
      </c>
      <c r="C210" s="112" t="s">
        <v>3836</v>
      </c>
      <c r="D210" s="119" t="s">
        <v>4301</v>
      </c>
      <c r="E210" s="128">
        <v>45985.0</v>
      </c>
      <c r="F210" s="113" t="s">
        <v>643</v>
      </c>
      <c r="G210" s="113"/>
      <c r="H210" s="113"/>
      <c r="I210" s="114">
        <v>45987.0</v>
      </c>
      <c r="J210" s="132"/>
      <c r="K210" s="120" t="str">
        <f>IFERROR(__xludf.DUMMYFUNCTION("""COMPUTED_VALUE"""),"")</f>
        <v/>
      </c>
      <c r="L210" s="114">
        <f>IFERROR(__xludf.DUMMYFUNCTION("""COMPUTED_VALUE"""),45980.0)</f>
        <v>45980</v>
      </c>
      <c r="M210" s="116">
        <v>5.0</v>
      </c>
      <c r="N210" s="110"/>
      <c r="O210" s="110"/>
      <c r="P210" s="110"/>
      <c r="Q210" s="110"/>
      <c r="R210" s="110"/>
      <c r="S210" s="110"/>
      <c r="T210" s="110"/>
      <c r="U210" s="110"/>
      <c r="V210" s="110"/>
      <c r="W210" s="110"/>
      <c r="X210" s="110"/>
      <c r="Y210" s="110"/>
      <c r="Z210" s="110"/>
      <c r="AA210" s="110"/>
      <c r="AB210" s="110"/>
      <c r="AC210" s="110"/>
      <c r="AD210" s="110"/>
    </row>
    <row r="211">
      <c r="A211" s="118" t="s">
        <v>3830</v>
      </c>
      <c r="B211" s="112" t="s">
        <v>4545</v>
      </c>
      <c r="C211" s="112" t="s">
        <v>3836</v>
      </c>
      <c r="D211" s="119" t="s">
        <v>4301</v>
      </c>
      <c r="E211" s="128">
        <v>45985.0</v>
      </c>
      <c r="F211" s="113" t="s">
        <v>643</v>
      </c>
      <c r="G211" s="113"/>
      <c r="H211" s="113"/>
      <c r="I211" s="114">
        <v>45987.0</v>
      </c>
      <c r="J211" s="132"/>
      <c r="K211" s="120" t="str">
        <f>IFERROR(__xludf.DUMMYFUNCTION("""COMPUTED_VALUE"""),"")</f>
        <v/>
      </c>
      <c r="L211" s="114">
        <f>IFERROR(__xludf.DUMMYFUNCTION("""COMPUTED_VALUE"""),45980.0)</f>
        <v>45980</v>
      </c>
      <c r="M211" s="116">
        <v>5.0</v>
      </c>
      <c r="N211" s="110"/>
      <c r="O211" s="110"/>
      <c r="P211" s="110"/>
      <c r="Q211" s="110"/>
      <c r="R211" s="110"/>
      <c r="S211" s="110"/>
      <c r="T211" s="110"/>
      <c r="U211" s="110"/>
      <c r="V211" s="110"/>
      <c r="W211" s="110"/>
      <c r="X211" s="110"/>
      <c r="Y211" s="110"/>
      <c r="Z211" s="110"/>
      <c r="AA211" s="110"/>
      <c r="AB211" s="110"/>
      <c r="AC211" s="110"/>
      <c r="AD211" s="110"/>
    </row>
    <row r="212">
      <c r="A212" s="118" t="s">
        <v>3971</v>
      </c>
      <c r="B212" s="112" t="s">
        <v>4546</v>
      </c>
      <c r="C212" s="112" t="s">
        <v>3976</v>
      </c>
      <c r="D212" s="119" t="s">
        <v>4301</v>
      </c>
      <c r="E212" s="128">
        <v>45985.0</v>
      </c>
      <c r="F212" s="113" t="s">
        <v>643</v>
      </c>
      <c r="G212" s="113" t="s">
        <v>4343</v>
      </c>
      <c r="H212" s="113"/>
      <c r="I212" s="114">
        <v>45987.0</v>
      </c>
      <c r="J212" s="132"/>
      <c r="K212" s="120" t="str">
        <f>IFERROR(__xludf.DUMMYFUNCTION("""COMPUTED_VALUE"""),"")</f>
        <v/>
      </c>
      <c r="L212" s="114">
        <f>IFERROR(__xludf.DUMMYFUNCTION("""COMPUTED_VALUE"""),45980.0)</f>
        <v>45980</v>
      </c>
      <c r="M212" s="116">
        <v>5.0</v>
      </c>
      <c r="N212" s="110"/>
      <c r="O212" s="110"/>
      <c r="P212" s="110"/>
      <c r="Q212" s="110"/>
      <c r="R212" s="110"/>
      <c r="S212" s="110"/>
      <c r="T212" s="110"/>
      <c r="U212" s="110"/>
      <c r="V212" s="110"/>
      <c r="W212" s="110"/>
      <c r="X212" s="110"/>
      <c r="Y212" s="110"/>
      <c r="Z212" s="110"/>
      <c r="AA212" s="110"/>
      <c r="AB212" s="110"/>
      <c r="AC212" s="110"/>
      <c r="AD212" s="110"/>
    </row>
    <row r="213">
      <c r="A213" s="118" t="s">
        <v>1615</v>
      </c>
      <c r="B213" s="112" t="s">
        <v>4547</v>
      </c>
      <c r="C213" s="112">
        <v>2.02913074E9</v>
      </c>
      <c r="D213" s="119" t="s">
        <v>4301</v>
      </c>
      <c r="E213" s="128"/>
      <c r="F213" s="113" t="s">
        <v>31</v>
      </c>
      <c r="G213" s="113" t="s">
        <v>4343</v>
      </c>
      <c r="H213" s="113"/>
      <c r="I213" s="114">
        <v>45989.0</v>
      </c>
      <c r="J213" s="132"/>
      <c r="K213" s="120" t="str">
        <f>IFERROR(__xludf.DUMMYFUNCTION("""COMPUTED_VALUE"""),"")</f>
        <v/>
      </c>
      <c r="L213" s="114">
        <f>IFERROR(__xludf.DUMMYFUNCTION("""COMPUTED_VALUE"""),45982.0)</f>
        <v>45982</v>
      </c>
      <c r="M213" s="116">
        <v>5.0</v>
      </c>
      <c r="N213" s="110"/>
      <c r="O213" s="110"/>
      <c r="P213" s="110"/>
      <c r="Q213" s="110"/>
      <c r="R213" s="110"/>
      <c r="S213" s="110"/>
      <c r="T213" s="110"/>
      <c r="U213" s="110"/>
      <c r="V213" s="110"/>
      <c r="W213" s="110"/>
      <c r="X213" s="110"/>
      <c r="Y213" s="110"/>
      <c r="Z213" s="110"/>
      <c r="AA213" s="110"/>
      <c r="AB213" s="110"/>
      <c r="AC213" s="110"/>
      <c r="AD213" s="110"/>
    </row>
    <row r="214">
      <c r="A214" s="118" t="s">
        <v>2104</v>
      </c>
      <c r="B214" s="112" t="s">
        <v>4548</v>
      </c>
      <c r="C214" s="112" t="s">
        <v>2109</v>
      </c>
      <c r="D214" s="119" t="s">
        <v>4301</v>
      </c>
      <c r="E214" s="128"/>
      <c r="F214" s="113" t="s">
        <v>327</v>
      </c>
      <c r="G214" s="113" t="s">
        <v>4343</v>
      </c>
      <c r="H214" s="113"/>
      <c r="I214" s="114">
        <v>45989.0</v>
      </c>
      <c r="J214" s="132"/>
      <c r="K214" s="120" t="str">
        <f>IFERROR(__xludf.DUMMYFUNCTION("""COMPUTED_VALUE"""),"")</f>
        <v/>
      </c>
      <c r="L214" s="114">
        <f>IFERROR(__xludf.DUMMYFUNCTION("""COMPUTED_VALUE"""),45982.0)</f>
        <v>45982</v>
      </c>
      <c r="M214" s="116">
        <v>5.0</v>
      </c>
      <c r="N214" s="110"/>
      <c r="O214" s="110"/>
      <c r="P214" s="110"/>
      <c r="Q214" s="110"/>
      <c r="R214" s="110"/>
      <c r="S214" s="110"/>
      <c r="T214" s="110"/>
      <c r="U214" s="110"/>
      <c r="V214" s="110"/>
      <c r="W214" s="110"/>
      <c r="X214" s="110"/>
      <c r="Y214" s="110"/>
      <c r="Z214" s="110"/>
      <c r="AA214" s="110"/>
      <c r="AB214" s="110"/>
      <c r="AC214" s="110"/>
      <c r="AD214" s="110"/>
    </row>
    <row r="215">
      <c r="A215" s="118" t="s">
        <v>3706</v>
      </c>
      <c r="B215" s="112" t="s">
        <v>4549</v>
      </c>
      <c r="C215" s="112" t="s">
        <v>3708</v>
      </c>
      <c r="D215" s="119" t="s">
        <v>4301</v>
      </c>
      <c r="E215" s="128">
        <v>45960.0</v>
      </c>
      <c r="F215" s="113" t="s">
        <v>31</v>
      </c>
      <c r="G215" s="113" t="s">
        <v>4343</v>
      </c>
      <c r="H215" s="113"/>
      <c r="I215" s="114">
        <v>45989.0</v>
      </c>
      <c r="J215" s="132"/>
      <c r="K215" s="120" t="str">
        <f>IFERROR(__xludf.DUMMYFUNCTION("""COMPUTED_VALUE"""),"")</f>
        <v/>
      </c>
      <c r="L215" s="114">
        <f>IFERROR(__xludf.DUMMYFUNCTION("""COMPUTED_VALUE"""),45982.0)</f>
        <v>45982</v>
      </c>
      <c r="M215" s="116">
        <v>5.0</v>
      </c>
      <c r="N215" s="110"/>
      <c r="O215" s="110"/>
      <c r="P215" s="110"/>
      <c r="Q215" s="110"/>
      <c r="R215" s="110"/>
      <c r="S215" s="110"/>
      <c r="T215" s="110"/>
      <c r="U215" s="110"/>
      <c r="V215" s="110"/>
      <c r="W215" s="110"/>
      <c r="X215" s="110"/>
      <c r="Y215" s="110"/>
      <c r="Z215" s="110"/>
      <c r="AA215" s="110"/>
      <c r="AB215" s="110"/>
      <c r="AC215" s="110"/>
      <c r="AD215" s="110"/>
    </row>
    <row r="216">
      <c r="A216" s="118" t="s">
        <v>604</v>
      </c>
      <c r="B216" s="112" t="s">
        <v>4550</v>
      </c>
      <c r="C216" s="112">
        <v>2.027048612E9</v>
      </c>
      <c r="D216" s="119" t="s">
        <v>4301</v>
      </c>
      <c r="E216" s="128">
        <v>45985.0</v>
      </c>
      <c r="F216" s="113" t="s">
        <v>4305</v>
      </c>
      <c r="G216" s="113" t="s">
        <v>4343</v>
      </c>
      <c r="H216" s="113" t="s">
        <v>4311</v>
      </c>
      <c r="I216" s="114">
        <v>45995.0</v>
      </c>
      <c r="J216" s="132"/>
      <c r="K216" s="120" t="str">
        <f>IFERROR(__xludf.DUMMYFUNCTION("""COMPUTED_VALUE"""),"")</f>
        <v/>
      </c>
      <c r="L216" s="114">
        <f>IFERROR(__xludf.DUMMYFUNCTION("""COMPUTED_VALUE"""),45988.0)</f>
        <v>45988</v>
      </c>
      <c r="M216" s="116">
        <v>5.0</v>
      </c>
      <c r="N216" s="110"/>
      <c r="O216" s="110"/>
      <c r="P216" s="110"/>
      <c r="Q216" s="110"/>
      <c r="R216" s="110"/>
      <c r="S216" s="110"/>
      <c r="T216" s="110"/>
      <c r="U216" s="110"/>
      <c r="V216" s="110"/>
      <c r="W216" s="110"/>
      <c r="X216" s="110"/>
      <c r="Y216" s="110"/>
      <c r="Z216" s="110"/>
      <c r="AA216" s="110"/>
      <c r="AB216" s="110"/>
      <c r="AC216" s="110"/>
      <c r="AD216" s="110"/>
    </row>
    <row r="217">
      <c r="A217" s="118" t="s">
        <v>702</v>
      </c>
      <c r="B217" s="112" t="s">
        <v>4551</v>
      </c>
      <c r="C217" s="112">
        <v>2.024877764E9</v>
      </c>
      <c r="D217" s="119" t="s">
        <v>4301</v>
      </c>
      <c r="E217" s="128">
        <v>45953.0</v>
      </c>
      <c r="F217" s="113" t="s">
        <v>31</v>
      </c>
      <c r="G217" s="113" t="s">
        <v>4343</v>
      </c>
      <c r="H217" s="113"/>
      <c r="I217" s="114">
        <v>45995.0</v>
      </c>
      <c r="J217" s="132"/>
      <c r="K217" s="120" t="str">
        <f>IFERROR(__xludf.DUMMYFUNCTION("""COMPUTED_VALUE"""),"")</f>
        <v/>
      </c>
      <c r="L217" s="114">
        <f>IFERROR(__xludf.DUMMYFUNCTION("""COMPUTED_VALUE"""),45988.0)</f>
        <v>45988</v>
      </c>
      <c r="M217" s="116">
        <v>5.0</v>
      </c>
      <c r="N217" s="110"/>
      <c r="O217" s="110"/>
      <c r="P217" s="110"/>
      <c r="Q217" s="110"/>
      <c r="R217" s="110"/>
      <c r="S217" s="110"/>
      <c r="T217" s="110"/>
      <c r="U217" s="110"/>
      <c r="V217" s="110"/>
      <c r="W217" s="110"/>
      <c r="X217" s="110"/>
      <c r="Y217" s="110"/>
      <c r="Z217" s="110"/>
      <c r="AA217" s="110"/>
      <c r="AB217" s="110"/>
      <c r="AC217" s="110"/>
      <c r="AD217" s="110"/>
    </row>
    <row r="218">
      <c r="A218" s="118" t="s">
        <v>943</v>
      </c>
      <c r="B218" s="112" t="s">
        <v>4552</v>
      </c>
      <c r="C218" s="112" t="s">
        <v>4553</v>
      </c>
      <c r="D218" s="119" t="s">
        <v>4301</v>
      </c>
      <c r="E218" s="128">
        <v>45869.0</v>
      </c>
      <c r="F218" s="113" t="s">
        <v>31</v>
      </c>
      <c r="G218" s="113" t="s">
        <v>4343</v>
      </c>
      <c r="H218" s="113"/>
      <c r="I218" s="114">
        <v>45995.0</v>
      </c>
      <c r="J218" s="132"/>
      <c r="K218" s="120" t="str">
        <f>IFERROR(__xludf.DUMMYFUNCTION("""COMPUTED_VALUE"""),"")</f>
        <v/>
      </c>
      <c r="L218" s="114">
        <f>IFERROR(__xludf.DUMMYFUNCTION("""COMPUTED_VALUE"""),45988.0)</f>
        <v>45988</v>
      </c>
      <c r="M218" s="116">
        <v>5.0</v>
      </c>
      <c r="N218" s="110"/>
      <c r="O218" s="110"/>
      <c r="P218" s="110"/>
      <c r="Q218" s="110"/>
      <c r="R218" s="110"/>
      <c r="S218" s="110"/>
      <c r="T218" s="110"/>
      <c r="U218" s="110"/>
      <c r="V218" s="110"/>
      <c r="W218" s="110"/>
      <c r="X218" s="110"/>
      <c r="Y218" s="110"/>
      <c r="Z218" s="110"/>
      <c r="AA218" s="110"/>
      <c r="AB218" s="110"/>
      <c r="AC218" s="110"/>
      <c r="AD218" s="110"/>
    </row>
    <row r="219">
      <c r="A219" s="118" t="s">
        <v>1101</v>
      </c>
      <c r="B219" s="112" t="s">
        <v>4554</v>
      </c>
      <c r="C219" s="112" t="s">
        <v>1109</v>
      </c>
      <c r="D219" s="119" t="s">
        <v>4301</v>
      </c>
      <c r="E219" s="128">
        <v>45981.0</v>
      </c>
      <c r="F219" s="113" t="s">
        <v>31</v>
      </c>
      <c r="G219" s="113" t="s">
        <v>4343</v>
      </c>
      <c r="H219" s="113" t="s">
        <v>4311</v>
      </c>
      <c r="I219" s="114">
        <v>45995.0</v>
      </c>
      <c r="J219" s="132"/>
      <c r="K219" s="120" t="str">
        <f>IFERROR(__xludf.DUMMYFUNCTION("""COMPUTED_VALUE"""),"")</f>
        <v/>
      </c>
      <c r="L219" s="114">
        <f>IFERROR(__xludf.DUMMYFUNCTION("""COMPUTED_VALUE"""),45988.0)</f>
        <v>45988</v>
      </c>
      <c r="M219" s="116">
        <v>5.0</v>
      </c>
      <c r="N219" s="110"/>
      <c r="O219" s="110"/>
      <c r="P219" s="110"/>
      <c r="Q219" s="110"/>
      <c r="R219" s="110"/>
      <c r="S219" s="110"/>
      <c r="T219" s="110"/>
      <c r="U219" s="110"/>
      <c r="V219" s="110"/>
      <c r="W219" s="110"/>
      <c r="X219" s="110"/>
      <c r="Y219" s="110"/>
      <c r="Z219" s="110"/>
      <c r="AA219" s="110"/>
      <c r="AB219" s="110"/>
      <c r="AC219" s="110"/>
      <c r="AD219" s="110"/>
    </row>
    <row r="220">
      <c r="A220" s="118" t="s">
        <v>1322</v>
      </c>
      <c r="B220" s="112" t="s">
        <v>4555</v>
      </c>
      <c r="C220" s="112" t="s">
        <v>1326</v>
      </c>
      <c r="D220" s="119" t="s">
        <v>4301</v>
      </c>
      <c r="E220" s="128">
        <v>45963.0</v>
      </c>
      <c r="F220" s="113" t="s">
        <v>4305</v>
      </c>
      <c r="G220" s="113" t="s">
        <v>4343</v>
      </c>
      <c r="H220" s="113"/>
      <c r="I220" s="114">
        <v>45995.0</v>
      </c>
      <c r="J220" s="132"/>
      <c r="K220" s="120" t="str">
        <f>IFERROR(__xludf.DUMMYFUNCTION("""COMPUTED_VALUE"""),"")</f>
        <v/>
      </c>
      <c r="L220" s="114">
        <f>IFERROR(__xludf.DUMMYFUNCTION("""COMPUTED_VALUE"""),45988.0)</f>
        <v>45988</v>
      </c>
      <c r="M220" s="116">
        <v>5.0</v>
      </c>
      <c r="N220" s="110"/>
      <c r="O220" s="110"/>
      <c r="P220" s="110"/>
      <c r="Q220" s="110"/>
      <c r="R220" s="110"/>
      <c r="S220" s="110"/>
      <c r="T220" s="110"/>
      <c r="U220" s="110"/>
      <c r="V220" s="110"/>
      <c r="W220" s="110"/>
      <c r="X220" s="110"/>
      <c r="Y220" s="110"/>
      <c r="Z220" s="110"/>
      <c r="AA220" s="110"/>
      <c r="AB220" s="110"/>
      <c r="AC220" s="110"/>
      <c r="AD220" s="110"/>
    </row>
    <row r="221">
      <c r="A221" s="118" t="s">
        <v>2333</v>
      </c>
      <c r="B221" s="112" t="s">
        <v>4556</v>
      </c>
      <c r="C221" s="112" t="s">
        <v>2339</v>
      </c>
      <c r="D221" s="119" t="s">
        <v>4301</v>
      </c>
      <c r="E221" s="128">
        <v>45983.0</v>
      </c>
      <c r="F221" s="113" t="s">
        <v>4305</v>
      </c>
      <c r="G221" s="113" t="s">
        <v>4343</v>
      </c>
      <c r="H221" s="113"/>
      <c r="I221" s="114">
        <v>45995.0</v>
      </c>
      <c r="J221" s="132"/>
      <c r="K221" s="120" t="str">
        <f>IFERROR(__xludf.DUMMYFUNCTION("""COMPUTED_VALUE"""),"")</f>
        <v/>
      </c>
      <c r="L221" s="114">
        <f>IFERROR(__xludf.DUMMYFUNCTION("""COMPUTED_VALUE"""),45988.0)</f>
        <v>45988</v>
      </c>
      <c r="M221" s="116">
        <v>5.0</v>
      </c>
      <c r="N221" s="110"/>
      <c r="O221" s="110"/>
      <c r="P221" s="110"/>
      <c r="Q221" s="110"/>
      <c r="R221" s="110"/>
      <c r="S221" s="110"/>
      <c r="T221" s="110"/>
      <c r="U221" s="110"/>
      <c r="V221" s="110"/>
      <c r="W221" s="110"/>
      <c r="X221" s="110"/>
      <c r="Y221" s="110"/>
      <c r="Z221" s="110"/>
      <c r="AA221" s="110"/>
      <c r="AB221" s="110"/>
      <c r="AC221" s="110"/>
      <c r="AD221" s="110"/>
    </row>
    <row r="222">
      <c r="A222" s="118" t="s">
        <v>2753</v>
      </c>
      <c r="B222" s="112" t="s">
        <v>4557</v>
      </c>
      <c r="C222" s="112" t="s">
        <v>2762</v>
      </c>
      <c r="D222" s="119" t="s">
        <v>4301</v>
      </c>
      <c r="E222" s="128">
        <v>45962.0</v>
      </c>
      <c r="F222" s="113" t="s">
        <v>4305</v>
      </c>
      <c r="G222" s="113" t="s">
        <v>4343</v>
      </c>
      <c r="H222" s="113" t="s">
        <v>4558</v>
      </c>
      <c r="I222" s="114">
        <v>45995.0</v>
      </c>
      <c r="J222" s="132"/>
      <c r="K222" s="120" t="str">
        <f>IFERROR(__xludf.DUMMYFUNCTION("""COMPUTED_VALUE"""),"")</f>
        <v/>
      </c>
      <c r="L222" s="114">
        <f>IFERROR(__xludf.DUMMYFUNCTION("""COMPUTED_VALUE"""),45988.0)</f>
        <v>45988</v>
      </c>
      <c r="M222" s="116">
        <v>5.0</v>
      </c>
      <c r="N222" s="110"/>
      <c r="O222" s="110"/>
      <c r="P222" s="110"/>
      <c r="Q222" s="110"/>
      <c r="R222" s="110"/>
      <c r="S222" s="110"/>
      <c r="T222" s="110"/>
      <c r="U222" s="110"/>
      <c r="V222" s="110"/>
      <c r="W222" s="110"/>
      <c r="X222" s="110"/>
      <c r="Y222" s="110"/>
      <c r="Z222" s="110"/>
      <c r="AA222" s="110"/>
      <c r="AB222" s="110"/>
      <c r="AC222" s="110"/>
      <c r="AD222" s="110"/>
    </row>
    <row r="223">
      <c r="A223" s="118" t="s">
        <v>2890</v>
      </c>
      <c r="B223" s="112" t="s">
        <v>4559</v>
      </c>
      <c r="C223" s="112" t="s">
        <v>2896</v>
      </c>
      <c r="D223" s="119" t="s">
        <v>4301</v>
      </c>
      <c r="E223" s="128">
        <v>45962.0</v>
      </c>
      <c r="F223" s="113" t="s">
        <v>282</v>
      </c>
      <c r="G223" s="113" t="s">
        <v>4343</v>
      </c>
      <c r="H223" s="113"/>
      <c r="I223" s="114">
        <v>45995.0</v>
      </c>
      <c r="J223" s="132"/>
      <c r="K223" s="120" t="str">
        <f>IFERROR(__xludf.DUMMYFUNCTION("""COMPUTED_VALUE"""),"")</f>
        <v/>
      </c>
      <c r="L223" s="114">
        <f>IFERROR(__xludf.DUMMYFUNCTION("""COMPUTED_VALUE"""),45988.0)</f>
        <v>45988</v>
      </c>
      <c r="M223" s="116">
        <v>5.0</v>
      </c>
      <c r="N223" s="110"/>
      <c r="O223" s="110"/>
      <c r="P223" s="110"/>
      <c r="Q223" s="110"/>
      <c r="R223" s="110"/>
      <c r="S223" s="110"/>
      <c r="T223" s="110"/>
      <c r="U223" s="110"/>
      <c r="V223" s="110"/>
      <c r="W223" s="110"/>
      <c r="X223" s="110"/>
      <c r="Y223" s="110"/>
      <c r="Z223" s="110"/>
      <c r="AA223" s="110"/>
      <c r="AB223" s="110"/>
      <c r="AC223" s="110"/>
      <c r="AD223" s="110"/>
    </row>
    <row r="224">
      <c r="A224" s="118" t="s">
        <v>3772</v>
      </c>
      <c r="B224" s="112" t="s">
        <v>4560</v>
      </c>
      <c r="C224" s="112" t="s">
        <v>3779</v>
      </c>
      <c r="D224" s="119" t="s">
        <v>4301</v>
      </c>
      <c r="E224" s="128">
        <v>45985.0</v>
      </c>
      <c r="F224" s="113" t="s">
        <v>643</v>
      </c>
      <c r="G224" s="113" t="s">
        <v>4343</v>
      </c>
      <c r="H224" s="113"/>
      <c r="I224" s="114">
        <v>45995.0</v>
      </c>
      <c r="J224" s="132"/>
      <c r="K224" s="120" t="str">
        <f>IFERROR(__xludf.DUMMYFUNCTION("""COMPUTED_VALUE"""),"")</f>
        <v/>
      </c>
      <c r="L224" s="114">
        <f>IFERROR(__xludf.DUMMYFUNCTION("""COMPUTED_VALUE"""),45988.0)</f>
        <v>45988</v>
      </c>
      <c r="M224" s="116">
        <v>5.0</v>
      </c>
      <c r="N224" s="110"/>
      <c r="O224" s="110"/>
      <c r="P224" s="110"/>
      <c r="Q224" s="110"/>
      <c r="R224" s="110"/>
      <c r="S224" s="110"/>
      <c r="T224" s="110"/>
      <c r="U224" s="110"/>
      <c r="V224" s="110"/>
      <c r="W224" s="110"/>
      <c r="X224" s="110"/>
      <c r="Y224" s="110"/>
      <c r="Z224" s="110"/>
      <c r="AA224" s="110"/>
      <c r="AB224" s="110"/>
      <c r="AC224" s="110"/>
      <c r="AD224" s="110"/>
    </row>
    <row r="225">
      <c r="A225" s="118" t="s">
        <v>4027</v>
      </c>
      <c r="B225" s="112" t="s">
        <v>4561</v>
      </c>
      <c r="C225" s="112" t="s">
        <v>4036</v>
      </c>
      <c r="D225" s="119" t="s">
        <v>4301</v>
      </c>
      <c r="E225" s="128">
        <v>45966.0</v>
      </c>
      <c r="F225" s="113" t="s">
        <v>643</v>
      </c>
      <c r="G225" s="113" t="s">
        <v>4343</v>
      </c>
      <c r="H225" s="113" t="s">
        <v>4562</v>
      </c>
      <c r="I225" s="114">
        <v>45995.0</v>
      </c>
      <c r="J225" s="132"/>
      <c r="K225" s="120" t="str">
        <f>IFERROR(__xludf.DUMMYFUNCTION("""COMPUTED_VALUE"""),"")</f>
        <v/>
      </c>
      <c r="L225" s="114">
        <f>IFERROR(__xludf.DUMMYFUNCTION("""COMPUTED_VALUE"""),45988.0)</f>
        <v>45988</v>
      </c>
      <c r="M225" s="116">
        <v>5.0</v>
      </c>
      <c r="N225" s="110"/>
      <c r="O225" s="110"/>
      <c r="P225" s="110"/>
      <c r="Q225" s="110"/>
      <c r="R225" s="110"/>
      <c r="S225" s="110"/>
      <c r="T225" s="110"/>
      <c r="U225" s="110"/>
      <c r="V225" s="110"/>
      <c r="W225" s="110"/>
      <c r="X225" s="110"/>
      <c r="Y225" s="110"/>
      <c r="Z225" s="110"/>
      <c r="AA225" s="110"/>
      <c r="AB225" s="110"/>
      <c r="AC225" s="110"/>
      <c r="AD225" s="110"/>
    </row>
    <row r="226">
      <c r="A226" s="118" t="s">
        <v>692</v>
      </c>
      <c r="B226" s="112" t="s">
        <v>4563</v>
      </c>
      <c r="C226" s="112">
        <v>2.029106046E9</v>
      </c>
      <c r="D226" s="119" t="s">
        <v>4301</v>
      </c>
      <c r="E226" s="128">
        <v>45981.0</v>
      </c>
      <c r="F226" s="113" t="s">
        <v>31</v>
      </c>
      <c r="G226" s="113" t="s">
        <v>4343</v>
      </c>
      <c r="H226" s="113"/>
      <c r="I226" s="114">
        <v>45996.0</v>
      </c>
      <c r="J226" s="132"/>
      <c r="K226" s="120" t="str">
        <f>IFERROR(__xludf.DUMMYFUNCTION("""COMPUTED_VALUE"""),"")</f>
        <v/>
      </c>
      <c r="L226" s="114">
        <f>IFERROR(__xludf.DUMMYFUNCTION("""COMPUTED_VALUE"""),45989.0)</f>
        <v>45989</v>
      </c>
      <c r="M226" s="116">
        <v>5.0</v>
      </c>
      <c r="N226" s="110"/>
      <c r="O226" s="110"/>
      <c r="P226" s="110"/>
      <c r="Q226" s="110"/>
      <c r="R226" s="110"/>
      <c r="S226" s="110"/>
      <c r="T226" s="110"/>
      <c r="U226" s="110"/>
      <c r="V226" s="110"/>
      <c r="W226" s="110"/>
      <c r="X226" s="110"/>
      <c r="Y226" s="110"/>
      <c r="Z226" s="110"/>
      <c r="AA226" s="110"/>
      <c r="AB226" s="110"/>
      <c r="AC226" s="110"/>
      <c r="AD226" s="110"/>
    </row>
    <row r="227">
      <c r="A227" s="118" t="s">
        <v>802</v>
      </c>
      <c r="B227" s="112" t="s">
        <v>4564</v>
      </c>
      <c r="C227" s="112">
        <v>2.028093691E9</v>
      </c>
      <c r="D227" s="119" t="s">
        <v>4301</v>
      </c>
      <c r="E227" s="128"/>
      <c r="F227" s="113" t="s">
        <v>327</v>
      </c>
      <c r="G227" s="113" t="s">
        <v>4343</v>
      </c>
      <c r="H227" s="113"/>
      <c r="I227" s="114">
        <v>45996.0</v>
      </c>
      <c r="J227" s="132"/>
      <c r="K227" s="120" t="str">
        <f>IFERROR(__xludf.DUMMYFUNCTION("""COMPUTED_VALUE"""),"")</f>
        <v/>
      </c>
      <c r="L227" s="114">
        <f>IFERROR(__xludf.DUMMYFUNCTION("""COMPUTED_VALUE"""),45989.0)</f>
        <v>45989</v>
      </c>
      <c r="M227" s="116">
        <v>5.0</v>
      </c>
      <c r="N227" s="110"/>
      <c r="O227" s="110"/>
      <c r="P227" s="110"/>
      <c r="Q227" s="110"/>
      <c r="R227" s="110"/>
      <c r="S227" s="110"/>
      <c r="T227" s="110"/>
      <c r="U227" s="110"/>
      <c r="V227" s="110"/>
      <c r="W227" s="110"/>
      <c r="X227" s="110"/>
      <c r="Y227" s="110"/>
      <c r="Z227" s="110"/>
      <c r="AA227" s="110"/>
      <c r="AB227" s="110"/>
      <c r="AC227" s="110"/>
      <c r="AD227" s="110"/>
    </row>
    <row r="228">
      <c r="A228" s="118" t="s">
        <v>910</v>
      </c>
      <c r="B228" s="112" t="s">
        <v>4565</v>
      </c>
      <c r="C228" s="112">
        <v>2.024691812E9</v>
      </c>
      <c r="D228" s="119" t="s">
        <v>4301</v>
      </c>
      <c r="E228" s="128"/>
      <c r="F228" s="113"/>
      <c r="G228" s="113" t="s">
        <v>4343</v>
      </c>
      <c r="H228" s="113"/>
      <c r="I228" s="114">
        <v>45996.0</v>
      </c>
      <c r="J228" s="132"/>
      <c r="K228" s="120" t="str">
        <f>IFERROR(__xludf.DUMMYFUNCTION("""COMPUTED_VALUE"""),"")</f>
        <v/>
      </c>
      <c r="L228" s="114">
        <f>IFERROR(__xludf.DUMMYFUNCTION("""COMPUTED_VALUE"""),45989.0)</f>
        <v>45989</v>
      </c>
      <c r="M228" s="116">
        <v>5.0</v>
      </c>
      <c r="N228" s="110"/>
      <c r="O228" s="110"/>
      <c r="P228" s="110"/>
      <c r="Q228" s="110"/>
      <c r="R228" s="110"/>
      <c r="S228" s="110"/>
      <c r="T228" s="110"/>
      <c r="U228" s="110"/>
      <c r="V228" s="110"/>
      <c r="W228" s="110"/>
      <c r="X228" s="110"/>
      <c r="Y228" s="110"/>
      <c r="Z228" s="110"/>
      <c r="AA228" s="110"/>
      <c r="AB228" s="110"/>
      <c r="AC228" s="110"/>
      <c r="AD228" s="110"/>
    </row>
    <row r="229">
      <c r="A229" s="118" t="s">
        <v>1593</v>
      </c>
      <c r="B229" s="112" t="s">
        <v>4566</v>
      </c>
      <c r="C229" s="112">
        <v>2.022718163E9</v>
      </c>
      <c r="D229" s="119" t="s">
        <v>4301</v>
      </c>
      <c r="E229" s="128"/>
      <c r="F229" s="113" t="s">
        <v>643</v>
      </c>
      <c r="G229" s="113" t="s">
        <v>4343</v>
      </c>
      <c r="H229" s="113"/>
      <c r="I229" s="114">
        <v>45996.0</v>
      </c>
      <c r="J229" s="132"/>
      <c r="K229" s="120" t="str">
        <f>IFERROR(__xludf.DUMMYFUNCTION("""COMPUTED_VALUE"""),"")</f>
        <v/>
      </c>
      <c r="L229" s="114">
        <f>IFERROR(__xludf.DUMMYFUNCTION("""COMPUTED_VALUE"""),45989.0)</f>
        <v>45989</v>
      </c>
      <c r="M229" s="116">
        <v>5.0</v>
      </c>
      <c r="N229" s="110"/>
      <c r="O229" s="110"/>
      <c r="P229" s="110"/>
      <c r="Q229" s="110"/>
      <c r="R229" s="110"/>
      <c r="S229" s="110"/>
      <c r="T229" s="110"/>
      <c r="U229" s="110"/>
      <c r="V229" s="110"/>
      <c r="W229" s="110"/>
      <c r="X229" s="110"/>
      <c r="Y229" s="110"/>
      <c r="Z229" s="110"/>
      <c r="AA229" s="110"/>
      <c r="AB229" s="110"/>
      <c r="AC229" s="110"/>
      <c r="AD229" s="110"/>
    </row>
    <row r="230">
      <c r="A230" s="118" t="s">
        <v>2132</v>
      </c>
      <c r="B230" s="112" t="s">
        <v>4567</v>
      </c>
      <c r="C230" s="112" t="s">
        <v>2139</v>
      </c>
      <c r="D230" s="119" t="s">
        <v>4301</v>
      </c>
      <c r="E230" s="128">
        <v>45995.0</v>
      </c>
      <c r="F230" s="113" t="s">
        <v>31</v>
      </c>
      <c r="G230" s="113" t="s">
        <v>4343</v>
      </c>
      <c r="H230" s="113" t="s">
        <v>4568</v>
      </c>
      <c r="I230" s="114">
        <v>45996.0</v>
      </c>
      <c r="J230" s="132"/>
      <c r="K230" s="120" t="str">
        <f>IFERROR(__xludf.DUMMYFUNCTION("""COMPUTED_VALUE"""),"")</f>
        <v/>
      </c>
      <c r="L230" s="114">
        <f>IFERROR(__xludf.DUMMYFUNCTION("""COMPUTED_VALUE"""),45989.0)</f>
        <v>45989</v>
      </c>
      <c r="M230" s="116">
        <v>5.0</v>
      </c>
      <c r="N230" s="110"/>
      <c r="O230" s="110"/>
      <c r="P230" s="110"/>
      <c r="Q230" s="110"/>
      <c r="R230" s="110"/>
      <c r="S230" s="110"/>
      <c r="T230" s="110"/>
      <c r="U230" s="110"/>
      <c r="V230" s="110"/>
      <c r="W230" s="110"/>
      <c r="X230" s="110"/>
      <c r="Y230" s="110"/>
      <c r="Z230" s="110"/>
      <c r="AA230" s="110"/>
      <c r="AB230" s="110"/>
      <c r="AC230" s="110"/>
      <c r="AD230" s="110"/>
    </row>
    <row r="231">
      <c r="A231" s="118" t="s">
        <v>2142</v>
      </c>
      <c r="B231" s="112" t="s">
        <v>4569</v>
      </c>
      <c r="C231" s="112" t="s">
        <v>2148</v>
      </c>
      <c r="D231" s="119" t="s">
        <v>4301</v>
      </c>
      <c r="E231" s="128"/>
      <c r="F231" s="113" t="s">
        <v>643</v>
      </c>
      <c r="G231" s="113" t="s">
        <v>4343</v>
      </c>
      <c r="H231" s="113"/>
      <c r="I231" s="114">
        <v>45996.0</v>
      </c>
      <c r="J231" s="132"/>
      <c r="K231" s="120" t="str">
        <f>IFERROR(__xludf.DUMMYFUNCTION("""COMPUTED_VALUE"""),"")</f>
        <v/>
      </c>
      <c r="L231" s="114">
        <f>IFERROR(__xludf.DUMMYFUNCTION("""COMPUTED_VALUE"""),45989.0)</f>
        <v>45989</v>
      </c>
      <c r="M231" s="116">
        <v>5.0</v>
      </c>
      <c r="N231" s="110"/>
      <c r="O231" s="110"/>
      <c r="P231" s="110"/>
      <c r="Q231" s="110"/>
      <c r="R231" s="110"/>
      <c r="S231" s="110"/>
      <c r="T231" s="110"/>
      <c r="U231" s="110"/>
      <c r="V231" s="110"/>
      <c r="W231" s="110"/>
      <c r="X231" s="110"/>
      <c r="Y231" s="110"/>
      <c r="Z231" s="110"/>
      <c r="AA231" s="110"/>
      <c r="AB231" s="110"/>
      <c r="AC231" s="110"/>
      <c r="AD231" s="110"/>
    </row>
    <row r="232">
      <c r="A232" s="118" t="s">
        <v>3460</v>
      </c>
      <c r="B232" s="112" t="s">
        <v>4570</v>
      </c>
      <c r="C232" s="112" t="s">
        <v>3469</v>
      </c>
      <c r="D232" s="119" t="s">
        <v>4301</v>
      </c>
      <c r="E232" s="128">
        <v>45960.0</v>
      </c>
      <c r="F232" s="113" t="s">
        <v>31</v>
      </c>
      <c r="G232" s="113" t="s">
        <v>4343</v>
      </c>
      <c r="H232" s="113"/>
      <c r="I232" s="114">
        <v>45996.0</v>
      </c>
      <c r="J232" s="132"/>
      <c r="K232" s="120" t="str">
        <f>IFERROR(__xludf.DUMMYFUNCTION("""COMPUTED_VALUE"""),"")</f>
        <v/>
      </c>
      <c r="L232" s="114">
        <f>IFERROR(__xludf.DUMMYFUNCTION("""COMPUTED_VALUE"""),45989.0)</f>
        <v>45989</v>
      </c>
      <c r="M232" s="116">
        <v>5.0</v>
      </c>
      <c r="N232" s="110"/>
      <c r="O232" s="110"/>
      <c r="P232" s="110"/>
      <c r="Q232" s="110"/>
      <c r="R232" s="110"/>
      <c r="S232" s="110"/>
      <c r="T232" s="110"/>
      <c r="U232" s="110"/>
      <c r="V232" s="110"/>
      <c r="W232" s="110"/>
      <c r="X232" s="110"/>
      <c r="Y232" s="110"/>
      <c r="Z232" s="110"/>
      <c r="AA232" s="110"/>
      <c r="AB232" s="110"/>
      <c r="AC232" s="110"/>
      <c r="AD232" s="110"/>
    </row>
    <row r="233">
      <c r="A233" s="118" t="s">
        <v>3612</v>
      </c>
      <c r="B233" s="112" t="s">
        <v>4571</v>
      </c>
      <c r="C233" s="112" t="s">
        <v>3619</v>
      </c>
      <c r="D233" s="119" t="s">
        <v>4301</v>
      </c>
      <c r="E233" s="128">
        <v>45915.0</v>
      </c>
      <c r="F233" s="113" t="s">
        <v>643</v>
      </c>
      <c r="G233" s="113" t="s">
        <v>4343</v>
      </c>
      <c r="H233" s="113"/>
      <c r="I233" s="114">
        <v>45996.0</v>
      </c>
      <c r="J233" s="132"/>
      <c r="K233" s="120" t="str">
        <f>IFERROR(__xludf.DUMMYFUNCTION("""COMPUTED_VALUE"""),"")</f>
        <v/>
      </c>
      <c r="L233" s="114">
        <f>IFERROR(__xludf.DUMMYFUNCTION("""COMPUTED_VALUE"""),45989.0)</f>
        <v>45989</v>
      </c>
      <c r="M233" s="116">
        <v>5.0</v>
      </c>
      <c r="N233" s="110"/>
      <c r="O233" s="110"/>
      <c r="P233" s="110"/>
      <c r="Q233" s="110"/>
      <c r="R233" s="110"/>
      <c r="S233" s="110"/>
      <c r="T233" s="110"/>
      <c r="U233" s="110"/>
      <c r="V233" s="110"/>
      <c r="W233" s="110"/>
      <c r="X233" s="110"/>
      <c r="Y233" s="110"/>
      <c r="Z233" s="110"/>
      <c r="AA233" s="110"/>
      <c r="AB233" s="110"/>
      <c r="AC233" s="110"/>
      <c r="AD233" s="110"/>
    </row>
    <row r="234">
      <c r="A234" s="118" t="s">
        <v>3737</v>
      </c>
      <c r="B234" s="112" t="s">
        <v>4572</v>
      </c>
      <c r="C234" s="112" t="s">
        <v>3744</v>
      </c>
      <c r="D234" s="119" t="s">
        <v>4301</v>
      </c>
      <c r="E234" s="128">
        <v>45966.0</v>
      </c>
      <c r="F234" s="113" t="s">
        <v>643</v>
      </c>
      <c r="G234" s="113" t="s">
        <v>4343</v>
      </c>
      <c r="H234" s="113"/>
      <c r="I234" s="114">
        <v>45996.0</v>
      </c>
      <c r="J234" s="132"/>
      <c r="K234" s="120" t="str">
        <f>IFERROR(__xludf.DUMMYFUNCTION("""COMPUTED_VALUE"""),"")</f>
        <v/>
      </c>
      <c r="L234" s="114">
        <f>IFERROR(__xludf.DUMMYFUNCTION("""COMPUTED_VALUE"""),45989.0)</f>
        <v>45989</v>
      </c>
      <c r="M234" s="116">
        <v>5.0</v>
      </c>
      <c r="N234" s="110"/>
      <c r="O234" s="110"/>
      <c r="P234" s="110"/>
      <c r="Q234" s="110"/>
      <c r="R234" s="110"/>
      <c r="S234" s="110"/>
      <c r="T234" s="110"/>
      <c r="U234" s="110"/>
      <c r="V234" s="110"/>
      <c r="W234" s="110"/>
      <c r="X234" s="110"/>
      <c r="Y234" s="110"/>
      <c r="Z234" s="110"/>
      <c r="AA234" s="110"/>
      <c r="AB234" s="110"/>
      <c r="AC234" s="110"/>
      <c r="AD234" s="110"/>
    </row>
    <row r="235">
      <c r="A235" s="118" t="s">
        <v>3923</v>
      </c>
      <c r="B235" s="112" t="s">
        <v>4573</v>
      </c>
      <c r="C235" s="112" t="s">
        <v>3930</v>
      </c>
      <c r="D235" s="119" t="s">
        <v>4301</v>
      </c>
      <c r="E235" s="128">
        <v>45966.0</v>
      </c>
      <c r="F235" s="113" t="s">
        <v>643</v>
      </c>
      <c r="G235" s="113" t="s">
        <v>4343</v>
      </c>
      <c r="H235" s="113"/>
      <c r="I235" s="114">
        <v>45996.0</v>
      </c>
      <c r="J235" s="132"/>
      <c r="K235" s="120" t="str">
        <f>IFERROR(__xludf.DUMMYFUNCTION("""COMPUTED_VALUE"""),"")</f>
        <v/>
      </c>
      <c r="L235" s="114">
        <f>IFERROR(__xludf.DUMMYFUNCTION("""COMPUTED_VALUE"""),45989.0)</f>
        <v>45989</v>
      </c>
      <c r="M235" s="116">
        <v>5.0</v>
      </c>
      <c r="N235" s="110"/>
      <c r="O235" s="110"/>
      <c r="P235" s="110"/>
      <c r="Q235" s="110"/>
      <c r="R235" s="110"/>
      <c r="S235" s="110"/>
      <c r="T235" s="110"/>
      <c r="U235" s="110"/>
      <c r="V235" s="110"/>
      <c r="W235" s="110"/>
      <c r="X235" s="110"/>
      <c r="Y235" s="110"/>
      <c r="Z235" s="110"/>
      <c r="AA235" s="110"/>
      <c r="AB235" s="110"/>
      <c r="AC235" s="110"/>
      <c r="AD235" s="110"/>
    </row>
    <row r="236">
      <c r="A236" s="118" t="s">
        <v>3944</v>
      </c>
      <c r="B236" s="112" t="s">
        <v>4574</v>
      </c>
      <c r="C236" s="112" t="s">
        <v>3948</v>
      </c>
      <c r="D236" s="119" t="s">
        <v>4301</v>
      </c>
      <c r="E236" s="128">
        <v>45932.0</v>
      </c>
      <c r="F236" s="113" t="s">
        <v>643</v>
      </c>
      <c r="G236" s="113" t="s">
        <v>4343</v>
      </c>
      <c r="H236" s="113"/>
      <c r="I236" s="114">
        <v>45996.0</v>
      </c>
      <c r="J236" s="132"/>
      <c r="K236" s="120" t="str">
        <f>IFERROR(__xludf.DUMMYFUNCTION("""COMPUTED_VALUE"""),"")</f>
        <v/>
      </c>
      <c r="L236" s="114">
        <f>IFERROR(__xludf.DUMMYFUNCTION("""COMPUTED_VALUE"""),45989.0)</f>
        <v>45989</v>
      </c>
      <c r="M236" s="116">
        <v>5.0</v>
      </c>
      <c r="N236" s="110"/>
      <c r="O236" s="110"/>
      <c r="P236" s="110"/>
      <c r="Q236" s="110"/>
      <c r="R236" s="110"/>
      <c r="S236" s="110"/>
      <c r="T236" s="110"/>
      <c r="U236" s="110"/>
      <c r="V236" s="110"/>
      <c r="W236" s="110"/>
      <c r="X236" s="110"/>
      <c r="Y236" s="110"/>
      <c r="Z236" s="110"/>
      <c r="AA236" s="110"/>
      <c r="AB236" s="110"/>
      <c r="AC236" s="110"/>
      <c r="AD236" s="110"/>
    </row>
    <row r="237">
      <c r="A237" s="118" t="s">
        <v>1134</v>
      </c>
      <c r="B237" s="112" t="s">
        <v>4575</v>
      </c>
      <c r="C237" s="112">
        <v>2.025565683E9</v>
      </c>
      <c r="D237" s="119" t="s">
        <v>4301</v>
      </c>
      <c r="E237" s="128">
        <v>45998.0</v>
      </c>
      <c r="F237" s="113" t="s">
        <v>4310</v>
      </c>
      <c r="G237" s="113" t="s">
        <v>4343</v>
      </c>
      <c r="H237" s="113"/>
      <c r="I237" s="114">
        <v>46002.0</v>
      </c>
      <c r="J237" s="132"/>
      <c r="K237" s="120" t="str">
        <f>IFERROR(__xludf.DUMMYFUNCTION("""COMPUTED_VALUE"""),"")</f>
        <v/>
      </c>
      <c r="L237" s="114">
        <f>IFERROR(__xludf.DUMMYFUNCTION("""COMPUTED_VALUE"""),45995.0)</f>
        <v>45995</v>
      </c>
      <c r="M237" s="116">
        <v>5.0</v>
      </c>
      <c r="N237" s="110"/>
      <c r="O237" s="110"/>
      <c r="P237" s="110"/>
      <c r="Q237" s="110"/>
      <c r="R237" s="110"/>
      <c r="S237" s="110"/>
      <c r="T237" s="110"/>
      <c r="U237" s="110"/>
      <c r="V237" s="110"/>
      <c r="W237" s="110"/>
      <c r="X237" s="110"/>
      <c r="Y237" s="110"/>
      <c r="Z237" s="110"/>
      <c r="AA237" s="110"/>
      <c r="AB237" s="110"/>
      <c r="AC237" s="110"/>
      <c r="AD237" s="110"/>
    </row>
    <row r="238">
      <c r="A238" s="118" t="s">
        <v>558</v>
      </c>
      <c r="B238" s="112" t="s">
        <v>4576</v>
      </c>
      <c r="C238" s="112" t="s">
        <v>4577</v>
      </c>
      <c r="D238" s="119" t="s">
        <v>4301</v>
      </c>
      <c r="E238" s="128">
        <v>45998.0</v>
      </c>
      <c r="F238" s="113" t="s">
        <v>4310</v>
      </c>
      <c r="G238" s="113" t="s">
        <v>4343</v>
      </c>
      <c r="H238" s="113" t="s">
        <v>4578</v>
      </c>
      <c r="I238" s="114">
        <v>46002.0</v>
      </c>
      <c r="J238" s="132"/>
      <c r="K238" s="120" t="str">
        <f>IFERROR(__xludf.DUMMYFUNCTION("""COMPUTED_VALUE"""),"")</f>
        <v/>
      </c>
      <c r="L238" s="114">
        <f>IFERROR(__xludf.DUMMYFUNCTION("""COMPUTED_VALUE"""),45995.0)</f>
        <v>45995</v>
      </c>
      <c r="M238" s="116">
        <v>5.0</v>
      </c>
      <c r="N238" s="110"/>
      <c r="O238" s="110"/>
      <c r="P238" s="110"/>
      <c r="Q238" s="110"/>
      <c r="R238" s="110"/>
      <c r="S238" s="110"/>
      <c r="T238" s="110"/>
      <c r="U238" s="110"/>
      <c r="V238" s="110"/>
      <c r="W238" s="110"/>
      <c r="X238" s="110"/>
      <c r="Y238" s="110"/>
      <c r="Z238" s="110"/>
      <c r="AA238" s="110"/>
      <c r="AB238" s="110"/>
      <c r="AC238" s="110"/>
      <c r="AD238" s="110"/>
    </row>
    <row r="239">
      <c r="A239" s="118" t="s">
        <v>1081</v>
      </c>
      <c r="B239" s="112" t="s">
        <v>4579</v>
      </c>
      <c r="C239" s="112" t="s">
        <v>1090</v>
      </c>
      <c r="D239" s="119" t="s">
        <v>4301</v>
      </c>
      <c r="E239" s="128">
        <v>45969.0</v>
      </c>
      <c r="F239" s="113" t="s">
        <v>4305</v>
      </c>
      <c r="G239" s="113" t="s">
        <v>4343</v>
      </c>
      <c r="H239" s="113"/>
      <c r="I239" s="114">
        <v>46002.0</v>
      </c>
      <c r="J239" s="132"/>
      <c r="K239" s="120" t="str">
        <f>IFERROR(__xludf.DUMMYFUNCTION("""COMPUTED_VALUE"""),"")</f>
        <v/>
      </c>
      <c r="L239" s="114">
        <f>IFERROR(__xludf.DUMMYFUNCTION("""COMPUTED_VALUE"""),45995.0)</f>
        <v>45995</v>
      </c>
      <c r="M239" s="116">
        <v>5.0</v>
      </c>
      <c r="N239" s="110"/>
      <c r="O239" s="110"/>
      <c r="P239" s="110"/>
      <c r="Q239" s="110"/>
      <c r="R239" s="110"/>
      <c r="S239" s="110"/>
      <c r="T239" s="110"/>
      <c r="U239" s="110"/>
      <c r="V239" s="110"/>
      <c r="W239" s="110"/>
      <c r="X239" s="110"/>
      <c r="Y239" s="110"/>
      <c r="Z239" s="110"/>
      <c r="AA239" s="110"/>
      <c r="AB239" s="110"/>
      <c r="AC239" s="110"/>
      <c r="AD239" s="110"/>
    </row>
    <row r="240">
      <c r="A240" s="118" t="s">
        <v>1439</v>
      </c>
      <c r="B240" s="112" t="s">
        <v>4580</v>
      </c>
      <c r="C240" s="112" t="s">
        <v>1444</v>
      </c>
      <c r="D240" s="119" t="s">
        <v>4301</v>
      </c>
      <c r="E240" s="128"/>
      <c r="F240" s="113" t="s">
        <v>327</v>
      </c>
      <c r="G240" s="113" t="s">
        <v>4343</v>
      </c>
      <c r="H240" s="113"/>
      <c r="I240" s="114">
        <v>46002.0</v>
      </c>
      <c r="J240" s="132"/>
      <c r="K240" s="120" t="str">
        <f>IFERROR(__xludf.DUMMYFUNCTION("""COMPUTED_VALUE"""),"")</f>
        <v/>
      </c>
      <c r="L240" s="114">
        <f>IFERROR(__xludf.DUMMYFUNCTION("""COMPUTED_VALUE"""),45995.0)</f>
        <v>45995</v>
      </c>
      <c r="M240" s="116">
        <v>5.0</v>
      </c>
      <c r="N240" s="110"/>
      <c r="O240" s="110"/>
      <c r="P240" s="110"/>
      <c r="Q240" s="110"/>
      <c r="R240" s="110"/>
      <c r="S240" s="110"/>
      <c r="T240" s="110"/>
      <c r="U240" s="110"/>
      <c r="V240" s="110"/>
      <c r="W240" s="110"/>
      <c r="X240" s="110"/>
      <c r="Y240" s="110"/>
      <c r="Z240" s="110"/>
      <c r="AA240" s="110"/>
      <c r="AB240" s="110"/>
      <c r="AC240" s="110"/>
      <c r="AD240" s="110"/>
    </row>
    <row r="241">
      <c r="A241" s="118" t="s">
        <v>1447</v>
      </c>
      <c r="B241" s="112" t="s">
        <v>4581</v>
      </c>
      <c r="C241" s="112" t="s">
        <v>1454</v>
      </c>
      <c r="D241" s="119" t="s">
        <v>4301</v>
      </c>
      <c r="E241" s="128">
        <v>45972.0</v>
      </c>
      <c r="F241" s="113" t="s">
        <v>4305</v>
      </c>
      <c r="G241" s="113" t="s">
        <v>4343</v>
      </c>
      <c r="H241" s="113"/>
      <c r="I241" s="114">
        <v>46002.0</v>
      </c>
      <c r="J241" s="132"/>
      <c r="K241" s="120" t="str">
        <f>IFERROR(__xludf.DUMMYFUNCTION("""COMPUTED_VALUE"""),"")</f>
        <v/>
      </c>
      <c r="L241" s="114">
        <f>IFERROR(__xludf.DUMMYFUNCTION("""COMPUTED_VALUE"""),45995.0)</f>
        <v>45995</v>
      </c>
      <c r="M241" s="116">
        <v>5.0</v>
      </c>
      <c r="N241" s="110"/>
      <c r="O241" s="110"/>
      <c r="P241" s="110"/>
      <c r="Q241" s="110"/>
      <c r="R241" s="110"/>
      <c r="S241" s="110"/>
      <c r="T241" s="110"/>
      <c r="U241" s="110"/>
      <c r="V241" s="110"/>
      <c r="W241" s="110"/>
      <c r="X241" s="110"/>
      <c r="Y241" s="110"/>
      <c r="Z241" s="110"/>
      <c r="AA241" s="110"/>
      <c r="AB241" s="110"/>
      <c r="AC241" s="110"/>
      <c r="AD241" s="110"/>
    </row>
    <row r="242">
      <c r="A242" s="118" t="s">
        <v>2703</v>
      </c>
      <c r="B242" s="112" t="s">
        <v>4582</v>
      </c>
      <c r="C242" s="112" t="s">
        <v>2710</v>
      </c>
      <c r="D242" s="119" t="s">
        <v>4301</v>
      </c>
      <c r="E242" s="128">
        <v>45946.0</v>
      </c>
      <c r="F242" s="113" t="s">
        <v>31</v>
      </c>
      <c r="G242" s="113" t="s">
        <v>4343</v>
      </c>
      <c r="H242" s="113"/>
      <c r="I242" s="128">
        <v>46002.0</v>
      </c>
      <c r="J242" s="132"/>
      <c r="K242" s="120" t="str">
        <f>IFERROR(__xludf.DUMMYFUNCTION("""COMPUTED_VALUE"""),"")</f>
        <v/>
      </c>
      <c r="L242" s="114">
        <f>IFERROR(__xludf.DUMMYFUNCTION("""COMPUTED_VALUE"""),45995.0)</f>
        <v>45995</v>
      </c>
      <c r="M242" s="116">
        <v>5.0</v>
      </c>
      <c r="N242" s="110"/>
      <c r="O242" s="110"/>
      <c r="P242" s="110"/>
      <c r="Q242" s="110"/>
      <c r="R242" s="110"/>
      <c r="S242" s="110"/>
      <c r="T242" s="110"/>
      <c r="U242" s="110"/>
      <c r="V242" s="110"/>
      <c r="W242" s="110"/>
      <c r="X242" s="110"/>
      <c r="Y242" s="110"/>
      <c r="Z242" s="110"/>
      <c r="AA242" s="110"/>
      <c r="AB242" s="110"/>
      <c r="AC242" s="110"/>
      <c r="AD242" s="110"/>
    </row>
    <row r="243">
      <c r="A243" s="118" t="s">
        <v>2939</v>
      </c>
      <c r="B243" s="112" t="s">
        <v>4583</v>
      </c>
      <c r="C243" s="112" t="s">
        <v>2944</v>
      </c>
      <c r="D243" s="119" t="s">
        <v>4301</v>
      </c>
      <c r="E243" s="128">
        <v>45940.0</v>
      </c>
      <c r="F243" s="113" t="s">
        <v>643</v>
      </c>
      <c r="G243" s="113" t="s">
        <v>4343</v>
      </c>
      <c r="H243" s="113"/>
      <c r="I243" s="114">
        <v>46002.0</v>
      </c>
      <c r="J243" s="132"/>
      <c r="K243" s="120" t="str">
        <f>IFERROR(__xludf.DUMMYFUNCTION("""COMPUTED_VALUE"""),"")</f>
        <v/>
      </c>
      <c r="L243" s="114">
        <f>IFERROR(__xludf.DUMMYFUNCTION("""COMPUTED_VALUE"""),45995.0)</f>
        <v>45995</v>
      </c>
      <c r="M243" s="116">
        <v>5.0</v>
      </c>
      <c r="N243" s="110"/>
      <c r="O243" s="110"/>
      <c r="P243" s="110"/>
      <c r="Q243" s="110"/>
      <c r="R243" s="110"/>
      <c r="S243" s="110"/>
      <c r="T243" s="110"/>
      <c r="U243" s="110"/>
      <c r="V243" s="110"/>
      <c r="W243" s="110"/>
      <c r="X243" s="110"/>
      <c r="Y243" s="110"/>
      <c r="Z243" s="110"/>
      <c r="AA243" s="110"/>
      <c r="AB243" s="110"/>
      <c r="AC243" s="110"/>
      <c r="AD243" s="110"/>
    </row>
    <row r="244">
      <c r="A244" s="118" t="s">
        <v>2970</v>
      </c>
      <c r="B244" s="112" t="s">
        <v>4584</v>
      </c>
      <c r="C244" s="112" t="s">
        <v>2978</v>
      </c>
      <c r="D244" s="119" t="s">
        <v>4301</v>
      </c>
      <c r="E244" s="128">
        <v>45972.0</v>
      </c>
      <c r="F244" s="113" t="s">
        <v>4305</v>
      </c>
      <c r="G244" s="113" t="s">
        <v>4343</v>
      </c>
      <c r="H244" s="113"/>
      <c r="I244" s="114">
        <v>46002.0</v>
      </c>
      <c r="J244" s="132"/>
      <c r="K244" s="120" t="str">
        <f>IFERROR(__xludf.DUMMYFUNCTION("""COMPUTED_VALUE"""),"")</f>
        <v/>
      </c>
      <c r="L244" s="114">
        <f>IFERROR(__xludf.DUMMYFUNCTION("""COMPUTED_VALUE"""),45995.0)</f>
        <v>45995</v>
      </c>
      <c r="M244" s="116">
        <v>5.0</v>
      </c>
      <c r="N244" s="110"/>
      <c r="O244" s="110"/>
      <c r="P244" s="110"/>
      <c r="Q244" s="110"/>
      <c r="R244" s="110"/>
      <c r="S244" s="110"/>
      <c r="T244" s="110"/>
      <c r="U244" s="110"/>
      <c r="V244" s="110"/>
      <c r="W244" s="110"/>
      <c r="X244" s="110"/>
      <c r="Y244" s="110"/>
      <c r="Z244" s="110"/>
      <c r="AA244" s="110"/>
      <c r="AB244" s="110"/>
      <c r="AC244" s="110"/>
      <c r="AD244" s="110"/>
    </row>
    <row r="245">
      <c r="A245" s="118" t="s">
        <v>3791</v>
      </c>
      <c r="B245" s="112" t="s">
        <v>4585</v>
      </c>
      <c r="C245" s="112" t="s">
        <v>3795</v>
      </c>
      <c r="D245" s="119" t="s">
        <v>4301</v>
      </c>
      <c r="E245" s="128">
        <v>45946.0</v>
      </c>
      <c r="F245" s="113" t="s">
        <v>31</v>
      </c>
      <c r="G245" s="113" t="s">
        <v>4343</v>
      </c>
      <c r="H245" s="113"/>
      <c r="I245" s="114">
        <v>46002.0</v>
      </c>
      <c r="J245" s="132"/>
      <c r="K245" s="120" t="str">
        <f>IFERROR(__xludf.DUMMYFUNCTION("""COMPUTED_VALUE"""),"")</f>
        <v/>
      </c>
      <c r="L245" s="114">
        <f>IFERROR(__xludf.DUMMYFUNCTION("""COMPUTED_VALUE"""),45995.0)</f>
        <v>45995</v>
      </c>
      <c r="M245" s="116">
        <v>5.0</v>
      </c>
      <c r="N245" s="110"/>
      <c r="O245" s="110"/>
      <c r="P245" s="110"/>
      <c r="Q245" s="110"/>
      <c r="R245" s="110"/>
      <c r="S245" s="110"/>
      <c r="T245" s="110"/>
      <c r="U245" s="110"/>
      <c r="V245" s="110"/>
      <c r="W245" s="110"/>
      <c r="X245" s="110"/>
      <c r="Y245" s="110"/>
      <c r="Z245" s="110"/>
      <c r="AA245" s="110"/>
      <c r="AB245" s="110"/>
      <c r="AC245" s="110"/>
      <c r="AD245" s="110"/>
    </row>
    <row r="246">
      <c r="A246" s="118" t="s">
        <v>3816</v>
      </c>
      <c r="B246" s="112" t="s">
        <v>4586</v>
      </c>
      <c r="C246" s="112" t="s">
        <v>3821</v>
      </c>
      <c r="D246" s="119" t="s">
        <v>4301</v>
      </c>
      <c r="E246" s="128">
        <v>45962.0</v>
      </c>
      <c r="F246" s="113" t="s">
        <v>31</v>
      </c>
      <c r="G246" s="113" t="s">
        <v>4343</v>
      </c>
      <c r="H246" s="113"/>
      <c r="I246" s="114">
        <v>46002.0</v>
      </c>
      <c r="J246" s="132"/>
      <c r="K246" s="120" t="str">
        <f>IFERROR(__xludf.DUMMYFUNCTION("""COMPUTED_VALUE"""),"")</f>
        <v/>
      </c>
      <c r="L246" s="114">
        <f>IFERROR(__xludf.DUMMYFUNCTION("""COMPUTED_VALUE"""),45995.0)</f>
        <v>45995</v>
      </c>
      <c r="M246" s="116">
        <v>5.0</v>
      </c>
      <c r="N246" s="110"/>
      <c r="O246" s="110"/>
      <c r="P246" s="110"/>
      <c r="Q246" s="110"/>
      <c r="R246" s="110"/>
      <c r="S246" s="110"/>
      <c r="T246" s="110"/>
      <c r="U246" s="110"/>
      <c r="V246" s="110"/>
      <c r="W246" s="110"/>
      <c r="X246" s="110"/>
      <c r="Y246" s="110"/>
      <c r="Z246" s="110"/>
      <c r="AA246" s="110"/>
      <c r="AB246" s="110"/>
      <c r="AC246" s="110"/>
      <c r="AD246" s="110"/>
    </row>
    <row r="247">
      <c r="A247" s="118" t="s">
        <v>3816</v>
      </c>
      <c r="B247" s="112" t="s">
        <v>4587</v>
      </c>
      <c r="C247" s="112" t="s">
        <v>3821</v>
      </c>
      <c r="D247" s="119" t="s">
        <v>4301</v>
      </c>
      <c r="E247" s="128">
        <v>45962.0</v>
      </c>
      <c r="F247" s="113" t="s">
        <v>31</v>
      </c>
      <c r="G247" s="113" t="s">
        <v>4343</v>
      </c>
      <c r="H247" s="113"/>
      <c r="I247" s="114">
        <v>46002.0</v>
      </c>
      <c r="J247" s="132"/>
      <c r="K247" s="120" t="str">
        <f>IFERROR(__xludf.DUMMYFUNCTION("""COMPUTED_VALUE"""),"")</f>
        <v/>
      </c>
      <c r="L247" s="114">
        <f>IFERROR(__xludf.DUMMYFUNCTION("""COMPUTED_VALUE"""),45995.0)</f>
        <v>45995</v>
      </c>
      <c r="M247" s="116">
        <v>5.0</v>
      </c>
      <c r="N247" s="110"/>
      <c r="O247" s="110"/>
      <c r="P247" s="110"/>
      <c r="Q247" s="110"/>
      <c r="R247" s="110"/>
      <c r="S247" s="110"/>
      <c r="T247" s="110"/>
      <c r="U247" s="110"/>
      <c r="V247" s="110"/>
      <c r="W247" s="110"/>
      <c r="X247" s="110"/>
      <c r="Y247" s="110"/>
      <c r="Z247" s="110"/>
      <c r="AA247" s="110"/>
      <c r="AB247" s="110"/>
      <c r="AC247" s="110"/>
      <c r="AD247" s="110"/>
    </row>
    <row r="248">
      <c r="A248" s="118" t="s">
        <v>4231</v>
      </c>
      <c r="B248" s="112" t="s">
        <v>4588</v>
      </c>
      <c r="C248" s="112"/>
      <c r="D248" s="119" t="s">
        <v>4301</v>
      </c>
      <c r="E248" s="128">
        <v>45995.0</v>
      </c>
      <c r="F248" s="113" t="s">
        <v>643</v>
      </c>
      <c r="G248" s="113" t="s">
        <v>4343</v>
      </c>
      <c r="H248" s="113"/>
      <c r="I248" s="114">
        <v>46002.0</v>
      </c>
      <c r="J248" s="132"/>
      <c r="K248" s="120" t="str">
        <f>IFERROR(__xludf.DUMMYFUNCTION("""COMPUTED_VALUE"""),"")</f>
        <v/>
      </c>
      <c r="L248" s="114">
        <f>IFERROR(__xludf.DUMMYFUNCTION("""COMPUTED_VALUE"""),45995.0)</f>
        <v>45995</v>
      </c>
      <c r="M248" s="116">
        <v>5.0</v>
      </c>
      <c r="N248" s="110"/>
      <c r="O248" s="110"/>
      <c r="P248" s="110"/>
      <c r="Q248" s="110"/>
      <c r="R248" s="110"/>
      <c r="S248" s="110"/>
      <c r="T248" s="110"/>
      <c r="U248" s="110"/>
      <c r="V248" s="110"/>
      <c r="W248" s="110"/>
      <c r="X248" s="110"/>
      <c r="Y248" s="110"/>
      <c r="Z248" s="110"/>
      <c r="AA248" s="110"/>
      <c r="AB248" s="110"/>
      <c r="AC248" s="110"/>
      <c r="AD248" s="110"/>
    </row>
    <row r="249">
      <c r="A249" s="118" t="s">
        <v>271</v>
      </c>
      <c r="B249" s="112" t="s">
        <v>4589</v>
      </c>
      <c r="C249" s="112" t="s">
        <v>2252</v>
      </c>
      <c r="D249" s="119" t="s">
        <v>4301</v>
      </c>
      <c r="E249" s="128">
        <v>45999.0</v>
      </c>
      <c r="F249" s="113" t="s">
        <v>4305</v>
      </c>
      <c r="G249" s="113" t="s">
        <v>4343</v>
      </c>
      <c r="H249" s="113" t="s">
        <v>4590</v>
      </c>
      <c r="I249" s="114">
        <v>46003.0</v>
      </c>
      <c r="J249" s="132">
        <v>1.0</v>
      </c>
      <c r="K249" s="120" t="str">
        <f>IFERROR(__xludf.DUMMYFUNCTION("""COMPUTED_VALUE"""),"")</f>
        <v/>
      </c>
      <c r="L249" s="114">
        <f>IFERROR(__xludf.DUMMYFUNCTION("""COMPUTED_VALUE"""),45996.0)</f>
        <v>45996</v>
      </c>
      <c r="M249" s="116">
        <v>5.0</v>
      </c>
      <c r="N249" s="110"/>
      <c r="O249" s="110"/>
      <c r="P249" s="110"/>
      <c r="Q249" s="110"/>
      <c r="R249" s="110"/>
      <c r="S249" s="110"/>
      <c r="T249" s="110"/>
      <c r="U249" s="110"/>
      <c r="V249" s="110"/>
      <c r="W249" s="110"/>
      <c r="X249" s="110"/>
      <c r="Y249" s="110"/>
      <c r="Z249" s="110"/>
      <c r="AA249" s="110"/>
      <c r="AB249" s="110"/>
      <c r="AC249" s="110"/>
      <c r="AD249" s="110"/>
    </row>
    <row r="250">
      <c r="A250" s="118" t="s">
        <v>88</v>
      </c>
      <c r="B250" s="112" t="s">
        <v>4591</v>
      </c>
      <c r="C250" s="133" t="s">
        <v>98</v>
      </c>
      <c r="D250" s="119" t="s">
        <v>4301</v>
      </c>
      <c r="E250" s="128">
        <v>45806.0</v>
      </c>
      <c r="F250" s="113" t="s">
        <v>31</v>
      </c>
      <c r="G250" s="113" t="s">
        <v>4343</v>
      </c>
      <c r="H250" s="113"/>
      <c r="I250" s="114">
        <v>46003.0</v>
      </c>
      <c r="J250" s="132"/>
      <c r="K250" s="120" t="str">
        <f>IFERROR(__xludf.DUMMYFUNCTION("""COMPUTED_VALUE"""),"")</f>
        <v/>
      </c>
      <c r="L250" s="114">
        <f>IFERROR(__xludf.DUMMYFUNCTION("""COMPUTED_VALUE"""),45996.0)</f>
        <v>45996</v>
      </c>
      <c r="M250" s="116">
        <v>5.0</v>
      </c>
      <c r="N250" s="110"/>
      <c r="O250" s="110"/>
      <c r="P250" s="110"/>
      <c r="Q250" s="110"/>
      <c r="R250" s="110"/>
      <c r="S250" s="110"/>
      <c r="T250" s="110"/>
      <c r="U250" s="110"/>
      <c r="V250" s="110"/>
      <c r="W250" s="110"/>
      <c r="X250" s="110"/>
      <c r="Y250" s="110"/>
      <c r="Z250" s="110"/>
      <c r="AA250" s="110"/>
      <c r="AB250" s="110"/>
      <c r="AC250" s="110"/>
      <c r="AD250" s="110"/>
    </row>
    <row r="251">
      <c r="A251" s="118" t="s">
        <v>112</v>
      </c>
      <c r="B251" s="112" t="s">
        <v>4592</v>
      </c>
      <c r="C251" s="112" t="s">
        <v>121</v>
      </c>
      <c r="D251" s="119" t="s">
        <v>4301</v>
      </c>
      <c r="E251" s="128">
        <v>45940.0</v>
      </c>
      <c r="F251" s="113" t="s">
        <v>31</v>
      </c>
      <c r="G251" s="113" t="s">
        <v>4343</v>
      </c>
      <c r="H251" s="113"/>
      <c r="I251" s="114">
        <v>46003.0</v>
      </c>
      <c r="J251" s="132"/>
      <c r="K251" s="120" t="str">
        <f>IFERROR(__xludf.DUMMYFUNCTION("""COMPUTED_VALUE"""),"")</f>
        <v/>
      </c>
      <c r="L251" s="114">
        <f>IFERROR(__xludf.DUMMYFUNCTION("""COMPUTED_VALUE"""),45996.0)</f>
        <v>45996</v>
      </c>
      <c r="M251" s="116">
        <v>5.0</v>
      </c>
      <c r="N251" s="110"/>
      <c r="O251" s="110"/>
      <c r="P251" s="110"/>
      <c r="Q251" s="110"/>
      <c r="R251" s="110"/>
      <c r="S251" s="110"/>
      <c r="T251" s="110"/>
      <c r="U251" s="110"/>
      <c r="V251" s="110"/>
      <c r="W251" s="110"/>
      <c r="X251" s="110"/>
      <c r="Y251" s="110"/>
      <c r="Z251" s="110"/>
      <c r="AA251" s="110"/>
      <c r="AB251" s="110"/>
      <c r="AC251" s="110"/>
      <c r="AD251" s="110"/>
    </row>
    <row r="252">
      <c r="A252" s="118" t="s">
        <v>636</v>
      </c>
      <c r="B252" s="112" t="s">
        <v>4593</v>
      </c>
      <c r="C252" s="112">
        <v>2.404621736E9</v>
      </c>
      <c r="D252" s="119" t="s">
        <v>4301</v>
      </c>
      <c r="E252" s="128">
        <v>45946.0</v>
      </c>
      <c r="F252" s="113" t="s">
        <v>31</v>
      </c>
      <c r="G252" s="113" t="s">
        <v>4343</v>
      </c>
      <c r="H252" s="113"/>
      <c r="I252" s="114">
        <v>46003.0</v>
      </c>
      <c r="J252" s="132"/>
      <c r="K252" s="120" t="str">
        <f>IFERROR(__xludf.DUMMYFUNCTION("""COMPUTED_VALUE"""),"")</f>
        <v/>
      </c>
      <c r="L252" s="114">
        <f>IFERROR(__xludf.DUMMYFUNCTION("""COMPUTED_VALUE"""),45996.0)</f>
        <v>45996</v>
      </c>
      <c r="M252" s="116">
        <v>5.0</v>
      </c>
      <c r="N252" s="110"/>
      <c r="O252" s="110"/>
      <c r="P252" s="110"/>
      <c r="Q252" s="110"/>
      <c r="R252" s="110"/>
      <c r="S252" s="110"/>
      <c r="T252" s="110"/>
      <c r="U252" s="110"/>
      <c r="V252" s="110"/>
      <c r="W252" s="110"/>
      <c r="X252" s="110"/>
      <c r="Y252" s="110"/>
      <c r="Z252" s="110"/>
      <c r="AA252" s="110"/>
      <c r="AB252" s="110"/>
      <c r="AC252" s="110"/>
      <c r="AD252" s="110"/>
    </row>
    <row r="253">
      <c r="A253" s="118" t="s">
        <v>1811</v>
      </c>
      <c r="B253" s="112" t="s">
        <v>1812</v>
      </c>
      <c r="C253" s="112" t="s">
        <v>1818</v>
      </c>
      <c r="D253" s="119" t="s">
        <v>4301</v>
      </c>
      <c r="E253" s="128">
        <v>45951.0</v>
      </c>
      <c r="F253" s="113" t="s">
        <v>4305</v>
      </c>
      <c r="G253" s="113" t="s">
        <v>4343</v>
      </c>
      <c r="H253" s="113"/>
      <c r="I253" s="114">
        <v>46003.0</v>
      </c>
      <c r="J253" s="132"/>
      <c r="K253" s="120" t="str">
        <f>IFERROR(__xludf.DUMMYFUNCTION("""COMPUTED_VALUE"""),"")</f>
        <v/>
      </c>
      <c r="L253" s="114">
        <f>IFERROR(__xludf.DUMMYFUNCTION("""COMPUTED_VALUE"""),45996.0)</f>
        <v>45996</v>
      </c>
      <c r="M253" s="116">
        <v>5.0</v>
      </c>
      <c r="N253" s="110"/>
      <c r="O253" s="110"/>
      <c r="P253" s="110"/>
      <c r="Q253" s="110"/>
      <c r="R253" s="110"/>
      <c r="S253" s="110"/>
      <c r="T253" s="110"/>
      <c r="U253" s="110"/>
      <c r="V253" s="110"/>
      <c r="W253" s="110"/>
      <c r="X253" s="110"/>
      <c r="Y253" s="110"/>
      <c r="Z253" s="110"/>
      <c r="AA253" s="110"/>
      <c r="AB253" s="110"/>
      <c r="AC253" s="110"/>
      <c r="AD253" s="110"/>
    </row>
    <row r="254">
      <c r="A254" s="118" t="s">
        <v>2198</v>
      </c>
      <c r="B254" s="112" t="s">
        <v>4594</v>
      </c>
      <c r="C254" s="112" t="s">
        <v>2203</v>
      </c>
      <c r="D254" s="119" t="s">
        <v>4301</v>
      </c>
      <c r="E254" s="128">
        <v>45969.0</v>
      </c>
      <c r="F254" s="113" t="s">
        <v>4305</v>
      </c>
      <c r="G254" s="113" t="s">
        <v>4343</v>
      </c>
      <c r="H254" s="113"/>
      <c r="I254" s="114">
        <v>46003.0</v>
      </c>
      <c r="J254" s="132"/>
      <c r="K254" s="120" t="str">
        <f>IFERROR(__xludf.DUMMYFUNCTION("""COMPUTED_VALUE"""),"")</f>
        <v/>
      </c>
      <c r="L254" s="114">
        <f>IFERROR(__xludf.DUMMYFUNCTION("""COMPUTED_VALUE"""),45996.0)</f>
        <v>45996</v>
      </c>
      <c r="M254" s="116">
        <v>5.0</v>
      </c>
      <c r="N254" s="110"/>
      <c r="O254" s="110"/>
      <c r="P254" s="110"/>
      <c r="Q254" s="110"/>
      <c r="R254" s="110"/>
      <c r="S254" s="110"/>
      <c r="T254" s="110"/>
      <c r="U254" s="110"/>
      <c r="V254" s="110"/>
      <c r="W254" s="110"/>
      <c r="X254" s="110"/>
      <c r="Y254" s="110"/>
      <c r="Z254" s="110"/>
      <c r="AA254" s="110"/>
      <c r="AB254" s="110"/>
      <c r="AC254" s="110"/>
      <c r="AD254" s="110"/>
    </row>
    <row r="255">
      <c r="A255" s="118" t="s">
        <v>2272</v>
      </c>
      <c r="B255" s="112" t="s">
        <v>4595</v>
      </c>
      <c r="C255" s="112" t="s">
        <v>2278</v>
      </c>
      <c r="D255" s="119" t="s">
        <v>4301</v>
      </c>
      <c r="E255" s="128"/>
      <c r="F255" s="113" t="s">
        <v>643</v>
      </c>
      <c r="G255" s="113" t="s">
        <v>4343</v>
      </c>
      <c r="H255" s="113"/>
      <c r="I255" s="114">
        <v>46003.0</v>
      </c>
      <c r="J255" s="132"/>
      <c r="K255" s="120" t="str">
        <f>IFERROR(__xludf.DUMMYFUNCTION("""COMPUTED_VALUE"""),"")</f>
        <v/>
      </c>
      <c r="L255" s="114">
        <f>IFERROR(__xludf.DUMMYFUNCTION("""COMPUTED_VALUE"""),45996.0)</f>
        <v>45996</v>
      </c>
      <c r="M255" s="116">
        <v>5.0</v>
      </c>
      <c r="N255" s="110"/>
      <c r="O255" s="110"/>
      <c r="P255" s="110"/>
      <c r="Q255" s="110"/>
      <c r="R255" s="110"/>
      <c r="S255" s="110"/>
      <c r="T255" s="110"/>
      <c r="U255" s="110"/>
      <c r="V255" s="110"/>
      <c r="W255" s="110"/>
      <c r="X255" s="110"/>
      <c r="Y255" s="110"/>
      <c r="Z255" s="110"/>
      <c r="AA255" s="110"/>
      <c r="AB255" s="110"/>
      <c r="AC255" s="110"/>
      <c r="AD255" s="110"/>
    </row>
    <row r="256">
      <c r="A256" s="118" t="s">
        <v>2421</v>
      </c>
      <c r="B256" s="112" t="s">
        <v>2422</v>
      </c>
      <c r="C256" s="112" t="s">
        <v>2430</v>
      </c>
      <c r="D256" s="119" t="s">
        <v>4301</v>
      </c>
      <c r="E256" s="128"/>
      <c r="F256" s="113" t="s">
        <v>31</v>
      </c>
      <c r="G256" s="113" t="s">
        <v>4343</v>
      </c>
      <c r="H256" s="113"/>
      <c r="I256" s="114">
        <v>46003.0</v>
      </c>
      <c r="J256" s="132"/>
      <c r="K256" s="120" t="str">
        <f>IFERROR(__xludf.DUMMYFUNCTION("""COMPUTED_VALUE"""),"")</f>
        <v/>
      </c>
      <c r="L256" s="114">
        <f>IFERROR(__xludf.DUMMYFUNCTION("""COMPUTED_VALUE"""),45996.0)</f>
        <v>45996</v>
      </c>
      <c r="M256" s="116">
        <v>5.0</v>
      </c>
      <c r="N256" s="110"/>
      <c r="O256" s="110"/>
      <c r="P256" s="110"/>
      <c r="Q256" s="110"/>
      <c r="R256" s="110"/>
      <c r="S256" s="110"/>
      <c r="T256" s="110"/>
      <c r="U256" s="110"/>
      <c r="V256" s="110"/>
      <c r="W256" s="110"/>
      <c r="X256" s="110"/>
      <c r="Y256" s="110"/>
      <c r="Z256" s="110"/>
      <c r="AA256" s="110"/>
      <c r="AB256" s="110"/>
      <c r="AC256" s="110"/>
      <c r="AD256" s="110"/>
    </row>
    <row r="257">
      <c r="A257" s="118" t="s">
        <v>2635</v>
      </c>
      <c r="B257" s="112" t="s">
        <v>4596</v>
      </c>
      <c r="C257" s="112" t="s">
        <v>2640</v>
      </c>
      <c r="D257" s="119" t="s">
        <v>4301</v>
      </c>
      <c r="E257" s="128">
        <v>45925.0</v>
      </c>
      <c r="F257" s="113" t="s">
        <v>31</v>
      </c>
      <c r="G257" s="113" t="s">
        <v>4343</v>
      </c>
      <c r="H257" s="113"/>
      <c r="I257" s="114">
        <v>46003.0</v>
      </c>
      <c r="J257" s="132"/>
      <c r="K257" s="120" t="str">
        <f>IFERROR(__xludf.DUMMYFUNCTION("""COMPUTED_VALUE"""),"")</f>
        <v/>
      </c>
      <c r="L257" s="114">
        <f>IFERROR(__xludf.DUMMYFUNCTION("""COMPUTED_VALUE"""),45996.0)</f>
        <v>45996</v>
      </c>
      <c r="M257" s="116">
        <v>5.0</v>
      </c>
      <c r="N257" s="110"/>
      <c r="O257" s="110"/>
      <c r="P257" s="110"/>
      <c r="Q257" s="110"/>
      <c r="R257" s="110"/>
      <c r="S257" s="110"/>
      <c r="T257" s="110"/>
      <c r="U257" s="110"/>
      <c r="V257" s="110"/>
      <c r="W257" s="110"/>
      <c r="X257" s="110"/>
      <c r="Y257" s="110"/>
      <c r="Z257" s="110"/>
      <c r="AA257" s="110"/>
      <c r="AB257" s="110"/>
      <c r="AC257" s="110"/>
      <c r="AD257" s="110"/>
    </row>
    <row r="258">
      <c r="A258" s="118" t="s">
        <v>3048</v>
      </c>
      <c r="B258" s="112" t="s">
        <v>4597</v>
      </c>
      <c r="C258" s="112" t="s">
        <v>3053</v>
      </c>
      <c r="D258" s="119" t="s">
        <v>4301</v>
      </c>
      <c r="E258" s="128"/>
      <c r="F258" s="113" t="s">
        <v>643</v>
      </c>
      <c r="G258" s="113" t="s">
        <v>4343</v>
      </c>
      <c r="H258" s="113"/>
      <c r="I258" s="114">
        <v>46003.0</v>
      </c>
      <c r="J258" s="132"/>
      <c r="K258" s="120" t="str">
        <f>IFERROR(__xludf.DUMMYFUNCTION("""COMPUTED_VALUE"""),"")</f>
        <v/>
      </c>
      <c r="L258" s="114">
        <f>IFERROR(__xludf.DUMMYFUNCTION("""COMPUTED_VALUE"""),45996.0)</f>
        <v>45996</v>
      </c>
      <c r="M258" s="116">
        <v>5.0</v>
      </c>
      <c r="N258" s="110"/>
      <c r="O258" s="110"/>
      <c r="P258" s="110"/>
      <c r="Q258" s="110"/>
      <c r="R258" s="110"/>
      <c r="S258" s="110"/>
      <c r="T258" s="110"/>
      <c r="U258" s="110"/>
      <c r="V258" s="110"/>
      <c r="W258" s="110"/>
      <c r="X258" s="110"/>
      <c r="Y258" s="110"/>
      <c r="Z258" s="110"/>
      <c r="AA258" s="110"/>
      <c r="AB258" s="110"/>
      <c r="AC258" s="110"/>
      <c r="AD258" s="110"/>
    </row>
    <row r="259">
      <c r="A259" s="118" t="s">
        <v>3303</v>
      </c>
      <c r="B259" s="112" t="s">
        <v>4598</v>
      </c>
      <c r="C259" s="112" t="s">
        <v>3311</v>
      </c>
      <c r="D259" s="119" t="s">
        <v>4301</v>
      </c>
      <c r="E259" s="128"/>
      <c r="F259" s="113" t="s">
        <v>643</v>
      </c>
      <c r="G259" s="113" t="s">
        <v>4343</v>
      </c>
      <c r="H259" s="113"/>
      <c r="I259" s="114">
        <v>46003.0</v>
      </c>
      <c r="J259" s="132"/>
      <c r="K259" s="120" t="str">
        <f>IFERROR(__xludf.DUMMYFUNCTION("""COMPUTED_VALUE"""),"")</f>
        <v/>
      </c>
      <c r="L259" s="114">
        <f>IFERROR(__xludf.DUMMYFUNCTION("""COMPUTED_VALUE"""),45996.0)</f>
        <v>45996</v>
      </c>
      <c r="M259" s="116">
        <v>5.0</v>
      </c>
      <c r="N259" s="110"/>
      <c r="O259" s="110"/>
      <c r="P259" s="110"/>
      <c r="Q259" s="110"/>
      <c r="R259" s="110"/>
      <c r="S259" s="110"/>
      <c r="T259" s="110"/>
      <c r="U259" s="110"/>
      <c r="V259" s="110"/>
      <c r="W259" s="110"/>
      <c r="X259" s="110"/>
      <c r="Y259" s="110"/>
      <c r="Z259" s="110"/>
      <c r="AA259" s="110"/>
      <c r="AB259" s="110"/>
      <c r="AC259" s="110"/>
      <c r="AD259" s="110"/>
    </row>
    <row r="260">
      <c r="A260" s="118" t="s">
        <v>3336</v>
      </c>
      <c r="B260" s="112" t="s">
        <v>4599</v>
      </c>
      <c r="C260" s="112" t="s">
        <v>3339</v>
      </c>
      <c r="D260" s="119" t="s">
        <v>4301</v>
      </c>
      <c r="E260" s="128">
        <v>45946.0</v>
      </c>
      <c r="F260" s="113" t="s">
        <v>31</v>
      </c>
      <c r="G260" s="113" t="s">
        <v>4343</v>
      </c>
      <c r="H260" s="113"/>
      <c r="I260" s="114">
        <v>46003.0</v>
      </c>
      <c r="J260" s="132"/>
      <c r="K260" s="120" t="str">
        <f>IFERROR(__xludf.DUMMYFUNCTION("""COMPUTED_VALUE"""),"")</f>
        <v/>
      </c>
      <c r="L260" s="114">
        <f>IFERROR(__xludf.DUMMYFUNCTION("""COMPUTED_VALUE"""),45996.0)</f>
        <v>45996</v>
      </c>
      <c r="M260" s="116">
        <v>5.0</v>
      </c>
      <c r="N260" s="110"/>
      <c r="O260" s="110"/>
      <c r="P260" s="110"/>
      <c r="Q260" s="110"/>
      <c r="R260" s="110"/>
      <c r="S260" s="110"/>
      <c r="T260" s="110"/>
      <c r="U260" s="110"/>
      <c r="V260" s="110"/>
      <c r="W260" s="110"/>
      <c r="X260" s="110"/>
      <c r="Y260" s="110"/>
      <c r="Z260" s="110"/>
      <c r="AA260" s="110"/>
      <c r="AB260" s="110"/>
      <c r="AC260" s="110"/>
      <c r="AD260" s="110"/>
    </row>
    <row r="261">
      <c r="A261" s="118" t="s">
        <v>3048</v>
      </c>
      <c r="B261" s="112" t="s">
        <v>4597</v>
      </c>
      <c r="C261" s="112" t="s">
        <v>3053</v>
      </c>
      <c r="D261" s="119" t="s">
        <v>4301</v>
      </c>
      <c r="E261" s="128"/>
      <c r="F261" s="113" t="s">
        <v>643</v>
      </c>
      <c r="G261" s="113" t="s">
        <v>4343</v>
      </c>
      <c r="H261" s="113"/>
      <c r="I261" s="114">
        <v>46003.0</v>
      </c>
      <c r="J261" s="132"/>
      <c r="K261" s="120" t="str">
        <f>IFERROR(__xludf.DUMMYFUNCTION("""COMPUTED_VALUE"""),"")</f>
        <v/>
      </c>
      <c r="L261" s="114">
        <f>IFERROR(__xludf.DUMMYFUNCTION("""COMPUTED_VALUE"""),45996.0)</f>
        <v>45996</v>
      </c>
      <c r="M261" s="116">
        <v>5.0</v>
      </c>
      <c r="N261" s="110"/>
      <c r="O261" s="110"/>
      <c r="P261" s="110"/>
      <c r="Q261" s="110"/>
      <c r="R261" s="110"/>
      <c r="S261" s="110"/>
      <c r="T261" s="110"/>
      <c r="U261" s="110"/>
      <c r="V261" s="110"/>
      <c r="W261" s="110"/>
      <c r="X261" s="110"/>
      <c r="Y261" s="110"/>
      <c r="Z261" s="110"/>
      <c r="AA261" s="110"/>
      <c r="AB261" s="110"/>
      <c r="AC261" s="110"/>
      <c r="AD261" s="110"/>
    </row>
    <row r="262">
      <c r="A262" s="118" t="s">
        <v>4075</v>
      </c>
      <c r="B262" s="112" t="s">
        <v>4600</v>
      </c>
      <c r="C262" s="112" t="s">
        <v>4082</v>
      </c>
      <c r="D262" s="119" t="s">
        <v>4301</v>
      </c>
      <c r="E262" s="128"/>
      <c r="F262" s="113"/>
      <c r="G262" s="113" t="s">
        <v>4343</v>
      </c>
      <c r="H262" s="113"/>
      <c r="I262" s="114">
        <v>46003.0</v>
      </c>
      <c r="J262" s="132"/>
      <c r="K262" s="120" t="str">
        <f>IFERROR(__xludf.DUMMYFUNCTION("""COMPUTED_VALUE"""),"")</f>
        <v/>
      </c>
      <c r="L262" s="114">
        <f>IFERROR(__xludf.DUMMYFUNCTION("""COMPUTED_VALUE"""),45996.0)</f>
        <v>45996</v>
      </c>
      <c r="M262" s="116">
        <v>5.0</v>
      </c>
      <c r="N262" s="110"/>
      <c r="O262" s="110"/>
      <c r="P262" s="110"/>
      <c r="Q262" s="110"/>
      <c r="R262" s="110"/>
      <c r="S262" s="110"/>
      <c r="T262" s="110"/>
      <c r="U262" s="110"/>
      <c r="V262" s="110"/>
      <c r="W262" s="110"/>
      <c r="X262" s="110"/>
      <c r="Y262" s="110"/>
      <c r="Z262" s="110"/>
      <c r="AA262" s="110"/>
      <c r="AB262" s="110"/>
      <c r="AC262" s="110"/>
      <c r="AD262" s="110"/>
    </row>
    <row r="263">
      <c r="A263" s="118" t="s">
        <v>2272</v>
      </c>
      <c r="B263" s="112" t="s">
        <v>4601</v>
      </c>
      <c r="C263" s="112" t="s">
        <v>4101</v>
      </c>
      <c r="D263" s="119" t="s">
        <v>4301</v>
      </c>
      <c r="E263" s="128"/>
      <c r="F263" s="113" t="s">
        <v>643</v>
      </c>
      <c r="G263" s="113" t="s">
        <v>4343</v>
      </c>
      <c r="H263" s="113"/>
      <c r="I263" s="114">
        <v>46003.0</v>
      </c>
      <c r="J263" s="132"/>
      <c r="K263" s="120" t="str">
        <f>IFERROR(__xludf.DUMMYFUNCTION("""COMPUTED_VALUE"""),"")</f>
        <v/>
      </c>
      <c r="L263" s="114">
        <f>IFERROR(__xludf.DUMMYFUNCTION("""COMPUTED_VALUE"""),45996.0)</f>
        <v>45996</v>
      </c>
      <c r="M263" s="116">
        <v>5.0</v>
      </c>
      <c r="N263" s="110"/>
      <c r="O263" s="110"/>
      <c r="P263" s="110"/>
      <c r="Q263" s="110"/>
      <c r="R263" s="110"/>
      <c r="S263" s="110"/>
      <c r="T263" s="110"/>
      <c r="U263" s="110"/>
      <c r="V263" s="110"/>
      <c r="W263" s="110"/>
      <c r="X263" s="110"/>
      <c r="Y263" s="110"/>
      <c r="Z263" s="110"/>
      <c r="AA263" s="110"/>
      <c r="AB263" s="110"/>
      <c r="AC263" s="110"/>
      <c r="AD263" s="110"/>
    </row>
    <row r="264">
      <c r="A264" s="118" t="s">
        <v>499</v>
      </c>
      <c r="B264" s="112" t="s">
        <v>4602</v>
      </c>
      <c r="C264" s="112">
        <v>2.029075057E9</v>
      </c>
      <c r="D264" s="119" t="s">
        <v>4301</v>
      </c>
      <c r="E264" s="128">
        <v>45947.0</v>
      </c>
      <c r="F264" s="113" t="s">
        <v>282</v>
      </c>
      <c r="G264" s="113" t="s">
        <v>4603</v>
      </c>
      <c r="H264" s="113" t="s">
        <v>4311</v>
      </c>
      <c r="I264" s="114">
        <v>46009.0</v>
      </c>
      <c r="J264" s="132">
        <v>1.0</v>
      </c>
      <c r="K264" s="120" t="str">
        <f>IFERROR(__xludf.DUMMYFUNCTION("""COMPUTED_VALUE"""),"")</f>
        <v/>
      </c>
      <c r="L264" s="114">
        <f>IFERROR(__xludf.DUMMYFUNCTION("""COMPUTED_VALUE"""),46002.0)</f>
        <v>46002</v>
      </c>
      <c r="M264" s="116">
        <v>5.0</v>
      </c>
      <c r="N264" s="110"/>
      <c r="O264" s="110"/>
      <c r="P264" s="110"/>
      <c r="Q264" s="110"/>
      <c r="R264" s="110"/>
      <c r="S264" s="110"/>
      <c r="T264" s="110"/>
      <c r="U264" s="110"/>
      <c r="V264" s="110"/>
      <c r="W264" s="110"/>
      <c r="X264" s="110"/>
      <c r="Y264" s="110"/>
      <c r="Z264" s="110"/>
      <c r="AA264" s="110"/>
      <c r="AB264" s="110"/>
      <c r="AC264" s="110"/>
      <c r="AD264" s="110"/>
    </row>
    <row r="265">
      <c r="A265" s="118" t="s">
        <v>237</v>
      </c>
      <c r="B265" s="112" t="s">
        <v>4604</v>
      </c>
      <c r="C265" s="112" t="s">
        <v>238</v>
      </c>
      <c r="D265" s="119" t="s">
        <v>4301</v>
      </c>
      <c r="E265" s="128">
        <v>45981.0</v>
      </c>
      <c r="F265" s="113" t="s">
        <v>31</v>
      </c>
      <c r="G265" s="113" t="s">
        <v>4603</v>
      </c>
      <c r="H265" s="113"/>
      <c r="I265" s="114">
        <v>46009.0</v>
      </c>
      <c r="J265" s="132"/>
      <c r="K265" s="120" t="str">
        <f>IFERROR(__xludf.DUMMYFUNCTION("""COMPUTED_VALUE"""),"")</f>
        <v/>
      </c>
      <c r="L265" s="114">
        <f>IFERROR(__xludf.DUMMYFUNCTION("""COMPUTED_VALUE"""),46002.0)</f>
        <v>46002</v>
      </c>
      <c r="M265" s="116">
        <v>5.0</v>
      </c>
      <c r="N265" s="110"/>
      <c r="O265" s="110"/>
      <c r="P265" s="110"/>
      <c r="Q265" s="110"/>
      <c r="R265" s="110"/>
      <c r="S265" s="110"/>
      <c r="T265" s="110"/>
      <c r="U265" s="110"/>
      <c r="V265" s="110"/>
      <c r="W265" s="110"/>
      <c r="X265" s="110"/>
      <c r="Y265" s="110"/>
      <c r="Z265" s="110"/>
      <c r="AA265" s="110"/>
      <c r="AB265" s="110"/>
      <c r="AC265" s="110"/>
      <c r="AD265" s="110"/>
    </row>
    <row r="266">
      <c r="A266" s="118" t="s">
        <v>395</v>
      </c>
      <c r="B266" s="112" t="s">
        <v>4605</v>
      </c>
      <c r="C266" s="112" t="s">
        <v>403</v>
      </c>
      <c r="D266" s="119" t="s">
        <v>4301</v>
      </c>
      <c r="E266" s="128">
        <v>45962.0</v>
      </c>
      <c r="F266" s="113" t="s">
        <v>31</v>
      </c>
      <c r="G266" s="113" t="s">
        <v>4603</v>
      </c>
      <c r="H266" s="113"/>
      <c r="I266" s="114">
        <v>46009.0</v>
      </c>
      <c r="J266" s="132"/>
      <c r="K266" s="120" t="str">
        <f>IFERROR(__xludf.DUMMYFUNCTION("""COMPUTED_VALUE"""),"")</f>
        <v/>
      </c>
      <c r="L266" s="114">
        <f>IFERROR(__xludf.DUMMYFUNCTION("""COMPUTED_VALUE"""),46002.0)</f>
        <v>46002</v>
      </c>
      <c r="M266" s="116">
        <v>5.0</v>
      </c>
      <c r="N266" s="110"/>
      <c r="O266" s="110"/>
      <c r="P266" s="110"/>
      <c r="Q266" s="110"/>
      <c r="R266" s="110"/>
      <c r="S266" s="110"/>
      <c r="T266" s="110"/>
      <c r="U266" s="110"/>
      <c r="V266" s="110"/>
      <c r="W266" s="110"/>
      <c r="X266" s="110"/>
      <c r="Y266" s="110"/>
      <c r="Z266" s="110"/>
      <c r="AA266" s="110"/>
      <c r="AB266" s="110"/>
      <c r="AC266" s="110"/>
      <c r="AD266" s="110"/>
    </row>
    <row r="267">
      <c r="A267" s="118" t="s">
        <v>1180</v>
      </c>
      <c r="B267" s="112" t="s">
        <v>4606</v>
      </c>
      <c r="C267" s="112" t="s">
        <v>1188</v>
      </c>
      <c r="D267" s="119" t="s">
        <v>4301</v>
      </c>
      <c r="E267" s="128">
        <v>45981.0</v>
      </c>
      <c r="F267" s="113" t="s">
        <v>31</v>
      </c>
      <c r="G267" s="113" t="s">
        <v>4603</v>
      </c>
      <c r="H267" s="113"/>
      <c r="I267" s="114">
        <v>46009.0</v>
      </c>
      <c r="J267" s="132"/>
      <c r="K267" s="120" t="str">
        <f>IFERROR(__xludf.DUMMYFUNCTION("""COMPUTED_VALUE"""),"")</f>
        <v/>
      </c>
      <c r="L267" s="114">
        <f>IFERROR(__xludf.DUMMYFUNCTION("""COMPUTED_VALUE"""),46002.0)</f>
        <v>46002</v>
      </c>
      <c r="M267" s="116">
        <v>5.0</v>
      </c>
      <c r="N267" s="110"/>
      <c r="O267" s="110"/>
      <c r="P267" s="110"/>
      <c r="Q267" s="110"/>
      <c r="R267" s="110"/>
      <c r="S267" s="110"/>
      <c r="T267" s="110"/>
      <c r="U267" s="110"/>
      <c r="V267" s="110"/>
      <c r="W267" s="110"/>
      <c r="X267" s="110"/>
      <c r="Y267" s="110"/>
      <c r="Z267" s="110"/>
      <c r="AA267" s="110"/>
      <c r="AB267" s="110"/>
      <c r="AC267" s="110"/>
      <c r="AD267" s="110"/>
    </row>
    <row r="268">
      <c r="A268" s="118" t="s">
        <v>1348</v>
      </c>
      <c r="B268" s="112" t="s">
        <v>4607</v>
      </c>
      <c r="C268" s="112">
        <v>2.028679235E9</v>
      </c>
      <c r="D268" s="119" t="s">
        <v>4301</v>
      </c>
      <c r="E268" s="128">
        <v>45974.0</v>
      </c>
      <c r="F268" s="113" t="s">
        <v>31</v>
      </c>
      <c r="G268" s="113" t="s">
        <v>4603</v>
      </c>
      <c r="H268" s="113"/>
      <c r="I268" s="114">
        <v>46009.0</v>
      </c>
      <c r="J268" s="132"/>
      <c r="K268" s="120" t="str">
        <f>IFERROR(__xludf.DUMMYFUNCTION("""COMPUTED_VALUE"""),"")</f>
        <v/>
      </c>
      <c r="L268" s="114">
        <f>IFERROR(__xludf.DUMMYFUNCTION("""COMPUTED_VALUE"""),46002.0)</f>
        <v>46002</v>
      </c>
      <c r="M268" s="116">
        <v>5.0</v>
      </c>
      <c r="N268" s="110"/>
      <c r="O268" s="110"/>
      <c r="P268" s="110"/>
      <c r="Q268" s="110"/>
      <c r="R268" s="110"/>
      <c r="S268" s="110"/>
      <c r="T268" s="110"/>
      <c r="U268" s="110"/>
      <c r="V268" s="110"/>
      <c r="W268" s="110"/>
      <c r="X268" s="110"/>
      <c r="Y268" s="110"/>
      <c r="Z268" s="110"/>
      <c r="AA268" s="110"/>
      <c r="AB268" s="110"/>
      <c r="AC268" s="110"/>
      <c r="AD268" s="110"/>
    </row>
    <row r="269">
      <c r="A269" s="118" t="s">
        <v>1374</v>
      </c>
      <c r="B269" s="112" t="s">
        <v>4608</v>
      </c>
      <c r="C269" s="112">
        <v>2.022946273E9</v>
      </c>
      <c r="D269" s="119" t="s">
        <v>4301</v>
      </c>
      <c r="E269" s="128">
        <v>45985.0</v>
      </c>
      <c r="F269" s="113" t="s">
        <v>4305</v>
      </c>
      <c r="G269" s="113" t="s">
        <v>4603</v>
      </c>
      <c r="H269" s="113"/>
      <c r="I269" s="114">
        <v>46009.0</v>
      </c>
      <c r="J269" s="132"/>
      <c r="K269" s="120" t="str">
        <f>IFERROR(__xludf.DUMMYFUNCTION("""COMPUTED_VALUE"""),"")</f>
        <v/>
      </c>
      <c r="L269" s="114">
        <f>IFERROR(__xludf.DUMMYFUNCTION("""COMPUTED_VALUE"""),46002.0)</f>
        <v>46002</v>
      </c>
      <c r="M269" s="116">
        <v>5.0</v>
      </c>
      <c r="N269" s="110"/>
      <c r="O269" s="110"/>
      <c r="P269" s="110"/>
      <c r="Q269" s="110"/>
      <c r="R269" s="110"/>
      <c r="S269" s="110"/>
      <c r="T269" s="110"/>
      <c r="U269" s="110"/>
      <c r="V269" s="110"/>
      <c r="W269" s="110"/>
      <c r="X269" s="110"/>
      <c r="Y269" s="110"/>
      <c r="Z269" s="110"/>
      <c r="AA269" s="110"/>
      <c r="AB269" s="110"/>
      <c r="AC269" s="110"/>
      <c r="AD269" s="110"/>
    </row>
    <row r="270">
      <c r="A270" s="118" t="s">
        <v>1468</v>
      </c>
      <c r="B270" s="112" t="s">
        <v>4609</v>
      </c>
      <c r="C270" s="112" t="s">
        <v>1474</v>
      </c>
      <c r="D270" s="119" t="s">
        <v>4301</v>
      </c>
      <c r="E270" s="128">
        <v>45904.0</v>
      </c>
      <c r="F270" s="113" t="s">
        <v>31</v>
      </c>
      <c r="G270" s="113" t="s">
        <v>4603</v>
      </c>
      <c r="H270" s="113"/>
      <c r="I270" s="114">
        <v>46009.0</v>
      </c>
      <c r="J270" s="132"/>
      <c r="K270" s="120" t="str">
        <f>IFERROR(__xludf.DUMMYFUNCTION("""COMPUTED_VALUE"""),"")</f>
        <v/>
      </c>
      <c r="L270" s="114">
        <f>IFERROR(__xludf.DUMMYFUNCTION("""COMPUTED_VALUE"""),46002.0)</f>
        <v>46002</v>
      </c>
      <c r="M270" s="116">
        <v>5.0</v>
      </c>
      <c r="N270" s="110"/>
      <c r="O270" s="110"/>
      <c r="P270" s="110"/>
      <c r="Q270" s="110"/>
      <c r="R270" s="110"/>
      <c r="S270" s="110"/>
      <c r="T270" s="110"/>
      <c r="U270" s="110"/>
      <c r="V270" s="110"/>
      <c r="W270" s="110"/>
      <c r="X270" s="110"/>
      <c r="Y270" s="110"/>
      <c r="Z270" s="110"/>
      <c r="AA270" s="110"/>
      <c r="AB270" s="110"/>
      <c r="AC270" s="110"/>
      <c r="AD270" s="110"/>
    </row>
    <row r="271">
      <c r="A271" s="118" t="s">
        <v>1671</v>
      </c>
      <c r="B271" s="112" t="s">
        <v>4610</v>
      </c>
      <c r="C271" s="112">
        <v>2.022109079E9</v>
      </c>
      <c r="D271" s="119" t="s">
        <v>4301</v>
      </c>
      <c r="E271" s="128"/>
      <c r="F271" s="113" t="s">
        <v>327</v>
      </c>
      <c r="G271" s="113" t="s">
        <v>4603</v>
      </c>
      <c r="H271" s="113"/>
      <c r="I271" s="114">
        <v>46009.0</v>
      </c>
      <c r="J271" s="132"/>
      <c r="K271" s="120" t="str">
        <f>IFERROR(__xludf.DUMMYFUNCTION("""COMPUTED_VALUE"""),"")</f>
        <v/>
      </c>
      <c r="L271" s="114">
        <f>IFERROR(__xludf.DUMMYFUNCTION("""COMPUTED_VALUE"""),46002.0)</f>
        <v>46002</v>
      </c>
      <c r="M271" s="116">
        <v>5.0</v>
      </c>
      <c r="N271" s="110"/>
      <c r="O271" s="110"/>
      <c r="P271" s="110"/>
      <c r="Q271" s="110"/>
      <c r="R271" s="110"/>
      <c r="S271" s="110"/>
      <c r="T271" s="110"/>
      <c r="U271" s="110"/>
      <c r="V271" s="110"/>
      <c r="W271" s="110"/>
      <c r="X271" s="110"/>
      <c r="Y271" s="110"/>
      <c r="Z271" s="110"/>
      <c r="AA271" s="110"/>
      <c r="AB271" s="110"/>
      <c r="AC271" s="110"/>
      <c r="AD271" s="110"/>
    </row>
    <row r="272">
      <c r="A272" s="118" t="s">
        <v>1726</v>
      </c>
      <c r="B272" s="112" t="s">
        <v>4611</v>
      </c>
      <c r="C272" s="112">
        <v>2.029451479E9</v>
      </c>
      <c r="D272" s="119" t="s">
        <v>4301</v>
      </c>
      <c r="E272" s="128">
        <v>45951.0</v>
      </c>
      <c r="F272" s="113" t="s">
        <v>4305</v>
      </c>
      <c r="G272" s="113" t="s">
        <v>4603</v>
      </c>
      <c r="H272" s="113"/>
      <c r="I272" s="114">
        <v>46009.0</v>
      </c>
      <c r="J272" s="132"/>
      <c r="K272" s="120" t="str">
        <f>IFERROR(__xludf.DUMMYFUNCTION("""COMPUTED_VALUE"""),"")</f>
        <v/>
      </c>
      <c r="L272" s="114">
        <f>IFERROR(__xludf.DUMMYFUNCTION("""COMPUTED_VALUE"""),46002.0)</f>
        <v>46002</v>
      </c>
      <c r="M272" s="116">
        <v>5.0</v>
      </c>
      <c r="N272" s="110"/>
      <c r="O272" s="110"/>
      <c r="P272" s="110"/>
      <c r="Q272" s="110"/>
      <c r="R272" s="110"/>
      <c r="S272" s="110"/>
      <c r="T272" s="110"/>
      <c r="U272" s="110"/>
      <c r="V272" s="110"/>
      <c r="W272" s="110"/>
      <c r="X272" s="110"/>
      <c r="Y272" s="110"/>
      <c r="Z272" s="110"/>
      <c r="AA272" s="110"/>
      <c r="AB272" s="110"/>
      <c r="AC272" s="110"/>
      <c r="AD272" s="110"/>
    </row>
    <row r="273">
      <c r="A273" s="118" t="s">
        <v>1829</v>
      </c>
      <c r="B273" s="112" t="s">
        <v>4612</v>
      </c>
      <c r="C273" s="112">
        <v>2.407120233E9</v>
      </c>
      <c r="D273" s="119" t="s">
        <v>4301</v>
      </c>
      <c r="E273" s="128">
        <v>45981.0</v>
      </c>
      <c r="F273" s="113" t="s">
        <v>31</v>
      </c>
      <c r="G273" s="113" t="s">
        <v>4603</v>
      </c>
      <c r="H273" s="113"/>
      <c r="I273" s="114">
        <v>46009.0</v>
      </c>
      <c r="J273" s="132"/>
      <c r="K273" s="120" t="str">
        <f>IFERROR(__xludf.DUMMYFUNCTION("""COMPUTED_VALUE"""),"")</f>
        <v/>
      </c>
      <c r="L273" s="114">
        <f>IFERROR(__xludf.DUMMYFUNCTION("""COMPUTED_VALUE"""),46002.0)</f>
        <v>46002</v>
      </c>
      <c r="M273" s="116">
        <v>5.0</v>
      </c>
      <c r="N273" s="110"/>
      <c r="O273" s="110"/>
      <c r="P273" s="110"/>
      <c r="Q273" s="110"/>
      <c r="R273" s="110"/>
      <c r="S273" s="110"/>
      <c r="T273" s="110"/>
      <c r="U273" s="110"/>
      <c r="V273" s="110"/>
      <c r="W273" s="110"/>
      <c r="X273" s="110"/>
      <c r="Y273" s="110"/>
      <c r="Z273" s="110"/>
      <c r="AA273" s="110"/>
      <c r="AB273" s="110"/>
      <c r="AC273" s="110"/>
      <c r="AD273" s="110"/>
    </row>
    <row r="274">
      <c r="A274" s="118" t="s">
        <v>2050</v>
      </c>
      <c r="B274" s="112" t="s">
        <v>4613</v>
      </c>
      <c r="C274" s="112" t="s">
        <v>2056</v>
      </c>
      <c r="D274" s="119" t="s">
        <v>4301</v>
      </c>
      <c r="E274" s="128">
        <v>45979.0</v>
      </c>
      <c r="F274" s="113" t="s">
        <v>4305</v>
      </c>
      <c r="G274" s="113" t="s">
        <v>4603</v>
      </c>
      <c r="H274" s="113"/>
      <c r="I274" s="114">
        <v>46009.0</v>
      </c>
      <c r="J274" s="132"/>
      <c r="K274" s="120" t="str">
        <f>IFERROR(__xludf.DUMMYFUNCTION("""COMPUTED_VALUE"""),"")</f>
        <v/>
      </c>
      <c r="L274" s="114">
        <f>IFERROR(__xludf.DUMMYFUNCTION("""COMPUTED_VALUE"""),46002.0)</f>
        <v>46002</v>
      </c>
      <c r="M274" s="116">
        <v>5.0</v>
      </c>
      <c r="N274" s="110"/>
      <c r="O274" s="110"/>
      <c r="P274" s="110"/>
      <c r="Q274" s="110"/>
      <c r="R274" s="110"/>
      <c r="S274" s="110"/>
      <c r="T274" s="110"/>
      <c r="U274" s="110"/>
      <c r="V274" s="110"/>
      <c r="W274" s="110"/>
      <c r="X274" s="110"/>
      <c r="Y274" s="110"/>
      <c r="Z274" s="110"/>
      <c r="AA274" s="110"/>
      <c r="AB274" s="110"/>
      <c r="AC274" s="110"/>
      <c r="AD274" s="110"/>
    </row>
    <row r="275">
      <c r="A275" s="118" t="s">
        <v>2363</v>
      </c>
      <c r="B275" s="112" t="s">
        <v>4614</v>
      </c>
      <c r="C275" s="112" t="s">
        <v>2372</v>
      </c>
      <c r="D275" s="119" t="s">
        <v>4301</v>
      </c>
      <c r="E275" s="128"/>
      <c r="F275" s="113" t="s">
        <v>31</v>
      </c>
      <c r="G275" s="113" t="s">
        <v>4603</v>
      </c>
      <c r="H275" s="113" t="s">
        <v>4615</v>
      </c>
      <c r="I275" s="114">
        <v>46009.0</v>
      </c>
      <c r="J275" s="132"/>
      <c r="K275" s="120" t="str">
        <f>IFERROR(__xludf.DUMMYFUNCTION("""COMPUTED_VALUE"""),"")</f>
        <v/>
      </c>
      <c r="L275" s="114">
        <f>IFERROR(__xludf.DUMMYFUNCTION("""COMPUTED_VALUE"""),46002.0)</f>
        <v>46002</v>
      </c>
      <c r="M275" s="116">
        <v>5.0</v>
      </c>
      <c r="N275" s="110"/>
      <c r="O275" s="110"/>
      <c r="P275" s="110"/>
      <c r="Q275" s="110"/>
      <c r="R275" s="110"/>
      <c r="S275" s="110"/>
      <c r="T275" s="110"/>
      <c r="U275" s="110"/>
      <c r="V275" s="110"/>
      <c r="W275" s="110"/>
      <c r="X275" s="110"/>
      <c r="Y275" s="110"/>
      <c r="Z275" s="110"/>
      <c r="AA275" s="110"/>
      <c r="AB275" s="110"/>
      <c r="AC275" s="110"/>
      <c r="AD275" s="110"/>
    </row>
    <row r="276">
      <c r="A276" s="118" t="s">
        <v>2683</v>
      </c>
      <c r="B276" s="112" t="s">
        <v>4616</v>
      </c>
      <c r="C276" s="112" t="s">
        <v>2688</v>
      </c>
      <c r="D276" s="119" t="s">
        <v>4301</v>
      </c>
      <c r="E276" s="128">
        <v>45979.0</v>
      </c>
      <c r="F276" s="113" t="s">
        <v>4305</v>
      </c>
      <c r="G276" s="113" t="s">
        <v>4603</v>
      </c>
      <c r="H276" s="113"/>
      <c r="I276" s="114">
        <v>46009.0</v>
      </c>
      <c r="J276" s="132"/>
      <c r="K276" s="120" t="str">
        <f>IFERROR(__xludf.DUMMYFUNCTION("""COMPUTED_VALUE"""),"")</f>
        <v/>
      </c>
      <c r="L276" s="114">
        <f>IFERROR(__xludf.DUMMYFUNCTION("""COMPUTED_VALUE"""),46002.0)</f>
        <v>46002</v>
      </c>
      <c r="M276" s="116">
        <v>5.0</v>
      </c>
      <c r="N276" s="110"/>
      <c r="O276" s="110"/>
      <c r="P276" s="110"/>
      <c r="Q276" s="110"/>
      <c r="R276" s="110"/>
      <c r="S276" s="110"/>
      <c r="T276" s="110"/>
      <c r="U276" s="110"/>
      <c r="V276" s="110"/>
      <c r="W276" s="110"/>
      <c r="X276" s="110"/>
      <c r="Y276" s="110"/>
      <c r="Z276" s="110"/>
      <c r="AA276" s="110"/>
      <c r="AB276" s="110"/>
      <c r="AC276" s="110"/>
      <c r="AD276" s="110"/>
    </row>
    <row r="277">
      <c r="A277" s="118" t="s">
        <v>2906</v>
      </c>
      <c r="B277" s="112" t="s">
        <v>4617</v>
      </c>
      <c r="C277" s="112" t="s">
        <v>2912</v>
      </c>
      <c r="D277" s="119" t="s">
        <v>4301</v>
      </c>
      <c r="E277" s="128">
        <v>45972.0</v>
      </c>
      <c r="F277" s="113" t="s">
        <v>4305</v>
      </c>
      <c r="G277" s="113" t="s">
        <v>4603</v>
      </c>
      <c r="H277" s="113"/>
      <c r="I277" s="114">
        <v>46009.0</v>
      </c>
      <c r="J277" s="132"/>
      <c r="K277" s="120" t="str">
        <f>IFERROR(__xludf.DUMMYFUNCTION("""COMPUTED_VALUE"""),"")</f>
        <v/>
      </c>
      <c r="L277" s="114">
        <f>IFERROR(__xludf.DUMMYFUNCTION("""COMPUTED_VALUE"""),46002.0)</f>
        <v>46002</v>
      </c>
      <c r="M277" s="116">
        <v>5.0</v>
      </c>
      <c r="N277" s="110"/>
      <c r="O277" s="110"/>
      <c r="P277" s="110"/>
      <c r="Q277" s="110"/>
      <c r="R277" s="110"/>
      <c r="S277" s="110"/>
      <c r="T277" s="110"/>
      <c r="U277" s="110"/>
      <c r="V277" s="110"/>
      <c r="W277" s="110"/>
      <c r="X277" s="110"/>
      <c r="Y277" s="110"/>
      <c r="Z277" s="110"/>
      <c r="AA277" s="110"/>
      <c r="AB277" s="110"/>
      <c r="AC277" s="110"/>
      <c r="AD277" s="110"/>
    </row>
    <row r="278">
      <c r="A278" s="118" t="s">
        <v>2947</v>
      </c>
      <c r="B278" s="112" t="s">
        <v>4618</v>
      </c>
      <c r="C278" s="112" t="s">
        <v>2955</v>
      </c>
      <c r="D278" s="119" t="s">
        <v>4301</v>
      </c>
      <c r="E278" s="128">
        <v>45972.0</v>
      </c>
      <c r="F278" s="113" t="s">
        <v>4305</v>
      </c>
      <c r="G278" s="113" t="s">
        <v>4603</v>
      </c>
      <c r="H278" s="113"/>
      <c r="I278" s="114">
        <v>46009.0</v>
      </c>
      <c r="J278" s="132"/>
      <c r="K278" s="120" t="str">
        <f>IFERROR(__xludf.DUMMYFUNCTION("""COMPUTED_VALUE"""),"")</f>
        <v/>
      </c>
      <c r="L278" s="114">
        <f>IFERROR(__xludf.DUMMYFUNCTION("""COMPUTED_VALUE"""),46002.0)</f>
        <v>46002</v>
      </c>
      <c r="M278" s="116">
        <v>5.0</v>
      </c>
      <c r="N278" s="110"/>
      <c r="O278" s="110"/>
      <c r="P278" s="110"/>
      <c r="Q278" s="110"/>
      <c r="R278" s="110"/>
      <c r="S278" s="110"/>
      <c r="T278" s="110"/>
      <c r="U278" s="110"/>
      <c r="V278" s="110"/>
      <c r="W278" s="110"/>
      <c r="X278" s="110"/>
      <c r="Y278" s="110"/>
      <c r="Z278" s="110"/>
      <c r="AA278" s="110"/>
      <c r="AB278" s="110"/>
      <c r="AC278" s="110"/>
      <c r="AD278" s="110"/>
    </row>
    <row r="279">
      <c r="A279" s="118" t="s">
        <v>2958</v>
      </c>
      <c r="B279" s="112" t="s">
        <v>4619</v>
      </c>
      <c r="C279" s="112" t="s">
        <v>2967</v>
      </c>
      <c r="D279" s="119" t="s">
        <v>4301</v>
      </c>
      <c r="E279" s="128">
        <v>45980.0</v>
      </c>
      <c r="F279" s="113" t="s">
        <v>643</v>
      </c>
      <c r="G279" s="113" t="s">
        <v>4603</v>
      </c>
      <c r="H279" s="113"/>
      <c r="I279" s="114">
        <v>46009.0</v>
      </c>
      <c r="J279" s="132"/>
      <c r="K279" s="120" t="str">
        <f>IFERROR(__xludf.DUMMYFUNCTION("""COMPUTED_VALUE"""),"")</f>
        <v/>
      </c>
      <c r="L279" s="114">
        <f>IFERROR(__xludf.DUMMYFUNCTION("""COMPUTED_VALUE"""),46002.0)</f>
        <v>46002</v>
      </c>
      <c r="M279" s="116">
        <v>5.0</v>
      </c>
      <c r="N279" s="110"/>
      <c r="O279" s="110"/>
      <c r="P279" s="110"/>
      <c r="Q279" s="110"/>
      <c r="R279" s="110"/>
      <c r="S279" s="110"/>
      <c r="T279" s="110"/>
      <c r="U279" s="110"/>
      <c r="V279" s="110"/>
      <c r="W279" s="110"/>
      <c r="X279" s="110"/>
      <c r="Y279" s="110"/>
      <c r="Z279" s="110"/>
      <c r="AA279" s="110"/>
      <c r="AB279" s="110"/>
      <c r="AC279" s="110"/>
      <c r="AD279" s="110"/>
    </row>
    <row r="280">
      <c r="A280" s="118" t="s">
        <v>3070</v>
      </c>
      <c r="B280" s="112" t="s">
        <v>4620</v>
      </c>
      <c r="C280" s="112" t="s">
        <v>3079</v>
      </c>
      <c r="D280" s="119" t="s">
        <v>4301</v>
      </c>
      <c r="E280" s="128">
        <v>45981.0</v>
      </c>
      <c r="F280" s="113" t="s">
        <v>643</v>
      </c>
      <c r="G280" s="113" t="s">
        <v>4603</v>
      </c>
      <c r="H280" s="113"/>
      <c r="I280" s="114">
        <v>46009.0</v>
      </c>
      <c r="J280" s="132"/>
      <c r="K280" s="120" t="str">
        <f>IFERROR(__xludf.DUMMYFUNCTION("""COMPUTED_VALUE"""),"")</f>
        <v/>
      </c>
      <c r="L280" s="114">
        <f>IFERROR(__xludf.DUMMYFUNCTION("""COMPUTED_VALUE"""),46002.0)</f>
        <v>46002</v>
      </c>
      <c r="M280" s="116">
        <v>5.0</v>
      </c>
      <c r="N280" s="110"/>
      <c r="O280" s="110"/>
      <c r="P280" s="110"/>
      <c r="Q280" s="110"/>
      <c r="R280" s="110"/>
      <c r="S280" s="110"/>
      <c r="T280" s="110"/>
      <c r="U280" s="110"/>
      <c r="V280" s="110"/>
      <c r="W280" s="110"/>
      <c r="X280" s="110"/>
      <c r="Y280" s="110"/>
      <c r="Z280" s="110"/>
      <c r="AA280" s="110"/>
      <c r="AB280" s="110"/>
      <c r="AC280" s="110"/>
      <c r="AD280" s="110"/>
    </row>
    <row r="281">
      <c r="A281" s="118" t="s">
        <v>3098</v>
      </c>
      <c r="B281" s="112" t="s">
        <v>4621</v>
      </c>
      <c r="C281" s="112" t="s">
        <v>3103</v>
      </c>
      <c r="D281" s="119" t="s">
        <v>4301</v>
      </c>
      <c r="E281" s="128">
        <v>45939.0</v>
      </c>
      <c r="F281" s="113" t="s">
        <v>31</v>
      </c>
      <c r="G281" s="113" t="s">
        <v>4603</v>
      </c>
      <c r="H281" s="113"/>
      <c r="I281" s="114">
        <v>46009.0</v>
      </c>
      <c r="J281" s="132"/>
      <c r="K281" s="120" t="str">
        <f>IFERROR(__xludf.DUMMYFUNCTION("""COMPUTED_VALUE"""),"")</f>
        <v/>
      </c>
      <c r="L281" s="114">
        <f>IFERROR(__xludf.DUMMYFUNCTION("""COMPUTED_VALUE"""),46002.0)</f>
        <v>46002</v>
      </c>
      <c r="M281" s="116">
        <v>5.0</v>
      </c>
      <c r="N281" s="110"/>
      <c r="O281" s="110"/>
      <c r="P281" s="110"/>
      <c r="Q281" s="110"/>
      <c r="R281" s="110"/>
      <c r="S281" s="110"/>
      <c r="T281" s="110"/>
      <c r="U281" s="110"/>
      <c r="V281" s="110"/>
      <c r="W281" s="110"/>
      <c r="X281" s="110"/>
      <c r="Y281" s="110"/>
      <c r="Z281" s="110"/>
      <c r="AA281" s="110"/>
      <c r="AB281" s="110"/>
      <c r="AC281" s="110"/>
      <c r="AD281" s="110"/>
    </row>
    <row r="282">
      <c r="A282" s="118" t="s">
        <v>3106</v>
      </c>
      <c r="B282" s="112" t="s">
        <v>4622</v>
      </c>
      <c r="C282" s="112" t="s">
        <v>3115</v>
      </c>
      <c r="D282" s="119" t="s">
        <v>4301</v>
      </c>
      <c r="E282" s="128">
        <v>45855.0</v>
      </c>
      <c r="F282" s="113" t="s">
        <v>31</v>
      </c>
      <c r="G282" s="113" t="s">
        <v>4603</v>
      </c>
      <c r="H282" s="113"/>
      <c r="I282" s="114">
        <v>46009.0</v>
      </c>
      <c r="J282" s="132"/>
      <c r="K282" s="120" t="str">
        <f>IFERROR(__xludf.DUMMYFUNCTION("""COMPUTED_VALUE"""),"")</f>
        <v/>
      </c>
      <c r="L282" s="114">
        <f>IFERROR(__xludf.DUMMYFUNCTION("""COMPUTED_VALUE"""),46002.0)</f>
        <v>46002</v>
      </c>
      <c r="M282" s="116">
        <v>5.0</v>
      </c>
      <c r="N282" s="110"/>
      <c r="O282" s="110"/>
      <c r="P282" s="110"/>
      <c r="Q282" s="110"/>
      <c r="R282" s="110"/>
      <c r="S282" s="110"/>
      <c r="T282" s="110"/>
      <c r="U282" s="110"/>
      <c r="V282" s="110"/>
      <c r="W282" s="110"/>
      <c r="X282" s="110"/>
      <c r="Y282" s="110"/>
      <c r="Z282" s="110"/>
      <c r="AA282" s="110"/>
      <c r="AB282" s="110"/>
      <c r="AC282" s="110"/>
      <c r="AD282" s="110"/>
    </row>
    <row r="283">
      <c r="A283" s="118" t="s">
        <v>3224</v>
      </c>
      <c r="B283" s="112" t="s">
        <v>4623</v>
      </c>
      <c r="C283" s="112" t="s">
        <v>3231</v>
      </c>
      <c r="D283" s="119" t="s">
        <v>4301</v>
      </c>
      <c r="E283" s="128">
        <v>45981.0</v>
      </c>
      <c r="F283" s="113" t="s">
        <v>31</v>
      </c>
      <c r="G283" s="113" t="s">
        <v>4603</v>
      </c>
      <c r="H283" s="113"/>
      <c r="I283" s="114">
        <v>46009.0</v>
      </c>
      <c r="J283" s="132"/>
      <c r="K283" s="120" t="str">
        <f>IFERROR(__xludf.DUMMYFUNCTION("""COMPUTED_VALUE"""),"")</f>
        <v/>
      </c>
      <c r="L283" s="114">
        <f>IFERROR(__xludf.DUMMYFUNCTION("""COMPUTED_VALUE"""),46002.0)</f>
        <v>46002</v>
      </c>
      <c r="M283" s="116">
        <v>5.0</v>
      </c>
      <c r="N283" s="110"/>
      <c r="O283" s="110"/>
      <c r="P283" s="110"/>
      <c r="Q283" s="110"/>
      <c r="R283" s="110"/>
      <c r="S283" s="110"/>
      <c r="T283" s="110"/>
      <c r="U283" s="110"/>
      <c r="V283" s="110"/>
      <c r="W283" s="110"/>
      <c r="X283" s="110"/>
      <c r="Y283" s="110"/>
      <c r="Z283" s="110"/>
      <c r="AA283" s="110"/>
      <c r="AB283" s="110"/>
      <c r="AC283" s="110"/>
      <c r="AD283" s="110"/>
    </row>
    <row r="284">
      <c r="A284" s="118" t="s">
        <v>2050</v>
      </c>
      <c r="B284" s="112" t="s">
        <v>4624</v>
      </c>
      <c r="C284" s="112" t="s">
        <v>3456</v>
      </c>
      <c r="D284" s="119" t="s">
        <v>4301</v>
      </c>
      <c r="E284" s="128">
        <v>45979.0</v>
      </c>
      <c r="F284" s="113" t="s">
        <v>4305</v>
      </c>
      <c r="G284" s="113" t="s">
        <v>4603</v>
      </c>
      <c r="H284" s="113"/>
      <c r="I284" s="114">
        <v>46009.0</v>
      </c>
      <c r="J284" s="132"/>
      <c r="K284" s="120" t="str">
        <f>IFERROR(__xludf.DUMMYFUNCTION("""COMPUTED_VALUE"""),"")</f>
        <v/>
      </c>
      <c r="L284" s="114">
        <f>IFERROR(__xludf.DUMMYFUNCTION("""COMPUTED_VALUE"""),46002.0)</f>
        <v>46002</v>
      </c>
      <c r="M284" s="116">
        <v>5.0</v>
      </c>
      <c r="N284" s="110"/>
      <c r="O284" s="110"/>
      <c r="P284" s="110"/>
      <c r="Q284" s="110"/>
      <c r="R284" s="110"/>
      <c r="S284" s="110"/>
      <c r="T284" s="110"/>
      <c r="U284" s="110"/>
      <c r="V284" s="110"/>
      <c r="W284" s="110"/>
      <c r="X284" s="110"/>
      <c r="Y284" s="110"/>
      <c r="Z284" s="110"/>
      <c r="AA284" s="110"/>
      <c r="AB284" s="110"/>
      <c r="AC284" s="110"/>
      <c r="AD284" s="110"/>
    </row>
    <row r="285">
      <c r="A285" s="118" t="s">
        <v>395</v>
      </c>
      <c r="B285" s="112" t="s">
        <v>4625</v>
      </c>
      <c r="C285" s="112" t="s">
        <v>3496</v>
      </c>
      <c r="D285" s="119" t="s">
        <v>4301</v>
      </c>
      <c r="E285" s="128">
        <v>45962.0</v>
      </c>
      <c r="F285" s="113" t="s">
        <v>31</v>
      </c>
      <c r="G285" s="113" t="s">
        <v>4603</v>
      </c>
      <c r="H285" s="113"/>
      <c r="I285" s="114">
        <v>46009.0</v>
      </c>
      <c r="J285" s="132"/>
      <c r="K285" s="120" t="str">
        <f>IFERROR(__xludf.DUMMYFUNCTION("""COMPUTED_VALUE"""),"")</f>
        <v/>
      </c>
      <c r="L285" s="114">
        <f>IFERROR(__xludf.DUMMYFUNCTION("""COMPUTED_VALUE"""),46002.0)</f>
        <v>46002</v>
      </c>
      <c r="M285" s="116">
        <v>5.0</v>
      </c>
      <c r="N285" s="110"/>
      <c r="O285" s="110"/>
      <c r="P285" s="110"/>
      <c r="Q285" s="110"/>
      <c r="R285" s="110"/>
      <c r="S285" s="110"/>
      <c r="T285" s="110"/>
      <c r="U285" s="110"/>
      <c r="V285" s="110"/>
      <c r="W285" s="110"/>
      <c r="X285" s="110"/>
      <c r="Y285" s="110"/>
      <c r="Z285" s="110"/>
      <c r="AA285" s="110"/>
      <c r="AB285" s="110"/>
      <c r="AC285" s="110"/>
      <c r="AD285" s="110"/>
    </row>
    <row r="286">
      <c r="A286" s="118" t="s">
        <v>1012</v>
      </c>
      <c r="B286" s="112" t="s">
        <v>4626</v>
      </c>
      <c r="C286" s="112">
        <v>2.027146573E9</v>
      </c>
      <c r="D286" s="119" t="s">
        <v>4301</v>
      </c>
      <c r="E286" s="128">
        <v>45980.0</v>
      </c>
      <c r="F286" s="113" t="s">
        <v>643</v>
      </c>
      <c r="G286" s="113" t="s">
        <v>4603</v>
      </c>
      <c r="H286" s="113"/>
      <c r="I286" s="114">
        <v>46010.0</v>
      </c>
      <c r="J286" s="132"/>
      <c r="K286" s="120" t="str">
        <f>IFERROR(__xludf.DUMMYFUNCTION("""COMPUTED_VALUE"""),"")</f>
        <v/>
      </c>
      <c r="L286" s="114">
        <f>IFERROR(__xludf.DUMMYFUNCTION("""COMPUTED_VALUE"""),46003.0)</f>
        <v>46003</v>
      </c>
      <c r="M286" s="116">
        <v>5.0</v>
      </c>
      <c r="N286" s="110"/>
      <c r="O286" s="110"/>
      <c r="P286" s="110"/>
      <c r="Q286" s="110"/>
      <c r="R286" s="110"/>
      <c r="S286" s="110"/>
      <c r="T286" s="110"/>
      <c r="U286" s="110"/>
      <c r="V286" s="110"/>
      <c r="W286" s="110"/>
      <c r="X286" s="110"/>
      <c r="Y286" s="110"/>
      <c r="Z286" s="110"/>
      <c r="AA286" s="110"/>
      <c r="AB286" s="110"/>
      <c r="AC286" s="110"/>
      <c r="AD286" s="110"/>
    </row>
    <row r="287">
      <c r="A287" s="118" t="s">
        <v>1032</v>
      </c>
      <c r="B287" s="112" t="s">
        <v>4627</v>
      </c>
      <c r="C287" s="112">
        <v>2.028559607E9</v>
      </c>
      <c r="D287" s="119" t="s">
        <v>4301</v>
      </c>
      <c r="E287" s="128">
        <v>45981.0</v>
      </c>
      <c r="F287" s="113" t="s">
        <v>31</v>
      </c>
      <c r="G287" s="113" t="s">
        <v>4603</v>
      </c>
      <c r="H287" s="113"/>
      <c r="I287" s="114">
        <v>46010.0</v>
      </c>
      <c r="J287" s="132"/>
      <c r="K287" s="120" t="str">
        <f>IFERROR(__xludf.DUMMYFUNCTION("""COMPUTED_VALUE"""),"")</f>
        <v/>
      </c>
      <c r="L287" s="114">
        <f>IFERROR(__xludf.DUMMYFUNCTION("""COMPUTED_VALUE"""),46003.0)</f>
        <v>46003</v>
      </c>
      <c r="M287" s="116">
        <v>5.0</v>
      </c>
      <c r="N287" s="110"/>
      <c r="O287" s="110"/>
      <c r="P287" s="110"/>
      <c r="Q287" s="110"/>
      <c r="R287" s="110"/>
      <c r="S287" s="110"/>
      <c r="T287" s="110"/>
      <c r="U287" s="110"/>
      <c r="V287" s="110"/>
      <c r="W287" s="110"/>
      <c r="X287" s="110"/>
      <c r="Y287" s="110"/>
      <c r="Z287" s="110"/>
      <c r="AA287" s="110"/>
      <c r="AB287" s="110"/>
      <c r="AC287" s="110"/>
      <c r="AD287" s="110"/>
    </row>
    <row r="288">
      <c r="A288" s="118" t="s">
        <v>1112</v>
      </c>
      <c r="B288" s="112" t="s">
        <v>4628</v>
      </c>
      <c r="C288" s="112">
        <v>2.022761934E9</v>
      </c>
      <c r="D288" s="119" t="s">
        <v>4301</v>
      </c>
      <c r="E288" s="128"/>
      <c r="F288" s="113" t="s">
        <v>643</v>
      </c>
      <c r="G288" s="113" t="s">
        <v>4603</v>
      </c>
      <c r="H288" s="113"/>
      <c r="I288" s="114">
        <v>46010.0</v>
      </c>
      <c r="J288" s="132"/>
      <c r="K288" s="120" t="str">
        <f>IFERROR(__xludf.DUMMYFUNCTION("""COMPUTED_VALUE"""),"")</f>
        <v/>
      </c>
      <c r="L288" s="114">
        <f>IFERROR(__xludf.DUMMYFUNCTION("""COMPUTED_VALUE"""),46003.0)</f>
        <v>46003</v>
      </c>
      <c r="M288" s="116">
        <v>5.0</v>
      </c>
      <c r="N288" s="110"/>
      <c r="O288" s="110"/>
      <c r="P288" s="110"/>
      <c r="Q288" s="110"/>
      <c r="R288" s="110"/>
      <c r="S288" s="110"/>
      <c r="T288" s="110"/>
      <c r="U288" s="110"/>
      <c r="V288" s="110"/>
      <c r="W288" s="110"/>
      <c r="X288" s="110"/>
      <c r="Y288" s="110"/>
      <c r="Z288" s="110"/>
      <c r="AA288" s="110"/>
      <c r="AB288" s="110"/>
      <c r="AC288" s="110"/>
      <c r="AD288" s="110"/>
    </row>
    <row r="289">
      <c r="A289" s="118" t="s">
        <v>1207</v>
      </c>
      <c r="B289" s="112" t="s">
        <v>4629</v>
      </c>
      <c r="C289" s="112">
        <v>2.026075202E9</v>
      </c>
      <c r="D289" s="119" t="s">
        <v>4301</v>
      </c>
      <c r="E289" s="128">
        <v>45985.0</v>
      </c>
      <c r="F289" s="113" t="s">
        <v>4305</v>
      </c>
      <c r="G289" s="113" t="s">
        <v>4603</v>
      </c>
      <c r="H289" s="113"/>
      <c r="I289" s="114">
        <v>46010.0</v>
      </c>
      <c r="J289" s="132"/>
      <c r="K289" s="120" t="str">
        <f>IFERROR(__xludf.DUMMYFUNCTION("""COMPUTED_VALUE"""),"")</f>
        <v/>
      </c>
      <c r="L289" s="114">
        <f>IFERROR(__xludf.DUMMYFUNCTION("""COMPUTED_VALUE"""),46003.0)</f>
        <v>46003</v>
      </c>
      <c r="M289" s="116">
        <v>5.0</v>
      </c>
      <c r="N289" s="110"/>
      <c r="O289" s="110"/>
      <c r="P289" s="110"/>
      <c r="Q289" s="110"/>
      <c r="R289" s="110"/>
      <c r="S289" s="110"/>
      <c r="T289" s="110"/>
      <c r="U289" s="110"/>
      <c r="V289" s="110"/>
      <c r="W289" s="110"/>
      <c r="X289" s="110"/>
      <c r="Y289" s="110"/>
      <c r="Z289" s="110"/>
      <c r="AA289" s="110"/>
      <c r="AB289" s="110"/>
      <c r="AC289" s="110"/>
      <c r="AD289" s="110"/>
    </row>
    <row r="290">
      <c r="A290" s="118" t="s">
        <v>1279</v>
      </c>
      <c r="B290" s="112" t="s">
        <v>4630</v>
      </c>
      <c r="C290" s="112" t="s">
        <v>1286</v>
      </c>
      <c r="D290" s="119" t="s">
        <v>4301</v>
      </c>
      <c r="E290" s="128"/>
      <c r="F290" s="113" t="s">
        <v>643</v>
      </c>
      <c r="G290" s="113" t="s">
        <v>4603</v>
      </c>
      <c r="H290" s="113"/>
      <c r="I290" s="114">
        <v>46010.0</v>
      </c>
      <c r="J290" s="132"/>
      <c r="K290" s="120" t="str">
        <f>IFERROR(__xludf.DUMMYFUNCTION("""COMPUTED_VALUE"""),"")</f>
        <v/>
      </c>
      <c r="L290" s="114">
        <f>IFERROR(__xludf.DUMMYFUNCTION("""COMPUTED_VALUE"""),46003.0)</f>
        <v>46003</v>
      </c>
      <c r="M290" s="116">
        <v>5.0</v>
      </c>
      <c r="N290" s="110"/>
      <c r="O290" s="110"/>
      <c r="P290" s="110"/>
      <c r="Q290" s="110"/>
      <c r="R290" s="110"/>
      <c r="S290" s="110"/>
      <c r="T290" s="110"/>
      <c r="U290" s="110"/>
      <c r="V290" s="110"/>
      <c r="W290" s="110"/>
      <c r="X290" s="110"/>
      <c r="Y290" s="110"/>
      <c r="Z290" s="110"/>
      <c r="AA290" s="110"/>
      <c r="AB290" s="110"/>
      <c r="AC290" s="110"/>
      <c r="AD290" s="110"/>
    </row>
    <row r="291">
      <c r="A291" s="118" t="s">
        <v>1665</v>
      </c>
      <c r="B291" s="112" t="s">
        <v>4631</v>
      </c>
      <c r="C291" s="112" t="s">
        <v>1670</v>
      </c>
      <c r="D291" s="119" t="s">
        <v>4301</v>
      </c>
      <c r="E291" s="128">
        <v>45979.0</v>
      </c>
      <c r="F291" s="113" t="s">
        <v>4305</v>
      </c>
      <c r="G291" s="113" t="s">
        <v>4603</v>
      </c>
      <c r="H291" s="113"/>
      <c r="I291" s="114">
        <v>46010.0</v>
      </c>
      <c r="J291" s="132"/>
      <c r="K291" s="120" t="str">
        <f>IFERROR(__xludf.DUMMYFUNCTION("""COMPUTED_VALUE"""),"")</f>
        <v/>
      </c>
      <c r="L291" s="114">
        <f>IFERROR(__xludf.DUMMYFUNCTION("""COMPUTED_VALUE"""),46003.0)</f>
        <v>46003</v>
      </c>
      <c r="M291" s="116">
        <v>5.0</v>
      </c>
      <c r="N291" s="110"/>
      <c r="O291" s="110"/>
      <c r="P291" s="110"/>
      <c r="Q291" s="110"/>
      <c r="R291" s="110"/>
      <c r="S291" s="110"/>
      <c r="T291" s="110"/>
      <c r="U291" s="110"/>
      <c r="V291" s="110"/>
      <c r="W291" s="110"/>
      <c r="X291" s="110"/>
      <c r="Y291" s="110"/>
      <c r="Z291" s="110"/>
      <c r="AA291" s="110"/>
      <c r="AB291" s="110"/>
      <c r="AC291" s="110"/>
      <c r="AD291" s="110"/>
    </row>
    <row r="292">
      <c r="A292" s="118" t="s">
        <v>1772</v>
      </c>
      <c r="B292" s="112" t="s">
        <v>4632</v>
      </c>
      <c r="C292" s="112" t="s">
        <v>1780</v>
      </c>
      <c r="D292" s="119" t="s">
        <v>4301</v>
      </c>
      <c r="E292" s="128">
        <v>45980.0</v>
      </c>
      <c r="F292" s="113" t="s">
        <v>643</v>
      </c>
      <c r="G292" s="113" t="s">
        <v>4603</v>
      </c>
      <c r="H292" s="113"/>
      <c r="I292" s="114">
        <v>46010.0</v>
      </c>
      <c r="J292" s="132"/>
      <c r="K292" s="120" t="str">
        <f>IFERROR(__xludf.DUMMYFUNCTION("""COMPUTED_VALUE"""),"")</f>
        <v/>
      </c>
      <c r="L292" s="114">
        <f>IFERROR(__xludf.DUMMYFUNCTION("""COMPUTED_VALUE"""),46003.0)</f>
        <v>46003</v>
      </c>
      <c r="M292" s="116">
        <v>5.0</v>
      </c>
      <c r="N292" s="110"/>
      <c r="O292" s="110"/>
      <c r="P292" s="110"/>
      <c r="Q292" s="110"/>
      <c r="R292" s="110"/>
      <c r="S292" s="110"/>
      <c r="T292" s="110"/>
      <c r="U292" s="110"/>
      <c r="V292" s="110"/>
      <c r="W292" s="110"/>
      <c r="X292" s="110"/>
      <c r="Y292" s="110"/>
      <c r="Z292" s="110"/>
      <c r="AA292" s="110"/>
      <c r="AB292" s="110"/>
      <c r="AC292" s="110"/>
      <c r="AD292" s="110"/>
    </row>
    <row r="293">
      <c r="A293" s="118" t="s">
        <v>2061</v>
      </c>
      <c r="B293" s="112" t="s">
        <v>4633</v>
      </c>
      <c r="C293" s="112" t="s">
        <v>2067</v>
      </c>
      <c r="D293" s="119" t="s">
        <v>4301</v>
      </c>
      <c r="E293" s="128">
        <v>45979.0</v>
      </c>
      <c r="F293" s="113" t="s">
        <v>4305</v>
      </c>
      <c r="G293" s="113" t="s">
        <v>4603</v>
      </c>
      <c r="H293" s="113"/>
      <c r="I293" s="114">
        <v>46010.0</v>
      </c>
      <c r="J293" s="132"/>
      <c r="K293" s="120" t="str">
        <f>IFERROR(__xludf.DUMMYFUNCTION("""COMPUTED_VALUE"""),"")</f>
        <v/>
      </c>
      <c r="L293" s="114">
        <f>IFERROR(__xludf.DUMMYFUNCTION("""COMPUTED_VALUE"""),46003.0)</f>
        <v>46003</v>
      </c>
      <c r="M293" s="116">
        <v>5.0</v>
      </c>
      <c r="N293" s="110"/>
      <c r="O293" s="110"/>
      <c r="P293" s="110"/>
      <c r="Q293" s="110"/>
      <c r="R293" s="110"/>
      <c r="S293" s="110"/>
      <c r="T293" s="110"/>
      <c r="U293" s="110"/>
      <c r="V293" s="110"/>
      <c r="W293" s="110"/>
      <c r="X293" s="110"/>
      <c r="Y293" s="110"/>
      <c r="Z293" s="110"/>
      <c r="AA293" s="110"/>
      <c r="AB293" s="110"/>
      <c r="AC293" s="110"/>
      <c r="AD293" s="110"/>
    </row>
    <row r="294">
      <c r="A294" s="118" t="s">
        <v>2186</v>
      </c>
      <c r="B294" s="112" t="s">
        <v>4634</v>
      </c>
      <c r="C294" s="112" t="s">
        <v>2195</v>
      </c>
      <c r="D294" s="119" t="s">
        <v>4301</v>
      </c>
      <c r="E294" s="128">
        <v>45944.0</v>
      </c>
      <c r="F294" s="113" t="s">
        <v>4305</v>
      </c>
      <c r="G294" s="113" t="s">
        <v>4603</v>
      </c>
      <c r="H294" s="113"/>
      <c r="I294" s="114">
        <v>46010.0</v>
      </c>
      <c r="J294" s="132"/>
      <c r="K294" s="120" t="str">
        <f>IFERROR(__xludf.DUMMYFUNCTION("""COMPUTED_VALUE"""),"")</f>
        <v/>
      </c>
      <c r="L294" s="114">
        <f>IFERROR(__xludf.DUMMYFUNCTION("""COMPUTED_VALUE"""),46003.0)</f>
        <v>46003</v>
      </c>
      <c r="M294" s="116">
        <v>5.0</v>
      </c>
      <c r="N294" s="110"/>
      <c r="O294" s="110"/>
      <c r="P294" s="110"/>
      <c r="Q294" s="110"/>
      <c r="R294" s="110"/>
      <c r="S294" s="110"/>
      <c r="T294" s="110"/>
      <c r="U294" s="110"/>
      <c r="V294" s="110"/>
      <c r="W294" s="110"/>
      <c r="X294" s="110"/>
      <c r="Y294" s="110"/>
      <c r="Z294" s="110"/>
      <c r="AA294" s="110"/>
      <c r="AB294" s="110"/>
      <c r="AC294" s="110"/>
      <c r="AD294" s="110"/>
    </row>
    <row r="295">
      <c r="A295" s="118" t="s">
        <v>2375</v>
      </c>
      <c r="B295" s="112" t="s">
        <v>4635</v>
      </c>
      <c r="C295" s="112" t="s">
        <v>2382</v>
      </c>
      <c r="D295" s="119" t="s">
        <v>4301</v>
      </c>
      <c r="E295" s="128">
        <v>45985.0</v>
      </c>
      <c r="F295" s="113" t="s">
        <v>4305</v>
      </c>
      <c r="G295" s="113" t="s">
        <v>4603</v>
      </c>
      <c r="H295" s="113"/>
      <c r="I295" s="114">
        <v>46010.0</v>
      </c>
      <c r="J295" s="132"/>
      <c r="K295" s="120" t="str">
        <f>IFERROR(__xludf.DUMMYFUNCTION("""COMPUTED_VALUE"""),"")</f>
        <v/>
      </c>
      <c r="L295" s="114">
        <f>IFERROR(__xludf.DUMMYFUNCTION("""COMPUTED_VALUE"""),46003.0)</f>
        <v>46003</v>
      </c>
      <c r="M295" s="116">
        <v>5.0</v>
      </c>
      <c r="N295" s="110"/>
      <c r="O295" s="110"/>
      <c r="P295" s="110"/>
      <c r="Q295" s="110"/>
      <c r="R295" s="110"/>
      <c r="S295" s="110"/>
      <c r="T295" s="110"/>
      <c r="U295" s="110"/>
      <c r="V295" s="110"/>
      <c r="W295" s="110"/>
      <c r="X295" s="110"/>
      <c r="Y295" s="110"/>
      <c r="Z295" s="110"/>
      <c r="AA295" s="110"/>
      <c r="AB295" s="110"/>
      <c r="AC295" s="110"/>
      <c r="AD295" s="110"/>
    </row>
    <row r="296">
      <c r="A296" s="118" t="s">
        <v>3342</v>
      </c>
      <c r="B296" s="112" t="s">
        <v>4636</v>
      </c>
      <c r="C296" s="112" t="s">
        <v>3347</v>
      </c>
      <c r="D296" s="119" t="s">
        <v>4301</v>
      </c>
      <c r="E296" s="128"/>
      <c r="F296" s="113" t="s">
        <v>643</v>
      </c>
      <c r="G296" s="113" t="s">
        <v>4603</v>
      </c>
      <c r="H296" s="113"/>
      <c r="I296" s="114">
        <v>46010.0</v>
      </c>
      <c r="J296" s="132"/>
      <c r="K296" s="120" t="str">
        <f>IFERROR(__xludf.DUMMYFUNCTION("""COMPUTED_VALUE"""),"")</f>
        <v/>
      </c>
      <c r="L296" s="114">
        <f>IFERROR(__xludf.DUMMYFUNCTION("""COMPUTED_VALUE"""),46003.0)</f>
        <v>46003</v>
      </c>
      <c r="M296" s="116">
        <v>5.0</v>
      </c>
      <c r="N296" s="110"/>
      <c r="O296" s="110"/>
      <c r="P296" s="110"/>
      <c r="Q296" s="110"/>
      <c r="R296" s="110"/>
      <c r="S296" s="110"/>
      <c r="T296" s="110"/>
      <c r="U296" s="110"/>
      <c r="V296" s="110"/>
      <c r="W296" s="110"/>
      <c r="X296" s="110"/>
      <c r="Y296" s="110"/>
      <c r="Z296" s="110"/>
      <c r="AA296" s="110"/>
      <c r="AB296" s="110"/>
      <c r="AC296" s="110"/>
      <c r="AD296" s="110"/>
    </row>
    <row r="297">
      <c r="A297" s="118" t="s">
        <v>3718</v>
      </c>
      <c r="B297" s="112" t="s">
        <v>4637</v>
      </c>
      <c r="C297" s="112" t="s">
        <v>3723</v>
      </c>
      <c r="D297" s="119" t="s">
        <v>4301</v>
      </c>
      <c r="E297" s="128">
        <v>45985.0</v>
      </c>
      <c r="F297" s="113" t="s">
        <v>643</v>
      </c>
      <c r="G297" s="113" t="s">
        <v>4603</v>
      </c>
      <c r="H297" s="113"/>
      <c r="I297" s="114">
        <v>46010.0</v>
      </c>
      <c r="J297" s="132"/>
      <c r="K297" s="120" t="str">
        <f>IFERROR(__xludf.DUMMYFUNCTION("""COMPUTED_VALUE"""),"")</f>
        <v/>
      </c>
      <c r="L297" s="114">
        <f>IFERROR(__xludf.DUMMYFUNCTION("""COMPUTED_VALUE"""),46003.0)</f>
        <v>46003</v>
      </c>
      <c r="M297" s="116">
        <v>5.0</v>
      </c>
      <c r="N297" s="110"/>
      <c r="O297" s="110"/>
      <c r="P297" s="110"/>
      <c r="Q297" s="110"/>
      <c r="R297" s="110"/>
      <c r="S297" s="110"/>
      <c r="T297" s="110"/>
      <c r="U297" s="110"/>
      <c r="V297" s="110"/>
      <c r="W297" s="110"/>
      <c r="X297" s="110"/>
      <c r="Y297" s="110"/>
      <c r="Z297" s="110"/>
      <c r="AA297" s="110"/>
      <c r="AB297" s="110"/>
      <c r="AC297" s="110"/>
      <c r="AD297" s="110"/>
    </row>
    <row r="298">
      <c r="A298" s="118" t="s">
        <v>485</v>
      </c>
      <c r="B298" s="112" t="s">
        <v>4638</v>
      </c>
      <c r="C298" s="112">
        <v>7.573553375E9</v>
      </c>
      <c r="D298" s="119" t="s">
        <v>4301</v>
      </c>
      <c r="E298" s="128">
        <v>45965.0</v>
      </c>
      <c r="F298" s="113" t="s">
        <v>4305</v>
      </c>
      <c r="G298" s="113" t="s">
        <v>4603</v>
      </c>
      <c r="H298" s="113" t="s">
        <v>4639</v>
      </c>
      <c r="I298" s="114">
        <v>46013.0</v>
      </c>
      <c r="J298" s="132">
        <v>1.0</v>
      </c>
      <c r="K298" s="120" t="str">
        <f>IFERROR(__xludf.DUMMYFUNCTION("""COMPUTED_VALUE"""),"")</f>
        <v/>
      </c>
      <c r="L298" s="114">
        <f>IFERROR(__xludf.DUMMYFUNCTION("""COMPUTED_VALUE"""),46006.0)</f>
        <v>46006</v>
      </c>
      <c r="M298" s="116">
        <v>5.0</v>
      </c>
      <c r="N298" s="110"/>
      <c r="O298" s="110"/>
      <c r="P298" s="110"/>
      <c r="Q298" s="110"/>
      <c r="R298" s="110"/>
      <c r="S298" s="110"/>
      <c r="T298" s="110"/>
      <c r="U298" s="110"/>
      <c r="V298" s="110"/>
      <c r="W298" s="110"/>
      <c r="X298" s="110"/>
      <c r="Y298" s="110"/>
      <c r="Z298" s="110"/>
      <c r="AA298" s="110"/>
      <c r="AB298" s="110"/>
      <c r="AC298" s="110"/>
      <c r="AD298" s="110"/>
    </row>
    <row r="299">
      <c r="A299" s="118" t="s">
        <v>1168</v>
      </c>
      <c r="B299" s="112" t="s">
        <v>4640</v>
      </c>
      <c r="C299" s="112" t="s">
        <v>1177</v>
      </c>
      <c r="D299" s="119" t="s">
        <v>4301</v>
      </c>
      <c r="E299" s="128"/>
      <c r="F299" s="113" t="s">
        <v>31</v>
      </c>
      <c r="G299" s="113" t="s">
        <v>4603</v>
      </c>
      <c r="H299" s="113"/>
      <c r="I299" s="114">
        <v>46013.0</v>
      </c>
      <c r="J299" s="132"/>
      <c r="K299" s="120" t="str">
        <f>IFERROR(__xludf.DUMMYFUNCTION("""COMPUTED_VALUE"""),"")</f>
        <v/>
      </c>
      <c r="L299" s="114">
        <f>IFERROR(__xludf.DUMMYFUNCTION("""COMPUTED_VALUE"""),46006.0)</f>
        <v>46006</v>
      </c>
      <c r="M299" s="116">
        <v>5.0</v>
      </c>
      <c r="N299" s="110"/>
      <c r="O299" s="110"/>
      <c r="P299" s="110"/>
      <c r="Q299" s="110"/>
      <c r="R299" s="110"/>
      <c r="S299" s="110"/>
      <c r="T299" s="110"/>
      <c r="U299" s="110"/>
      <c r="V299" s="110"/>
      <c r="W299" s="110"/>
      <c r="X299" s="110"/>
      <c r="Y299" s="110"/>
      <c r="Z299" s="110"/>
      <c r="AA299" s="110"/>
      <c r="AB299" s="110"/>
      <c r="AC299" s="110"/>
      <c r="AD299" s="110"/>
    </row>
    <row r="300">
      <c r="A300" s="118" t="s">
        <v>1289</v>
      </c>
      <c r="B300" s="112" t="s">
        <v>4641</v>
      </c>
      <c r="C300" s="112">
        <v>2.029632535E9</v>
      </c>
      <c r="D300" s="119" t="s">
        <v>4301</v>
      </c>
      <c r="E300" s="128">
        <v>45985.0</v>
      </c>
      <c r="F300" s="113" t="s">
        <v>4305</v>
      </c>
      <c r="G300" s="113" t="s">
        <v>4603</v>
      </c>
      <c r="H300" s="113" t="s">
        <v>4311</v>
      </c>
      <c r="I300" s="114">
        <v>46013.0</v>
      </c>
      <c r="J300" s="132"/>
      <c r="K300" s="120" t="str">
        <f>IFERROR(__xludf.DUMMYFUNCTION("""COMPUTED_VALUE"""),"")</f>
        <v/>
      </c>
      <c r="L300" s="114">
        <f>IFERROR(__xludf.DUMMYFUNCTION("""COMPUTED_VALUE"""),46006.0)</f>
        <v>46006</v>
      </c>
      <c r="M300" s="116">
        <v>5.0</v>
      </c>
      <c r="N300" s="110"/>
      <c r="O300" s="110"/>
      <c r="P300" s="110"/>
      <c r="Q300" s="110"/>
      <c r="R300" s="110"/>
      <c r="S300" s="110"/>
      <c r="T300" s="110"/>
      <c r="U300" s="110"/>
      <c r="V300" s="110"/>
      <c r="W300" s="110"/>
      <c r="X300" s="110"/>
      <c r="Y300" s="110"/>
      <c r="Z300" s="110"/>
      <c r="AA300" s="110"/>
      <c r="AB300" s="110"/>
      <c r="AC300" s="110"/>
      <c r="AD300" s="110"/>
    </row>
    <row r="301">
      <c r="A301" s="118" t="s">
        <v>1783</v>
      </c>
      <c r="B301" s="112" t="s">
        <v>4642</v>
      </c>
      <c r="C301" s="112">
        <v>7.712425151E9</v>
      </c>
      <c r="D301" s="119" t="s">
        <v>4301</v>
      </c>
      <c r="E301" s="128">
        <v>45983.0</v>
      </c>
      <c r="F301" s="113" t="s">
        <v>4305</v>
      </c>
      <c r="G301" s="113" t="s">
        <v>4603</v>
      </c>
      <c r="H301" s="113"/>
      <c r="I301" s="114">
        <v>46013.0</v>
      </c>
      <c r="J301" s="132"/>
      <c r="K301" s="120" t="str">
        <f>IFERROR(__xludf.DUMMYFUNCTION("""COMPUTED_VALUE"""),"")</f>
        <v/>
      </c>
      <c r="L301" s="114">
        <f>IFERROR(__xludf.DUMMYFUNCTION("""COMPUTED_VALUE"""),46006.0)</f>
        <v>46006</v>
      </c>
      <c r="M301" s="116">
        <v>5.0</v>
      </c>
      <c r="N301" s="110"/>
      <c r="O301" s="110"/>
      <c r="P301" s="110"/>
      <c r="Q301" s="110"/>
      <c r="R301" s="110"/>
      <c r="S301" s="110"/>
      <c r="T301" s="110"/>
      <c r="U301" s="110"/>
      <c r="V301" s="110"/>
      <c r="W301" s="110"/>
      <c r="X301" s="110"/>
      <c r="Y301" s="110"/>
      <c r="Z301" s="110"/>
      <c r="AA301" s="110"/>
      <c r="AB301" s="110"/>
      <c r="AC301" s="110"/>
      <c r="AD301" s="110"/>
    </row>
    <row r="302">
      <c r="A302" s="118" t="s">
        <v>2121</v>
      </c>
      <c r="B302" s="112" t="s">
        <v>4643</v>
      </c>
      <c r="C302" s="112" t="s">
        <v>2129</v>
      </c>
      <c r="D302" s="119" t="s">
        <v>4301</v>
      </c>
      <c r="E302" s="128">
        <v>45983.0</v>
      </c>
      <c r="F302" s="113" t="s">
        <v>4305</v>
      </c>
      <c r="G302" s="113" t="s">
        <v>4603</v>
      </c>
      <c r="H302" s="113"/>
      <c r="I302" s="114">
        <v>46013.0</v>
      </c>
      <c r="J302" s="132"/>
      <c r="K302" s="120" t="str">
        <f>IFERROR(__xludf.DUMMYFUNCTION("""COMPUTED_VALUE"""),"")</f>
        <v/>
      </c>
      <c r="L302" s="114">
        <f>IFERROR(__xludf.DUMMYFUNCTION("""COMPUTED_VALUE"""),46006.0)</f>
        <v>46006</v>
      </c>
      <c r="M302" s="116">
        <v>5.0</v>
      </c>
      <c r="N302" s="110"/>
      <c r="O302" s="110"/>
      <c r="P302" s="110"/>
      <c r="Q302" s="110"/>
      <c r="R302" s="110"/>
      <c r="S302" s="110"/>
      <c r="T302" s="110"/>
      <c r="U302" s="110"/>
      <c r="V302" s="110"/>
      <c r="W302" s="110"/>
      <c r="X302" s="110"/>
      <c r="Y302" s="110"/>
      <c r="Z302" s="110"/>
      <c r="AA302" s="110"/>
      <c r="AB302" s="110"/>
      <c r="AC302" s="110"/>
      <c r="AD302" s="110"/>
    </row>
    <row r="303">
      <c r="A303" s="118" t="s">
        <v>2151</v>
      </c>
      <c r="B303" s="112" t="s">
        <v>4644</v>
      </c>
      <c r="C303" s="112" t="s">
        <v>2160</v>
      </c>
      <c r="D303" s="119" t="s">
        <v>4301</v>
      </c>
      <c r="E303" s="128">
        <v>45963.0</v>
      </c>
      <c r="F303" s="113" t="s">
        <v>4310</v>
      </c>
      <c r="G303" s="113" t="s">
        <v>4603</v>
      </c>
      <c r="H303" s="113"/>
      <c r="I303" s="114">
        <v>46013.0</v>
      </c>
      <c r="J303" s="132"/>
      <c r="K303" s="120" t="str">
        <f>IFERROR(__xludf.DUMMYFUNCTION("""COMPUTED_VALUE"""),"")</f>
        <v/>
      </c>
      <c r="L303" s="114">
        <f>IFERROR(__xludf.DUMMYFUNCTION("""COMPUTED_VALUE"""),46006.0)</f>
        <v>46006</v>
      </c>
      <c r="M303" s="116">
        <v>5.0</v>
      </c>
      <c r="N303" s="110"/>
      <c r="O303" s="110"/>
      <c r="P303" s="110"/>
      <c r="Q303" s="110"/>
      <c r="R303" s="110"/>
      <c r="S303" s="110"/>
      <c r="T303" s="110"/>
      <c r="U303" s="110"/>
      <c r="V303" s="110"/>
      <c r="W303" s="110"/>
      <c r="X303" s="110"/>
      <c r="Y303" s="110"/>
      <c r="Z303" s="110"/>
      <c r="AA303" s="110"/>
      <c r="AB303" s="110"/>
      <c r="AC303" s="110"/>
      <c r="AD303" s="110"/>
    </row>
    <row r="304">
      <c r="A304" s="118" t="s">
        <v>2622</v>
      </c>
      <c r="B304" s="112" t="s">
        <v>4645</v>
      </c>
      <c r="C304" s="112" t="s">
        <v>2631</v>
      </c>
      <c r="D304" s="119" t="s">
        <v>4301</v>
      </c>
      <c r="E304" s="128">
        <v>45980.0</v>
      </c>
      <c r="F304" s="113" t="s">
        <v>643</v>
      </c>
      <c r="G304" s="113" t="s">
        <v>4603</v>
      </c>
      <c r="H304" s="113"/>
      <c r="I304" s="114">
        <v>46013.0</v>
      </c>
      <c r="J304" s="132"/>
      <c r="K304" s="120" t="str">
        <f>IFERROR(__xludf.DUMMYFUNCTION("""COMPUTED_VALUE"""),"")</f>
        <v/>
      </c>
      <c r="L304" s="114">
        <f>IFERROR(__xludf.DUMMYFUNCTION("""COMPUTED_VALUE"""),46006.0)</f>
        <v>46006</v>
      </c>
      <c r="M304" s="116">
        <v>5.0</v>
      </c>
      <c r="N304" s="110"/>
      <c r="O304" s="110"/>
      <c r="P304" s="110"/>
      <c r="Q304" s="110"/>
      <c r="R304" s="110"/>
      <c r="S304" s="110"/>
      <c r="T304" s="110"/>
      <c r="U304" s="110"/>
      <c r="V304" s="110"/>
      <c r="W304" s="110"/>
      <c r="X304" s="110"/>
      <c r="Y304" s="110"/>
      <c r="Z304" s="110"/>
      <c r="AA304" s="110"/>
      <c r="AB304" s="110"/>
      <c r="AC304" s="110"/>
      <c r="AD304" s="110"/>
    </row>
    <row r="305">
      <c r="A305" s="118" t="s">
        <v>2675</v>
      </c>
      <c r="B305" s="112" t="s">
        <v>4646</v>
      </c>
      <c r="C305" s="112" t="s">
        <v>2679</v>
      </c>
      <c r="D305" s="119" t="s">
        <v>4301</v>
      </c>
      <c r="E305" s="128">
        <v>45985.0</v>
      </c>
      <c r="F305" s="113" t="s">
        <v>643</v>
      </c>
      <c r="G305" s="113" t="s">
        <v>4603</v>
      </c>
      <c r="H305" s="113"/>
      <c r="I305" s="114">
        <v>46013.0</v>
      </c>
      <c r="J305" s="132"/>
      <c r="K305" s="120" t="str">
        <f>IFERROR(__xludf.DUMMYFUNCTION("""COMPUTED_VALUE"""),"")</f>
        <v/>
      </c>
      <c r="L305" s="114">
        <f>IFERROR(__xludf.DUMMYFUNCTION("""COMPUTED_VALUE"""),46006.0)</f>
        <v>46006</v>
      </c>
      <c r="M305" s="116">
        <v>5.0</v>
      </c>
      <c r="N305" s="110"/>
      <c r="O305" s="110"/>
      <c r="P305" s="110"/>
      <c r="Q305" s="110"/>
      <c r="R305" s="110"/>
      <c r="S305" s="110"/>
      <c r="T305" s="110"/>
      <c r="U305" s="110"/>
      <c r="V305" s="110"/>
      <c r="W305" s="110"/>
      <c r="X305" s="110"/>
      <c r="Y305" s="110"/>
      <c r="Z305" s="110"/>
      <c r="AA305" s="110"/>
      <c r="AB305" s="110"/>
      <c r="AC305" s="110"/>
      <c r="AD305" s="110"/>
    </row>
    <row r="306">
      <c r="A306" s="118" t="s">
        <v>3686</v>
      </c>
      <c r="B306" s="112" t="s">
        <v>4647</v>
      </c>
      <c r="C306" s="112" t="s">
        <v>3692</v>
      </c>
      <c r="D306" s="119" t="s">
        <v>4301</v>
      </c>
      <c r="E306" s="128">
        <v>45985.0</v>
      </c>
      <c r="F306" s="113" t="s">
        <v>643</v>
      </c>
      <c r="G306" s="113" t="s">
        <v>4603</v>
      </c>
      <c r="H306" s="113"/>
      <c r="I306" s="114">
        <v>46013.0</v>
      </c>
      <c r="J306" s="132"/>
      <c r="K306" s="120" t="str">
        <f>IFERROR(__xludf.DUMMYFUNCTION("""COMPUTED_VALUE"""),"")</f>
        <v/>
      </c>
      <c r="L306" s="114">
        <f>IFERROR(__xludf.DUMMYFUNCTION("""COMPUTED_VALUE"""),46006.0)</f>
        <v>46006</v>
      </c>
      <c r="M306" s="116">
        <v>5.0</v>
      </c>
      <c r="N306" s="110"/>
      <c r="O306" s="110"/>
      <c r="P306" s="110"/>
      <c r="Q306" s="110"/>
      <c r="R306" s="110"/>
      <c r="S306" s="110"/>
      <c r="T306" s="110"/>
      <c r="U306" s="110"/>
      <c r="V306" s="110"/>
      <c r="W306" s="110"/>
      <c r="X306" s="110"/>
      <c r="Y306" s="110"/>
      <c r="Z306" s="110"/>
      <c r="AA306" s="110"/>
      <c r="AB306" s="110"/>
      <c r="AC306" s="110"/>
      <c r="AD306" s="110"/>
    </row>
    <row r="307">
      <c r="A307" s="118" t="s">
        <v>2622</v>
      </c>
      <c r="B307" s="112" t="s">
        <v>4648</v>
      </c>
      <c r="C307" s="112" t="s">
        <v>2631</v>
      </c>
      <c r="D307" s="119" t="s">
        <v>4301</v>
      </c>
      <c r="E307" s="128">
        <v>45980.0</v>
      </c>
      <c r="F307" s="113" t="s">
        <v>643</v>
      </c>
      <c r="G307" s="113" t="s">
        <v>4603</v>
      </c>
      <c r="H307" s="113"/>
      <c r="I307" s="114">
        <v>46013.0</v>
      </c>
      <c r="J307" s="132"/>
      <c r="K307" s="120" t="str">
        <f>IFERROR(__xludf.DUMMYFUNCTION("""COMPUTED_VALUE"""),"")</f>
        <v/>
      </c>
      <c r="L307" s="114">
        <f>IFERROR(__xludf.DUMMYFUNCTION("""COMPUTED_VALUE"""),46006.0)</f>
        <v>46006</v>
      </c>
      <c r="M307" s="116">
        <v>5.0</v>
      </c>
      <c r="N307" s="110"/>
      <c r="O307" s="110"/>
      <c r="P307" s="110"/>
      <c r="Q307" s="110"/>
      <c r="R307" s="110"/>
      <c r="S307" s="110"/>
      <c r="T307" s="110"/>
      <c r="U307" s="110"/>
      <c r="V307" s="110"/>
      <c r="W307" s="110"/>
      <c r="X307" s="110"/>
      <c r="Y307" s="110"/>
      <c r="Z307" s="110"/>
      <c r="AA307" s="110"/>
      <c r="AB307" s="110"/>
      <c r="AC307" s="110"/>
      <c r="AD307" s="110"/>
    </row>
    <row r="308">
      <c r="A308" s="118" t="s">
        <v>2675</v>
      </c>
      <c r="B308" s="112" t="s">
        <v>4649</v>
      </c>
      <c r="C308" s="112" t="s">
        <v>2679</v>
      </c>
      <c r="D308" s="119" t="s">
        <v>4301</v>
      </c>
      <c r="E308" s="128">
        <v>45985.0</v>
      </c>
      <c r="F308" s="113" t="s">
        <v>643</v>
      </c>
      <c r="G308" s="113" t="s">
        <v>4603</v>
      </c>
      <c r="H308" s="113"/>
      <c r="I308" s="114">
        <v>46013.0</v>
      </c>
      <c r="J308" s="132"/>
      <c r="K308" s="120" t="str">
        <f>IFERROR(__xludf.DUMMYFUNCTION("""COMPUTED_VALUE"""),"")</f>
        <v/>
      </c>
      <c r="L308" s="114">
        <f>IFERROR(__xludf.DUMMYFUNCTION("""COMPUTED_VALUE"""),46006.0)</f>
        <v>46006</v>
      </c>
      <c r="M308" s="116">
        <v>5.0</v>
      </c>
      <c r="N308" s="110"/>
      <c r="O308" s="110"/>
      <c r="P308" s="110"/>
      <c r="Q308" s="110"/>
      <c r="R308" s="110"/>
      <c r="S308" s="110"/>
      <c r="T308" s="110"/>
      <c r="U308" s="110"/>
      <c r="V308" s="110"/>
      <c r="W308" s="110"/>
      <c r="X308" s="110"/>
      <c r="Y308" s="110"/>
      <c r="Z308" s="110"/>
      <c r="AA308" s="110"/>
      <c r="AB308" s="110"/>
      <c r="AC308" s="110"/>
      <c r="AD308" s="110"/>
    </row>
    <row r="309">
      <c r="A309" s="118" t="s">
        <v>4144</v>
      </c>
      <c r="B309" s="112" t="s">
        <v>4650</v>
      </c>
      <c r="C309" s="112" t="s">
        <v>4149</v>
      </c>
      <c r="D309" s="119" t="s">
        <v>4301</v>
      </c>
      <c r="E309" s="128">
        <v>45985.0</v>
      </c>
      <c r="F309" s="113" t="s">
        <v>643</v>
      </c>
      <c r="G309" s="113" t="s">
        <v>4603</v>
      </c>
      <c r="H309" s="113"/>
      <c r="I309" s="114">
        <v>46013.0</v>
      </c>
      <c r="J309" s="132"/>
      <c r="K309" s="120" t="str">
        <f>IFERROR(__xludf.DUMMYFUNCTION("""COMPUTED_VALUE"""),"")</f>
        <v/>
      </c>
      <c r="L309" s="114">
        <f>IFERROR(__xludf.DUMMYFUNCTION("""COMPUTED_VALUE"""),46006.0)</f>
        <v>46006</v>
      </c>
      <c r="M309" s="116">
        <v>5.0</v>
      </c>
      <c r="N309" s="110"/>
      <c r="O309" s="110"/>
      <c r="P309" s="110"/>
      <c r="Q309" s="110"/>
      <c r="R309" s="110"/>
      <c r="S309" s="110"/>
      <c r="T309" s="110"/>
      <c r="U309" s="110"/>
      <c r="V309" s="110"/>
      <c r="W309" s="110"/>
      <c r="X309" s="110"/>
      <c r="Y309" s="110"/>
      <c r="Z309" s="110"/>
      <c r="AA309" s="110"/>
      <c r="AB309" s="110"/>
      <c r="AC309" s="110"/>
      <c r="AD309" s="110"/>
    </row>
    <row r="310">
      <c r="A310" s="118" t="s">
        <v>2527</v>
      </c>
      <c r="B310" s="112" t="s">
        <v>4651</v>
      </c>
      <c r="C310" s="112" t="s">
        <v>2533</v>
      </c>
      <c r="D310" s="119" t="s">
        <v>4301</v>
      </c>
      <c r="E310" s="128">
        <v>45980.0</v>
      </c>
      <c r="F310" s="113" t="s">
        <v>643</v>
      </c>
      <c r="G310" s="113" t="s">
        <v>4603</v>
      </c>
      <c r="H310" s="113"/>
      <c r="I310" s="114">
        <v>46014.0</v>
      </c>
      <c r="J310" s="132"/>
      <c r="K310" s="120" t="str">
        <f>IFERROR(__xludf.DUMMYFUNCTION("""COMPUTED_VALUE"""),"")</f>
        <v/>
      </c>
      <c r="L310" s="114">
        <f>IFERROR(__xludf.DUMMYFUNCTION("""COMPUTED_VALUE"""),46007.0)</f>
        <v>46007</v>
      </c>
      <c r="M310" s="116">
        <v>5.0</v>
      </c>
      <c r="N310" s="110"/>
      <c r="O310" s="110"/>
      <c r="P310" s="110"/>
      <c r="Q310" s="110"/>
      <c r="R310" s="110"/>
      <c r="S310" s="110"/>
      <c r="T310" s="110"/>
      <c r="U310" s="110"/>
      <c r="V310" s="110"/>
      <c r="W310" s="110"/>
      <c r="X310" s="110"/>
      <c r="Y310" s="110"/>
      <c r="Z310" s="110"/>
      <c r="AA310" s="110"/>
      <c r="AB310" s="110"/>
      <c r="AC310" s="110"/>
      <c r="AD310" s="110"/>
    </row>
    <row r="311">
      <c r="A311" s="118" t="s">
        <v>2982</v>
      </c>
      <c r="B311" s="112" t="s">
        <v>4652</v>
      </c>
      <c r="C311" s="112" t="s">
        <v>2986</v>
      </c>
      <c r="D311" s="119" t="s">
        <v>4301</v>
      </c>
      <c r="E311" s="128"/>
      <c r="F311" s="113" t="s">
        <v>31</v>
      </c>
      <c r="G311" s="113" t="s">
        <v>4603</v>
      </c>
      <c r="H311" s="113"/>
      <c r="I311" s="114">
        <v>46014.0</v>
      </c>
      <c r="J311" s="132"/>
      <c r="K311" s="120" t="str">
        <f>IFERROR(__xludf.DUMMYFUNCTION("""COMPUTED_VALUE"""),"")</f>
        <v/>
      </c>
      <c r="L311" s="114">
        <f>IFERROR(__xludf.DUMMYFUNCTION("""COMPUTED_VALUE"""),46007.0)</f>
        <v>46007</v>
      </c>
      <c r="M311" s="116">
        <v>5.0</v>
      </c>
      <c r="N311" s="110"/>
      <c r="O311" s="110"/>
      <c r="P311" s="110"/>
      <c r="Q311" s="110"/>
      <c r="R311" s="110"/>
      <c r="S311" s="110"/>
      <c r="T311" s="110"/>
      <c r="U311" s="110"/>
      <c r="V311" s="110"/>
      <c r="W311" s="110"/>
      <c r="X311" s="110"/>
      <c r="Y311" s="110"/>
      <c r="Z311" s="110"/>
      <c r="AA311" s="110"/>
      <c r="AB311" s="110"/>
      <c r="AC311" s="110"/>
      <c r="AD311" s="110"/>
    </row>
    <row r="312">
      <c r="A312" s="118" t="s">
        <v>2527</v>
      </c>
      <c r="B312" s="112" t="s">
        <v>4651</v>
      </c>
      <c r="C312" s="112" t="s">
        <v>2533</v>
      </c>
      <c r="D312" s="119" t="s">
        <v>4301</v>
      </c>
      <c r="E312" s="128">
        <v>45980.0</v>
      </c>
      <c r="F312" s="113" t="s">
        <v>643</v>
      </c>
      <c r="G312" s="113" t="s">
        <v>4603</v>
      </c>
      <c r="H312" s="113"/>
      <c r="I312" s="114">
        <v>46014.0</v>
      </c>
      <c r="J312" s="132"/>
      <c r="K312" s="120" t="str">
        <f>IFERROR(__xludf.DUMMYFUNCTION("""COMPUTED_VALUE"""),"")</f>
        <v/>
      </c>
      <c r="L312" s="114">
        <f>IFERROR(__xludf.DUMMYFUNCTION("""COMPUTED_VALUE"""),46007.0)</f>
        <v>46007</v>
      </c>
      <c r="M312" s="116">
        <v>5.0</v>
      </c>
      <c r="N312" s="110"/>
      <c r="O312" s="110"/>
      <c r="P312" s="110"/>
      <c r="Q312" s="110"/>
      <c r="R312" s="110"/>
      <c r="S312" s="110"/>
      <c r="T312" s="110"/>
      <c r="U312" s="110"/>
      <c r="V312" s="110"/>
      <c r="W312" s="110"/>
      <c r="X312" s="110"/>
      <c r="Y312" s="110"/>
      <c r="Z312" s="110"/>
      <c r="AA312" s="110"/>
      <c r="AB312" s="110"/>
      <c r="AC312" s="110"/>
      <c r="AD312" s="110"/>
    </row>
    <row r="313">
      <c r="A313" s="118" t="s">
        <v>3824</v>
      </c>
      <c r="B313" s="112" t="s">
        <v>4653</v>
      </c>
      <c r="C313" s="112" t="s">
        <v>3827</v>
      </c>
      <c r="D313" s="119" t="s">
        <v>4301</v>
      </c>
      <c r="E313" s="128">
        <v>45985.0</v>
      </c>
      <c r="F313" s="113" t="s">
        <v>643</v>
      </c>
      <c r="G313" s="113" t="s">
        <v>4603</v>
      </c>
      <c r="H313" s="113"/>
      <c r="I313" s="114">
        <v>46014.0</v>
      </c>
      <c r="J313" s="132"/>
      <c r="K313" s="120" t="str">
        <f>IFERROR(__xludf.DUMMYFUNCTION("""COMPUTED_VALUE"""),"")</f>
        <v/>
      </c>
      <c r="L313" s="114">
        <f>IFERROR(__xludf.DUMMYFUNCTION("""COMPUTED_VALUE"""),46007.0)</f>
        <v>46007</v>
      </c>
      <c r="M313" s="116">
        <v>5.0</v>
      </c>
      <c r="N313" s="110"/>
      <c r="O313" s="110"/>
      <c r="P313" s="110"/>
      <c r="Q313" s="110"/>
      <c r="R313" s="110"/>
      <c r="S313" s="110"/>
      <c r="T313" s="110"/>
      <c r="U313" s="110"/>
      <c r="V313" s="110"/>
      <c r="W313" s="110"/>
      <c r="X313" s="110"/>
      <c r="Y313" s="110"/>
      <c r="Z313" s="110"/>
      <c r="AA313" s="110"/>
      <c r="AB313" s="110"/>
      <c r="AC313" s="110"/>
      <c r="AD313" s="110"/>
    </row>
    <row r="314">
      <c r="A314" s="118" t="s">
        <v>3910</v>
      </c>
      <c r="B314" s="112" t="s">
        <v>4654</v>
      </c>
      <c r="C314" s="112" t="s">
        <v>3915</v>
      </c>
      <c r="D314" s="119" t="s">
        <v>4301</v>
      </c>
      <c r="E314" s="128">
        <v>45985.0</v>
      </c>
      <c r="F314" s="113" t="s">
        <v>643</v>
      </c>
      <c r="G314" s="113" t="s">
        <v>4603</v>
      </c>
      <c r="H314" s="113"/>
      <c r="I314" s="114">
        <v>46014.0</v>
      </c>
      <c r="J314" s="132"/>
      <c r="K314" s="120" t="str">
        <f>IFERROR(__xludf.DUMMYFUNCTION("""COMPUTED_VALUE"""),"")</f>
        <v/>
      </c>
      <c r="L314" s="114">
        <f>IFERROR(__xludf.DUMMYFUNCTION("""COMPUTED_VALUE"""),46007.0)</f>
        <v>46007</v>
      </c>
      <c r="M314" s="116">
        <v>5.0</v>
      </c>
      <c r="N314" s="110"/>
      <c r="O314" s="110"/>
      <c r="P314" s="110"/>
      <c r="Q314" s="110"/>
      <c r="R314" s="110"/>
      <c r="S314" s="110"/>
      <c r="T314" s="110"/>
      <c r="U314" s="110"/>
      <c r="V314" s="110"/>
      <c r="W314" s="110"/>
      <c r="X314" s="110"/>
      <c r="Y314" s="110"/>
      <c r="Z314" s="110"/>
      <c r="AA314" s="110"/>
      <c r="AB314" s="110"/>
      <c r="AC314" s="110"/>
      <c r="AD314" s="110"/>
    </row>
    <row r="315">
      <c r="A315" s="118" t="s">
        <v>3991</v>
      </c>
      <c r="B315" s="112" t="s">
        <v>4655</v>
      </c>
      <c r="C315" s="112" t="s">
        <v>3996</v>
      </c>
      <c r="D315" s="119" t="s">
        <v>4301</v>
      </c>
      <c r="E315" s="128">
        <v>45980.0</v>
      </c>
      <c r="F315" s="113" t="s">
        <v>643</v>
      </c>
      <c r="G315" s="113" t="s">
        <v>4603</v>
      </c>
      <c r="H315" s="113"/>
      <c r="I315" s="114">
        <v>46017.0</v>
      </c>
      <c r="J315" s="132"/>
      <c r="K315" s="120" t="str">
        <f>IFERROR(__xludf.DUMMYFUNCTION("""COMPUTED_VALUE"""),"")</f>
        <v/>
      </c>
      <c r="L315" s="114">
        <f>IFERROR(__xludf.DUMMYFUNCTION("""COMPUTED_VALUE"""),46010.0)</f>
        <v>46010</v>
      </c>
      <c r="M315" s="116">
        <v>5.0</v>
      </c>
      <c r="N315" s="110"/>
      <c r="O315" s="110"/>
      <c r="P315" s="110"/>
      <c r="Q315" s="110"/>
      <c r="R315" s="110"/>
      <c r="S315" s="110"/>
      <c r="T315" s="110"/>
      <c r="U315" s="110"/>
      <c r="V315" s="110"/>
      <c r="W315" s="110"/>
      <c r="X315" s="110"/>
      <c r="Y315" s="110"/>
      <c r="Z315" s="110"/>
      <c r="AA315" s="110"/>
      <c r="AB315" s="110"/>
      <c r="AC315" s="110"/>
      <c r="AD315" s="110"/>
    </row>
    <row r="316">
      <c r="A316" s="118" t="s">
        <v>4050</v>
      </c>
      <c r="B316" s="112" t="s">
        <v>4656</v>
      </c>
      <c r="C316" s="112" t="s">
        <v>4056</v>
      </c>
      <c r="D316" s="119" t="s">
        <v>4301</v>
      </c>
      <c r="E316" s="128">
        <v>45991.0</v>
      </c>
      <c r="F316" s="113" t="s">
        <v>643</v>
      </c>
      <c r="G316" s="113" t="s">
        <v>4603</v>
      </c>
      <c r="H316" s="113"/>
      <c r="I316" s="114">
        <v>46030.0</v>
      </c>
      <c r="J316" s="132"/>
      <c r="K316" s="120" t="str">
        <f>IFERROR(__xludf.DUMMYFUNCTION("""COMPUTED_VALUE"""),"")</f>
        <v/>
      </c>
      <c r="L316" s="114">
        <f>IFERROR(__xludf.DUMMYFUNCTION("""COMPUTED_VALUE"""),46023.0)</f>
        <v>46023</v>
      </c>
      <c r="M316" s="116">
        <v>5.0</v>
      </c>
      <c r="N316" s="110"/>
      <c r="O316" s="110"/>
      <c r="P316" s="110"/>
      <c r="Q316" s="110"/>
      <c r="R316" s="110"/>
      <c r="S316" s="110"/>
      <c r="T316" s="110"/>
      <c r="U316" s="110"/>
      <c r="V316" s="110"/>
      <c r="W316" s="110"/>
      <c r="X316" s="110"/>
      <c r="Y316" s="110"/>
      <c r="Z316" s="110"/>
      <c r="AA316" s="110"/>
      <c r="AB316" s="110"/>
      <c r="AC316" s="110"/>
      <c r="AD316" s="110"/>
    </row>
    <row r="317">
      <c r="A317" s="118" t="s">
        <v>3557</v>
      </c>
      <c r="B317" s="112" t="s">
        <v>4657</v>
      </c>
      <c r="C317" s="112" t="s">
        <v>3565</v>
      </c>
      <c r="D317" s="119" t="s">
        <v>4301</v>
      </c>
      <c r="E317" s="128">
        <v>45991.0</v>
      </c>
      <c r="F317" s="113" t="s">
        <v>643</v>
      </c>
      <c r="G317" s="113" t="s">
        <v>4603</v>
      </c>
      <c r="H317" s="113"/>
      <c r="I317" s="114">
        <v>46031.0</v>
      </c>
      <c r="J317" s="132">
        <v>1.0</v>
      </c>
      <c r="K317" s="120" t="str">
        <f>IFERROR(__xludf.DUMMYFUNCTION("""COMPUTED_VALUE"""),"")</f>
        <v/>
      </c>
      <c r="L317" s="114">
        <f>IFERROR(__xludf.DUMMYFUNCTION("""COMPUTED_VALUE"""),46024.0)</f>
        <v>46024</v>
      </c>
      <c r="M317" s="116">
        <v>5.0</v>
      </c>
      <c r="N317" s="110"/>
      <c r="O317" s="110"/>
      <c r="P317" s="110"/>
      <c r="Q317" s="110"/>
      <c r="R317" s="110"/>
      <c r="S317" s="110"/>
      <c r="T317" s="110"/>
      <c r="U317" s="110"/>
      <c r="V317" s="110"/>
      <c r="W317" s="110"/>
      <c r="X317" s="110"/>
      <c r="Y317" s="110"/>
      <c r="Z317" s="110"/>
      <c r="AA317" s="110"/>
      <c r="AB317" s="110"/>
      <c r="AC317" s="110"/>
      <c r="AD317" s="110"/>
    </row>
    <row r="318">
      <c r="A318" s="118" t="s">
        <v>3754</v>
      </c>
      <c r="B318" s="112" t="s">
        <v>4658</v>
      </c>
      <c r="C318" s="112" t="s">
        <v>3760</v>
      </c>
      <c r="D318" s="119" t="s">
        <v>4301</v>
      </c>
      <c r="E318" s="128">
        <v>45991.0</v>
      </c>
      <c r="F318" s="113" t="s">
        <v>643</v>
      </c>
      <c r="G318" s="113" t="s">
        <v>4603</v>
      </c>
      <c r="H318" s="113"/>
      <c r="I318" s="114">
        <v>46031.0</v>
      </c>
      <c r="J318" s="132">
        <v>1.0</v>
      </c>
      <c r="K318" s="120" t="str">
        <f>IFERROR(__xludf.DUMMYFUNCTION("""COMPUTED_VALUE"""),"")</f>
        <v/>
      </c>
      <c r="L318" s="114">
        <f>IFERROR(__xludf.DUMMYFUNCTION("""COMPUTED_VALUE"""),46024.0)</f>
        <v>46024</v>
      </c>
      <c r="M318" s="116">
        <v>5.0</v>
      </c>
      <c r="N318" s="110"/>
      <c r="O318" s="110"/>
      <c r="P318" s="110"/>
      <c r="Q318" s="110"/>
      <c r="R318" s="110"/>
      <c r="S318" s="110"/>
      <c r="T318" s="110"/>
      <c r="U318" s="110"/>
      <c r="V318" s="110"/>
      <c r="W318" s="110"/>
      <c r="X318" s="110"/>
      <c r="Y318" s="110"/>
      <c r="Z318" s="110"/>
      <c r="AA318" s="110"/>
      <c r="AB318" s="110"/>
      <c r="AC318" s="110"/>
      <c r="AD318" s="110"/>
    </row>
    <row r="319">
      <c r="A319" s="118" t="s">
        <v>4069</v>
      </c>
      <c r="B319" s="112" t="s">
        <v>4659</v>
      </c>
      <c r="C319" s="112" t="s">
        <v>4073</v>
      </c>
      <c r="D319" s="119" t="s">
        <v>4301</v>
      </c>
      <c r="E319" s="128">
        <v>45991.0</v>
      </c>
      <c r="F319" s="113" t="s">
        <v>643</v>
      </c>
      <c r="G319" s="113" t="s">
        <v>4603</v>
      </c>
      <c r="H319" s="113"/>
      <c r="I319" s="114">
        <v>46031.0</v>
      </c>
      <c r="J319" s="132"/>
      <c r="K319" s="120" t="str">
        <f>IFERROR(__xludf.DUMMYFUNCTION("""COMPUTED_VALUE"""),"")</f>
        <v/>
      </c>
      <c r="L319" s="114">
        <f>IFERROR(__xludf.DUMMYFUNCTION("""COMPUTED_VALUE"""),46024.0)</f>
        <v>46024</v>
      </c>
      <c r="M319" s="116">
        <v>5.0</v>
      </c>
      <c r="N319" s="110"/>
      <c r="O319" s="110"/>
      <c r="P319" s="110"/>
      <c r="Q319" s="110"/>
      <c r="R319" s="110"/>
      <c r="S319" s="110"/>
      <c r="T319" s="110"/>
      <c r="U319" s="110"/>
      <c r="V319" s="110"/>
      <c r="W319" s="110"/>
      <c r="X319" s="110"/>
      <c r="Y319" s="110"/>
      <c r="Z319" s="110"/>
      <c r="AA319" s="110"/>
      <c r="AB319" s="110"/>
      <c r="AC319" s="110"/>
      <c r="AD319" s="110"/>
    </row>
    <row r="320">
      <c r="A320" s="118" t="s">
        <v>4133</v>
      </c>
      <c r="B320" s="112" t="s">
        <v>4660</v>
      </c>
      <c r="C320" s="112" t="s">
        <v>4141</v>
      </c>
      <c r="D320" s="119" t="s">
        <v>4301</v>
      </c>
      <c r="E320" s="128">
        <v>45991.0</v>
      </c>
      <c r="F320" s="113" t="s">
        <v>643</v>
      </c>
      <c r="G320" s="113" t="s">
        <v>4603</v>
      </c>
      <c r="H320" s="113"/>
      <c r="I320" s="114">
        <v>46031.0</v>
      </c>
      <c r="J320" s="132"/>
      <c r="K320" s="120" t="str">
        <f>IFERROR(__xludf.DUMMYFUNCTION("""COMPUTED_VALUE"""),"")</f>
        <v/>
      </c>
      <c r="L320" s="114">
        <f>IFERROR(__xludf.DUMMYFUNCTION("""COMPUTED_VALUE"""),46024.0)</f>
        <v>46024</v>
      </c>
      <c r="M320" s="116">
        <v>5.0</v>
      </c>
      <c r="N320" s="110"/>
      <c r="O320" s="110"/>
      <c r="P320" s="110"/>
      <c r="Q320" s="110"/>
      <c r="R320" s="110"/>
      <c r="S320" s="110"/>
      <c r="T320" s="110"/>
      <c r="U320" s="110"/>
      <c r="V320" s="110"/>
      <c r="W320" s="110"/>
      <c r="X320" s="110"/>
      <c r="Y320" s="110"/>
      <c r="Z320" s="110"/>
      <c r="AA320" s="110"/>
      <c r="AB320" s="110"/>
      <c r="AC320" s="110"/>
      <c r="AD320" s="110"/>
    </row>
    <row r="321">
      <c r="A321" s="118" t="s">
        <v>4117</v>
      </c>
      <c r="B321" s="112" t="s">
        <v>4661</v>
      </c>
      <c r="C321" s="112" t="s">
        <v>4122</v>
      </c>
      <c r="D321" s="119" t="s">
        <v>4301</v>
      </c>
      <c r="E321" s="128">
        <v>45985.0</v>
      </c>
      <c r="F321" s="113" t="s">
        <v>643</v>
      </c>
      <c r="G321" s="113" t="s">
        <v>4603</v>
      </c>
      <c r="H321" s="113"/>
      <c r="I321" s="114">
        <v>46037.0</v>
      </c>
      <c r="J321" s="132">
        <v>1.0</v>
      </c>
      <c r="K321" s="120" t="str">
        <f>IFERROR(__xludf.DUMMYFUNCTION("""COMPUTED_VALUE"""),"")</f>
        <v/>
      </c>
      <c r="L321" s="114">
        <f>IFERROR(__xludf.DUMMYFUNCTION("""COMPUTED_VALUE"""),46030.0)</f>
        <v>46030</v>
      </c>
      <c r="M321" s="116">
        <v>5.0</v>
      </c>
      <c r="N321" s="110"/>
      <c r="O321" s="110"/>
      <c r="P321" s="110"/>
      <c r="Q321" s="110"/>
      <c r="R321" s="110"/>
      <c r="S321" s="110"/>
      <c r="T321" s="110"/>
      <c r="U321" s="110"/>
      <c r="V321" s="110"/>
      <c r="W321" s="110"/>
      <c r="X321" s="110"/>
      <c r="Y321" s="110"/>
      <c r="Z321" s="110"/>
      <c r="AA321" s="110"/>
      <c r="AB321" s="110"/>
      <c r="AC321" s="110"/>
      <c r="AD321" s="110"/>
    </row>
    <row r="322">
      <c r="A322" s="118" t="s">
        <v>4086</v>
      </c>
      <c r="B322" s="112" t="s">
        <v>4662</v>
      </c>
      <c r="C322" s="112" t="s">
        <v>4090</v>
      </c>
      <c r="D322" s="119" t="s">
        <v>4301</v>
      </c>
      <c r="E322" s="128">
        <v>45991.0</v>
      </c>
      <c r="F322" s="113" t="s">
        <v>643</v>
      </c>
      <c r="G322" s="113" t="s">
        <v>4603</v>
      </c>
      <c r="H322" s="113"/>
      <c r="I322" s="114">
        <v>46038.0</v>
      </c>
      <c r="J322" s="132"/>
      <c r="K322" s="120" t="str">
        <f>IFERROR(__xludf.DUMMYFUNCTION("""COMPUTED_VALUE"""),"")</f>
        <v/>
      </c>
      <c r="L322" s="114">
        <f>IFERROR(__xludf.DUMMYFUNCTION("""COMPUTED_VALUE"""),46031.0)</f>
        <v>46031</v>
      </c>
      <c r="M322" s="116">
        <v>5.0</v>
      </c>
      <c r="N322" s="110"/>
      <c r="O322" s="110"/>
      <c r="P322" s="110"/>
      <c r="Q322" s="110"/>
      <c r="R322" s="110"/>
      <c r="S322" s="110"/>
      <c r="T322" s="110"/>
      <c r="U322" s="110"/>
      <c r="V322" s="110"/>
      <c r="W322" s="110"/>
      <c r="X322" s="110"/>
      <c r="Y322" s="110"/>
      <c r="Z322" s="110"/>
      <c r="AA322" s="110"/>
      <c r="AB322" s="110"/>
      <c r="AC322" s="110"/>
      <c r="AD322" s="110"/>
    </row>
    <row r="323">
      <c r="A323" s="118" t="s">
        <v>1423</v>
      </c>
      <c r="B323" s="112" t="s">
        <v>4663</v>
      </c>
      <c r="C323" s="112">
        <v>2.027062282E9</v>
      </c>
      <c r="D323" s="119" t="s">
        <v>4301</v>
      </c>
      <c r="E323" s="128">
        <v>45995.0</v>
      </c>
      <c r="F323" s="113" t="s">
        <v>31</v>
      </c>
      <c r="G323" s="113" t="s">
        <v>4603</v>
      </c>
      <c r="H323" s="113"/>
      <c r="I323" s="114">
        <v>46045.0</v>
      </c>
      <c r="J323" s="132"/>
      <c r="K323" s="120" t="str">
        <f>IFERROR(__xludf.DUMMYFUNCTION("""COMPUTED_VALUE"""),"")</f>
        <v/>
      </c>
      <c r="L323" s="114">
        <f>IFERROR(__xludf.DUMMYFUNCTION("""COMPUTED_VALUE"""),46038.0)</f>
        <v>46038</v>
      </c>
      <c r="M323" s="116">
        <v>5.0</v>
      </c>
      <c r="N323" s="110"/>
      <c r="O323" s="110"/>
      <c r="P323" s="110"/>
      <c r="Q323" s="110"/>
      <c r="R323" s="110"/>
      <c r="S323" s="110"/>
      <c r="T323" s="110"/>
      <c r="U323" s="110"/>
      <c r="V323" s="110"/>
      <c r="W323" s="110"/>
      <c r="X323" s="110"/>
      <c r="Y323" s="110"/>
      <c r="Z323" s="110"/>
      <c r="AA323" s="110"/>
      <c r="AB323" s="110"/>
      <c r="AC323" s="110"/>
      <c r="AD323" s="110"/>
    </row>
    <row r="324">
      <c r="A324" s="118" t="s">
        <v>2325</v>
      </c>
      <c r="B324" s="112" t="s">
        <v>4664</v>
      </c>
      <c r="C324" s="112" t="s">
        <v>2330</v>
      </c>
      <c r="D324" s="119" t="s">
        <v>4301</v>
      </c>
      <c r="E324" s="128">
        <v>45995.0</v>
      </c>
      <c r="F324" s="113" t="s">
        <v>31</v>
      </c>
      <c r="G324" s="113" t="s">
        <v>4603</v>
      </c>
      <c r="H324" s="113"/>
      <c r="I324" s="114">
        <v>46045.0</v>
      </c>
      <c r="J324" s="132"/>
      <c r="K324" s="120" t="str">
        <f>IFERROR(__xludf.DUMMYFUNCTION("""COMPUTED_VALUE"""),"")</f>
        <v/>
      </c>
      <c r="L324" s="114">
        <f>IFERROR(__xludf.DUMMYFUNCTION("""COMPUTED_VALUE"""),46038.0)</f>
        <v>46038</v>
      </c>
      <c r="M324" s="116">
        <v>5.0</v>
      </c>
      <c r="N324" s="110"/>
      <c r="O324" s="110"/>
      <c r="P324" s="110"/>
      <c r="Q324" s="110"/>
      <c r="R324" s="110"/>
      <c r="S324" s="110"/>
      <c r="T324" s="110"/>
      <c r="U324" s="110"/>
      <c r="V324" s="110"/>
      <c r="W324" s="110"/>
      <c r="X324" s="110"/>
      <c r="Y324" s="110"/>
      <c r="Z324" s="110"/>
      <c r="AA324" s="110"/>
      <c r="AB324" s="110"/>
      <c r="AC324" s="110"/>
      <c r="AD324" s="110"/>
    </row>
    <row r="325">
      <c r="A325" s="118" t="s">
        <v>2001</v>
      </c>
      <c r="B325" s="112" t="s">
        <v>4665</v>
      </c>
      <c r="C325" s="112" t="s">
        <v>2005</v>
      </c>
      <c r="D325" s="119" t="s">
        <v>4301</v>
      </c>
      <c r="E325" s="128">
        <v>45999.0</v>
      </c>
      <c r="F325" s="113" t="s">
        <v>4305</v>
      </c>
      <c r="G325" s="113" t="s">
        <v>4603</v>
      </c>
      <c r="H325" s="113"/>
      <c r="I325" s="114">
        <v>46059.0</v>
      </c>
      <c r="J325" s="132"/>
      <c r="K325" s="120" t="str">
        <f>IFERROR(__xludf.DUMMYFUNCTION("""COMPUTED_VALUE"""),"")</f>
        <v/>
      </c>
      <c r="L325" s="114">
        <f>IFERROR(__xludf.DUMMYFUNCTION("""COMPUTED_VALUE"""),46052.0)</f>
        <v>46052</v>
      </c>
      <c r="M325" s="116">
        <v>5.0</v>
      </c>
      <c r="N325" s="110"/>
      <c r="O325" s="110"/>
      <c r="P325" s="110"/>
      <c r="Q325" s="110"/>
      <c r="R325" s="110"/>
      <c r="S325" s="110"/>
      <c r="T325" s="110"/>
      <c r="U325" s="110"/>
      <c r="V325" s="110"/>
      <c r="W325" s="110"/>
      <c r="X325" s="110"/>
      <c r="Y325" s="110"/>
      <c r="Z325" s="110"/>
      <c r="AA325" s="110"/>
      <c r="AB325" s="110"/>
      <c r="AC325" s="110"/>
      <c r="AD325" s="110"/>
    </row>
    <row r="326">
      <c r="A326" s="118" t="s">
        <v>680</v>
      </c>
      <c r="B326" s="112" t="s">
        <v>4666</v>
      </c>
      <c r="C326" s="112" t="s">
        <v>685</v>
      </c>
      <c r="D326" s="119" t="s">
        <v>4301</v>
      </c>
      <c r="E326" s="128">
        <v>45995.0</v>
      </c>
      <c r="F326" s="113" t="s">
        <v>31</v>
      </c>
      <c r="G326" s="113" t="s">
        <v>4603</v>
      </c>
      <c r="H326" s="113"/>
      <c r="I326" s="114">
        <v>46065.0</v>
      </c>
      <c r="J326" s="132"/>
      <c r="K326" s="120" t="str">
        <f>IFERROR(__xludf.DUMMYFUNCTION("""COMPUTED_VALUE"""),"")</f>
        <v/>
      </c>
      <c r="L326" s="114">
        <f>IFERROR(__xludf.DUMMYFUNCTION("""COMPUTED_VALUE"""),46058.0)</f>
        <v>46058</v>
      </c>
      <c r="M326" s="116">
        <v>5.0</v>
      </c>
      <c r="N326" s="110"/>
      <c r="O326" s="110"/>
      <c r="P326" s="110"/>
      <c r="Q326" s="110"/>
      <c r="R326" s="110"/>
      <c r="S326" s="110"/>
      <c r="T326" s="110"/>
      <c r="U326" s="110"/>
      <c r="V326" s="110"/>
      <c r="W326" s="110"/>
      <c r="X326" s="110"/>
      <c r="Y326" s="110"/>
      <c r="Z326" s="110"/>
      <c r="AA326" s="110"/>
      <c r="AB326" s="110"/>
      <c r="AC326" s="110"/>
      <c r="AD326" s="110"/>
    </row>
    <row r="327">
      <c r="A327" s="118" t="s">
        <v>1006</v>
      </c>
      <c r="B327" s="112" t="s">
        <v>4667</v>
      </c>
      <c r="C327" s="112">
        <v>2.025384443E9</v>
      </c>
      <c r="D327" s="119" t="s">
        <v>4301</v>
      </c>
      <c r="E327" s="128">
        <v>45995.0</v>
      </c>
      <c r="F327" s="113" t="s">
        <v>31</v>
      </c>
      <c r="G327" s="113" t="s">
        <v>4603</v>
      </c>
      <c r="H327" s="113"/>
      <c r="I327" s="114">
        <v>46066.0</v>
      </c>
      <c r="J327" s="132"/>
      <c r="K327" s="120" t="str">
        <f>IFERROR(__xludf.DUMMYFUNCTION("""COMPUTED_VALUE"""),"")</f>
        <v/>
      </c>
      <c r="L327" s="114">
        <f>IFERROR(__xludf.DUMMYFUNCTION("""COMPUTED_VALUE"""),46059.0)</f>
        <v>46059</v>
      </c>
      <c r="M327" s="116">
        <v>5.0</v>
      </c>
      <c r="N327" s="110"/>
      <c r="O327" s="110"/>
      <c r="P327" s="110"/>
      <c r="Q327" s="110"/>
      <c r="R327" s="110"/>
      <c r="S327" s="110"/>
      <c r="T327" s="110"/>
      <c r="U327" s="110"/>
      <c r="V327" s="110"/>
      <c r="W327" s="110"/>
      <c r="X327" s="110"/>
      <c r="Y327" s="110"/>
      <c r="Z327" s="110"/>
      <c r="AA327" s="110"/>
      <c r="AB327" s="110"/>
      <c r="AC327" s="110"/>
      <c r="AD327" s="110"/>
    </row>
    <row r="328">
      <c r="A328" s="118" t="s">
        <v>2071</v>
      </c>
      <c r="B328" s="112" t="s">
        <v>4668</v>
      </c>
      <c r="C328" s="112" t="s">
        <v>2079</v>
      </c>
      <c r="D328" s="119" t="s">
        <v>4301</v>
      </c>
      <c r="E328" s="128">
        <v>45995.0</v>
      </c>
      <c r="F328" s="113" t="s">
        <v>31</v>
      </c>
      <c r="G328" s="113" t="s">
        <v>4603</v>
      </c>
      <c r="H328" s="113"/>
      <c r="I328" s="114">
        <v>46072.0</v>
      </c>
      <c r="J328" s="132"/>
      <c r="K328" s="120" t="str">
        <f>IFERROR(__xludf.DUMMYFUNCTION("""COMPUTED_VALUE"""),"")</f>
        <v/>
      </c>
      <c r="L328" s="114">
        <f>IFERROR(__xludf.DUMMYFUNCTION("""COMPUTED_VALUE"""),46065.0)</f>
        <v>46065</v>
      </c>
      <c r="M328" s="116">
        <v>5.0</v>
      </c>
      <c r="N328" s="110"/>
      <c r="O328" s="110"/>
      <c r="P328" s="110"/>
      <c r="Q328" s="110"/>
      <c r="R328" s="110"/>
      <c r="S328" s="110"/>
      <c r="T328" s="110"/>
      <c r="U328" s="110"/>
      <c r="V328" s="110"/>
      <c r="W328" s="110"/>
      <c r="X328" s="110"/>
      <c r="Y328" s="110"/>
      <c r="Z328" s="110"/>
      <c r="AA328" s="110"/>
      <c r="AB328" s="110"/>
      <c r="AC328" s="110"/>
      <c r="AD328" s="110"/>
    </row>
    <row r="329">
      <c r="A329" s="118" t="s">
        <v>1878</v>
      </c>
      <c r="B329" s="112" t="s">
        <v>4669</v>
      </c>
      <c r="C329" s="112">
        <v>2.022093375E9</v>
      </c>
      <c r="D329" s="119" t="s">
        <v>4301</v>
      </c>
      <c r="E329" s="128">
        <v>45995.0</v>
      </c>
      <c r="F329" s="113" t="s">
        <v>31</v>
      </c>
      <c r="G329" s="113" t="s">
        <v>4603</v>
      </c>
      <c r="H329" s="113"/>
      <c r="I329" s="114">
        <v>46073.0</v>
      </c>
      <c r="J329" s="132"/>
      <c r="K329" s="120" t="str">
        <f>IFERROR(__xludf.DUMMYFUNCTION("""COMPUTED_VALUE"""),"")</f>
        <v/>
      </c>
      <c r="L329" s="114">
        <f>IFERROR(__xludf.DUMMYFUNCTION("""COMPUTED_VALUE"""),46066.0)</f>
        <v>46066</v>
      </c>
      <c r="M329" s="116">
        <v>5.0</v>
      </c>
      <c r="N329" s="110"/>
      <c r="O329" s="110"/>
      <c r="P329" s="110"/>
      <c r="Q329" s="110"/>
      <c r="R329" s="110"/>
      <c r="S329" s="110"/>
      <c r="T329" s="110"/>
      <c r="U329" s="110"/>
      <c r="V329" s="110"/>
      <c r="W329" s="110"/>
      <c r="X329" s="110"/>
      <c r="Y329" s="110"/>
      <c r="Z329" s="110"/>
      <c r="AA329" s="110"/>
      <c r="AB329" s="110"/>
      <c r="AC329" s="110"/>
      <c r="AD329" s="110"/>
    </row>
    <row r="330">
      <c r="A330" s="118" t="s">
        <v>3889</v>
      </c>
      <c r="B330" s="112" t="s">
        <v>4670</v>
      </c>
      <c r="C330" s="112" t="s">
        <v>3895</v>
      </c>
      <c r="D330" s="119" t="s">
        <v>4301</v>
      </c>
      <c r="E330" s="128">
        <v>45985.0</v>
      </c>
      <c r="F330" s="113" t="s">
        <v>643</v>
      </c>
      <c r="G330" s="113" t="s">
        <v>4433</v>
      </c>
      <c r="H330" s="113" t="s">
        <v>4671</v>
      </c>
      <c r="I330" s="114"/>
      <c r="J330" s="132"/>
      <c r="K330" s="120" t="str">
        <f>IFERROR(__xludf.DUMMYFUNCTION("""COMPUTED_VALUE"""),"")</f>
        <v/>
      </c>
      <c r="L330" s="114" t="str">
        <f>IFERROR(__xludf.DUMMYFUNCTION("""COMPUTED_VALUE"""),"")</f>
        <v/>
      </c>
      <c r="M330" s="116">
        <v>5.0</v>
      </c>
      <c r="N330" s="110"/>
      <c r="O330" s="110"/>
      <c r="P330" s="110"/>
      <c r="Q330" s="110"/>
      <c r="R330" s="110"/>
      <c r="S330" s="110"/>
      <c r="T330" s="110"/>
      <c r="U330" s="110"/>
      <c r="V330" s="110"/>
      <c r="W330" s="110"/>
      <c r="X330" s="110"/>
      <c r="Y330" s="110"/>
      <c r="Z330" s="110"/>
      <c r="AA330" s="110"/>
      <c r="AB330" s="110"/>
      <c r="AC330" s="110"/>
      <c r="AD330" s="110"/>
    </row>
    <row r="331">
      <c r="A331" s="118" t="s">
        <v>3648</v>
      </c>
      <c r="B331" s="112" t="s">
        <v>4672</v>
      </c>
      <c r="C331" s="112" t="s">
        <v>3653</v>
      </c>
      <c r="D331" s="119" t="s">
        <v>4673</v>
      </c>
      <c r="E331" s="128">
        <v>45966.0</v>
      </c>
      <c r="F331" s="113" t="s">
        <v>643</v>
      </c>
      <c r="G331" s="113"/>
      <c r="H331" s="113" t="s">
        <v>4674</v>
      </c>
      <c r="I331" s="114"/>
      <c r="J331" s="132">
        <v>2.0</v>
      </c>
      <c r="K331" s="120" t="str">
        <f>IFERROR(__xludf.DUMMYFUNCTION("""COMPUTED_VALUE"""),"")</f>
        <v/>
      </c>
      <c r="L331" s="114" t="str">
        <f>IFERROR(__xludf.DUMMYFUNCTION("""COMPUTED_VALUE"""),"")</f>
        <v/>
      </c>
      <c r="M331" s="116">
        <v>5.0</v>
      </c>
      <c r="N331" s="110"/>
      <c r="O331" s="110"/>
      <c r="P331" s="110"/>
      <c r="Q331" s="110"/>
      <c r="R331" s="110"/>
      <c r="S331" s="110"/>
      <c r="T331" s="110"/>
      <c r="U331" s="110"/>
      <c r="V331" s="110"/>
      <c r="W331" s="110"/>
      <c r="X331" s="110"/>
      <c r="Y331" s="110"/>
      <c r="Z331" s="110"/>
      <c r="AA331" s="110"/>
      <c r="AB331" s="110"/>
      <c r="AC331" s="110"/>
      <c r="AD331" s="110"/>
    </row>
    <row r="332">
      <c r="A332" s="118" t="s">
        <v>3810</v>
      </c>
      <c r="B332" s="112" t="s">
        <v>4675</v>
      </c>
      <c r="C332" s="112" t="s">
        <v>3813</v>
      </c>
      <c r="D332" s="119" t="s">
        <v>4673</v>
      </c>
      <c r="E332" s="128">
        <v>45985.0</v>
      </c>
      <c r="F332" s="113" t="s">
        <v>643</v>
      </c>
      <c r="G332" s="113"/>
      <c r="H332" s="113" t="s">
        <v>4676</v>
      </c>
      <c r="I332" s="114"/>
      <c r="J332" s="132">
        <v>1.0</v>
      </c>
      <c r="K332" s="120" t="str">
        <f>IFERROR(__xludf.DUMMYFUNCTION("""COMPUTED_VALUE"""),"")</f>
        <v/>
      </c>
      <c r="L332" s="114" t="str">
        <f>IFERROR(__xludf.DUMMYFUNCTION("""COMPUTED_VALUE"""),"")</f>
        <v/>
      </c>
      <c r="M332" s="116">
        <v>5.0</v>
      </c>
      <c r="N332" s="110"/>
      <c r="O332" s="110"/>
      <c r="P332" s="110"/>
      <c r="Q332" s="110"/>
      <c r="R332" s="110"/>
      <c r="S332" s="110"/>
      <c r="T332" s="110"/>
      <c r="U332" s="110"/>
      <c r="V332" s="110"/>
      <c r="W332" s="110"/>
      <c r="X332" s="110"/>
      <c r="Y332" s="110"/>
      <c r="Z332" s="110"/>
      <c r="AA332" s="110"/>
      <c r="AB332" s="110"/>
      <c r="AC332" s="110"/>
      <c r="AD332" s="110"/>
    </row>
    <row r="333">
      <c r="A333" s="118" t="s">
        <v>3899</v>
      </c>
      <c r="B333" s="112" t="s">
        <v>4677</v>
      </c>
      <c r="C333" s="112" t="s">
        <v>3907</v>
      </c>
      <c r="D333" s="119" t="s">
        <v>4673</v>
      </c>
      <c r="E333" s="128">
        <v>45985.0</v>
      </c>
      <c r="F333" s="113" t="s">
        <v>643</v>
      </c>
      <c r="G333" s="113" t="s">
        <v>4343</v>
      </c>
      <c r="H333" s="113"/>
      <c r="I333" s="114"/>
      <c r="J333" s="132">
        <v>1.0</v>
      </c>
      <c r="K333" s="120" t="str">
        <f>IFERROR(__xludf.DUMMYFUNCTION("""COMPUTED_VALUE"""),"")</f>
        <v/>
      </c>
      <c r="L333" s="114" t="str">
        <f>IFERROR(__xludf.DUMMYFUNCTION("""COMPUTED_VALUE"""),"")</f>
        <v/>
      </c>
      <c r="M333" s="116">
        <v>5.0</v>
      </c>
      <c r="N333" s="110"/>
      <c r="O333" s="110"/>
      <c r="P333" s="110"/>
      <c r="Q333" s="110"/>
      <c r="R333" s="110"/>
      <c r="S333" s="110"/>
      <c r="T333" s="110"/>
      <c r="U333" s="110"/>
      <c r="V333" s="110"/>
      <c r="W333" s="110"/>
      <c r="X333" s="110"/>
      <c r="Y333" s="110"/>
      <c r="Z333" s="110"/>
      <c r="AA333" s="110"/>
      <c r="AB333" s="110"/>
      <c r="AC333" s="110"/>
      <c r="AD333" s="110"/>
    </row>
    <row r="334">
      <c r="A334" s="118" t="s">
        <v>3953</v>
      </c>
      <c r="B334" s="112" t="s">
        <v>4678</v>
      </c>
      <c r="C334" s="112" t="s">
        <v>3958</v>
      </c>
      <c r="D334" s="119" t="s">
        <v>4673</v>
      </c>
      <c r="E334" s="128">
        <v>45985.0</v>
      </c>
      <c r="F334" s="113" t="s">
        <v>643</v>
      </c>
      <c r="G334" s="113"/>
      <c r="H334" s="113"/>
      <c r="I334" s="114"/>
      <c r="J334" s="132">
        <v>1.0</v>
      </c>
      <c r="K334" s="120" t="str">
        <f>IFERROR(__xludf.DUMMYFUNCTION("""COMPUTED_VALUE"""),"")</f>
        <v/>
      </c>
      <c r="L334" s="114" t="str">
        <f>IFERROR(__xludf.DUMMYFUNCTION("""COMPUTED_VALUE"""),"")</f>
        <v/>
      </c>
      <c r="M334" s="116">
        <v>5.0</v>
      </c>
      <c r="N334" s="110"/>
      <c r="O334" s="110"/>
      <c r="P334" s="110"/>
      <c r="Q334" s="110"/>
      <c r="R334" s="110"/>
      <c r="S334" s="110"/>
      <c r="T334" s="110"/>
      <c r="U334" s="110"/>
      <c r="V334" s="110"/>
      <c r="W334" s="110"/>
      <c r="X334" s="110"/>
      <c r="Y334" s="110"/>
      <c r="Z334" s="110"/>
      <c r="AA334" s="110"/>
      <c r="AB334" s="110"/>
      <c r="AC334" s="110"/>
      <c r="AD334" s="110"/>
    </row>
    <row r="335">
      <c r="A335" s="118" t="s">
        <v>3963</v>
      </c>
      <c r="B335" s="112" t="s">
        <v>4679</v>
      </c>
      <c r="C335" s="112" t="s">
        <v>3968</v>
      </c>
      <c r="D335" s="119" t="s">
        <v>4673</v>
      </c>
      <c r="E335" s="128">
        <v>45985.0</v>
      </c>
      <c r="F335" s="113" t="s">
        <v>643</v>
      </c>
      <c r="G335" s="113"/>
      <c r="H335" s="113"/>
      <c r="I335" s="114"/>
      <c r="J335" s="132">
        <v>1.0</v>
      </c>
      <c r="K335" s="120" t="str">
        <f>IFERROR(__xludf.DUMMYFUNCTION("""COMPUTED_VALUE"""),"")</f>
        <v/>
      </c>
      <c r="L335" s="114" t="str">
        <f>IFERROR(__xludf.DUMMYFUNCTION("""COMPUTED_VALUE"""),"")</f>
        <v/>
      </c>
      <c r="M335" s="116">
        <v>5.0</v>
      </c>
      <c r="N335" s="110"/>
      <c r="O335" s="110"/>
      <c r="P335" s="110"/>
      <c r="Q335" s="110"/>
      <c r="R335" s="110"/>
      <c r="S335" s="110"/>
      <c r="T335" s="110"/>
      <c r="U335" s="110"/>
      <c r="V335" s="110"/>
      <c r="W335" s="110"/>
      <c r="X335" s="110"/>
      <c r="Y335" s="110"/>
      <c r="Z335" s="110"/>
      <c r="AA335" s="110"/>
      <c r="AB335" s="110"/>
      <c r="AC335" s="110"/>
      <c r="AD335" s="110"/>
    </row>
    <row r="336">
      <c r="A336" s="118" t="s">
        <v>3979</v>
      </c>
      <c r="B336" s="112" t="s">
        <v>4680</v>
      </c>
      <c r="C336" s="112" t="s">
        <v>3988</v>
      </c>
      <c r="D336" s="119" t="s">
        <v>4673</v>
      </c>
      <c r="E336" s="128">
        <v>45991.0</v>
      </c>
      <c r="F336" s="113" t="s">
        <v>643</v>
      </c>
      <c r="G336" s="113"/>
      <c r="H336" s="113"/>
      <c r="I336" s="114"/>
      <c r="J336" s="132">
        <v>1.0</v>
      </c>
      <c r="K336" s="120" t="str">
        <f>IFERROR(__xludf.DUMMYFUNCTION("""COMPUTED_VALUE"""),"")</f>
        <v/>
      </c>
      <c r="L336" s="114" t="str">
        <f>IFERROR(__xludf.DUMMYFUNCTION("""COMPUTED_VALUE"""),"")</f>
        <v/>
      </c>
      <c r="M336" s="116">
        <v>5.0</v>
      </c>
      <c r="N336" s="110"/>
      <c r="O336" s="110"/>
      <c r="P336" s="110"/>
      <c r="Q336" s="110"/>
      <c r="R336" s="110"/>
      <c r="S336" s="110"/>
      <c r="T336" s="110"/>
      <c r="U336" s="110"/>
      <c r="V336" s="110"/>
      <c r="W336" s="110"/>
      <c r="X336" s="110"/>
      <c r="Y336" s="110"/>
      <c r="Z336" s="110"/>
      <c r="AA336" s="110"/>
      <c r="AB336" s="110"/>
      <c r="AC336" s="110"/>
      <c r="AD336" s="110"/>
    </row>
    <row r="337">
      <c r="A337" s="118" t="s">
        <v>4017</v>
      </c>
      <c r="B337" s="112" t="s">
        <v>4681</v>
      </c>
      <c r="C337" s="112" t="s">
        <v>4024</v>
      </c>
      <c r="D337" s="119" t="s">
        <v>4673</v>
      </c>
      <c r="E337" s="128">
        <v>45991.0</v>
      </c>
      <c r="F337" s="113" t="s">
        <v>643</v>
      </c>
      <c r="G337" s="113"/>
      <c r="H337" s="113"/>
      <c r="I337" s="114"/>
      <c r="J337" s="132">
        <v>1.0</v>
      </c>
      <c r="K337" s="120" t="str">
        <f>IFERROR(__xludf.DUMMYFUNCTION("""COMPUTED_VALUE"""),"")</f>
        <v/>
      </c>
      <c r="L337" s="114" t="str">
        <f>IFERROR(__xludf.DUMMYFUNCTION("""COMPUTED_VALUE"""),"")</f>
        <v/>
      </c>
      <c r="M337" s="116">
        <v>5.0</v>
      </c>
      <c r="N337" s="110"/>
      <c r="O337" s="110"/>
      <c r="P337" s="110"/>
      <c r="Q337" s="110"/>
      <c r="R337" s="110"/>
      <c r="S337" s="110"/>
      <c r="T337" s="110"/>
      <c r="U337" s="110"/>
      <c r="V337" s="110"/>
      <c r="W337" s="110"/>
      <c r="X337" s="110"/>
      <c r="Y337" s="110"/>
      <c r="Z337" s="110"/>
      <c r="AA337" s="110"/>
      <c r="AB337" s="110"/>
      <c r="AC337" s="110"/>
      <c r="AD337" s="110"/>
    </row>
    <row r="338">
      <c r="A338" s="118" t="s">
        <v>4044</v>
      </c>
      <c r="B338" s="112" t="s">
        <v>4682</v>
      </c>
      <c r="C338" s="112" t="s">
        <v>4047</v>
      </c>
      <c r="D338" s="119" t="s">
        <v>4673</v>
      </c>
      <c r="E338" s="128">
        <v>45991.0</v>
      </c>
      <c r="F338" s="113" t="s">
        <v>643</v>
      </c>
      <c r="G338" s="113"/>
      <c r="H338" s="113"/>
      <c r="I338" s="114"/>
      <c r="J338" s="132">
        <v>1.0</v>
      </c>
      <c r="K338" s="120" t="str">
        <f>IFERROR(__xludf.DUMMYFUNCTION("""COMPUTED_VALUE"""),"")</f>
        <v/>
      </c>
      <c r="L338" s="114" t="str">
        <f>IFERROR(__xludf.DUMMYFUNCTION("""COMPUTED_VALUE"""),"")</f>
        <v/>
      </c>
      <c r="M338" s="116">
        <v>5.0</v>
      </c>
      <c r="N338" s="110"/>
      <c r="O338" s="110"/>
      <c r="P338" s="110"/>
      <c r="Q338" s="110"/>
      <c r="R338" s="110"/>
      <c r="S338" s="110"/>
      <c r="T338" s="110"/>
      <c r="U338" s="110"/>
      <c r="V338" s="110"/>
      <c r="W338" s="110"/>
      <c r="X338" s="110"/>
      <c r="Y338" s="110"/>
      <c r="Z338" s="110"/>
      <c r="AA338" s="110"/>
      <c r="AB338" s="110"/>
      <c r="AC338" s="110"/>
      <c r="AD338" s="110"/>
    </row>
    <row r="339">
      <c r="A339" s="118" t="s">
        <v>4104</v>
      </c>
      <c r="B339" s="112" t="s">
        <v>4683</v>
      </c>
      <c r="C339" s="112" t="s">
        <v>4114</v>
      </c>
      <c r="D339" s="119" t="s">
        <v>4673</v>
      </c>
      <c r="E339" s="128">
        <v>45991.0</v>
      </c>
      <c r="F339" s="113" t="s">
        <v>643</v>
      </c>
      <c r="G339" s="113"/>
      <c r="H339" s="134"/>
      <c r="I339" s="114"/>
      <c r="J339" s="132">
        <v>1.0</v>
      </c>
      <c r="K339" s="120" t="str">
        <f>IFERROR(__xludf.DUMMYFUNCTION("""COMPUTED_VALUE"""),"")</f>
        <v/>
      </c>
      <c r="L339" s="114" t="str">
        <f>IFERROR(__xludf.DUMMYFUNCTION("""COMPUTED_VALUE"""),"")</f>
        <v/>
      </c>
      <c r="M339" s="116">
        <v>5.0</v>
      </c>
      <c r="N339" s="110"/>
      <c r="O339" s="110"/>
      <c r="P339" s="110"/>
      <c r="Q339" s="110"/>
      <c r="R339" s="110"/>
      <c r="S339" s="110"/>
      <c r="T339" s="110"/>
      <c r="U339" s="110"/>
      <c r="V339" s="110"/>
      <c r="W339" s="110"/>
      <c r="X339" s="110"/>
      <c r="Y339" s="110"/>
      <c r="Z339" s="110"/>
      <c r="AA339" s="110"/>
      <c r="AB339" s="110"/>
      <c r="AC339" s="110"/>
      <c r="AD339" s="110"/>
    </row>
    <row r="340">
      <c r="A340" s="118" t="s">
        <v>4152</v>
      </c>
      <c r="B340" s="112" t="s">
        <v>4684</v>
      </c>
      <c r="C340" s="112" t="s">
        <v>4155</v>
      </c>
      <c r="D340" s="119" t="s">
        <v>4673</v>
      </c>
      <c r="E340" s="128">
        <v>45991.0</v>
      </c>
      <c r="F340" s="113" t="s">
        <v>643</v>
      </c>
      <c r="G340" s="113"/>
      <c r="H340" s="134"/>
      <c r="I340" s="114"/>
      <c r="J340" s="132">
        <v>1.0</v>
      </c>
      <c r="K340" s="120" t="str">
        <f>IFERROR(__xludf.DUMMYFUNCTION("""COMPUTED_VALUE"""),"")</f>
        <v/>
      </c>
      <c r="L340" s="114" t="str">
        <f>IFERROR(__xludf.DUMMYFUNCTION("""COMPUTED_VALUE"""),"")</f>
        <v/>
      </c>
      <c r="M340" s="116">
        <v>5.0</v>
      </c>
      <c r="N340" s="110"/>
      <c r="O340" s="110"/>
      <c r="P340" s="110"/>
      <c r="Q340" s="110"/>
      <c r="R340" s="110"/>
      <c r="S340" s="110"/>
      <c r="T340" s="110"/>
      <c r="U340" s="110"/>
      <c r="V340" s="110"/>
      <c r="W340" s="110"/>
      <c r="X340" s="110"/>
      <c r="Y340" s="110"/>
      <c r="Z340" s="110"/>
      <c r="AA340" s="110"/>
      <c r="AB340" s="110"/>
      <c r="AC340" s="110"/>
      <c r="AD340" s="110"/>
    </row>
    <row r="341">
      <c r="A341" s="118" t="s">
        <v>987</v>
      </c>
      <c r="B341" s="112" t="s">
        <v>4685</v>
      </c>
      <c r="C341" s="112">
        <v>2.022715055E9</v>
      </c>
      <c r="D341" s="119" t="s">
        <v>4673</v>
      </c>
      <c r="E341" s="128"/>
      <c r="F341" s="113"/>
      <c r="G341" s="113"/>
      <c r="H341" s="113"/>
      <c r="I341" s="114"/>
      <c r="J341" s="132"/>
      <c r="K341" s="120" t="str">
        <f>IFERROR(__xludf.DUMMYFUNCTION("""COMPUTED_VALUE"""),"")</f>
        <v/>
      </c>
      <c r="L341" s="114" t="str">
        <f>IFERROR(__xludf.DUMMYFUNCTION("""COMPUTED_VALUE"""),"")</f>
        <v/>
      </c>
      <c r="M341" s="116">
        <v>5.0</v>
      </c>
      <c r="N341" s="110"/>
      <c r="O341" s="110"/>
      <c r="P341" s="110"/>
      <c r="Q341" s="110"/>
      <c r="R341" s="110"/>
      <c r="S341" s="110"/>
      <c r="T341" s="110"/>
      <c r="U341" s="110"/>
      <c r="V341" s="110"/>
      <c r="W341" s="110"/>
      <c r="X341" s="110"/>
      <c r="Y341" s="110"/>
      <c r="Z341" s="110"/>
      <c r="AA341" s="110"/>
      <c r="AB341" s="110"/>
      <c r="AC341" s="110"/>
      <c r="AD341" s="110"/>
    </row>
    <row r="342">
      <c r="A342" s="118" t="s">
        <v>2517</v>
      </c>
      <c r="B342" s="112" t="s">
        <v>4686</v>
      </c>
      <c r="C342" s="112" t="s">
        <v>2524</v>
      </c>
      <c r="D342" s="119" t="s">
        <v>4673</v>
      </c>
      <c r="E342" s="128"/>
      <c r="F342" s="113"/>
      <c r="G342" s="113"/>
      <c r="H342" s="134"/>
      <c r="I342" s="114"/>
      <c r="J342" s="132"/>
      <c r="K342" s="120" t="str">
        <f>IFERROR(__xludf.DUMMYFUNCTION("""COMPUTED_VALUE"""),"")</f>
        <v/>
      </c>
      <c r="L342" s="114" t="str">
        <f>IFERROR(__xludf.DUMMYFUNCTION("""COMPUTED_VALUE"""),"")</f>
        <v/>
      </c>
      <c r="M342" s="116">
        <v>5.0</v>
      </c>
      <c r="N342" s="110"/>
      <c r="O342" s="110"/>
      <c r="P342" s="110"/>
      <c r="Q342" s="110"/>
      <c r="R342" s="110"/>
      <c r="S342" s="110"/>
      <c r="T342" s="110"/>
      <c r="U342" s="110"/>
      <c r="V342" s="110"/>
      <c r="W342" s="110"/>
      <c r="X342" s="110"/>
      <c r="Y342" s="110"/>
      <c r="Z342" s="110"/>
      <c r="AA342" s="110"/>
      <c r="AB342" s="110"/>
      <c r="AC342" s="110"/>
      <c r="AD342" s="110"/>
    </row>
    <row r="343">
      <c r="A343" s="118" t="s">
        <v>4158</v>
      </c>
      <c r="B343" s="112" t="s">
        <v>4687</v>
      </c>
      <c r="C343" s="112" t="s">
        <v>4164</v>
      </c>
      <c r="D343" s="119" t="s">
        <v>4673</v>
      </c>
      <c r="E343" s="128"/>
      <c r="F343" s="113"/>
      <c r="G343" s="113"/>
      <c r="H343" s="134"/>
      <c r="I343" s="114"/>
      <c r="J343" s="132"/>
      <c r="K343" s="120" t="str">
        <f>IFERROR(__xludf.DUMMYFUNCTION("""COMPUTED_VALUE"""),"")</f>
        <v/>
      </c>
      <c r="L343" s="114" t="str">
        <f>IFERROR(__xludf.DUMMYFUNCTION("""COMPUTED_VALUE"""),"")</f>
        <v/>
      </c>
      <c r="M343" s="116">
        <v>5.0</v>
      </c>
      <c r="N343" s="110"/>
      <c r="O343" s="110"/>
      <c r="P343" s="110"/>
      <c r="Q343" s="110"/>
      <c r="R343" s="110"/>
      <c r="S343" s="110"/>
      <c r="T343" s="110"/>
      <c r="U343" s="110"/>
      <c r="V343" s="110"/>
      <c r="W343" s="110"/>
      <c r="X343" s="110"/>
      <c r="Y343" s="110"/>
      <c r="Z343" s="110"/>
      <c r="AA343" s="110"/>
      <c r="AB343" s="110"/>
      <c r="AC343" s="110"/>
      <c r="AD343" s="110"/>
    </row>
    <row r="344">
      <c r="A344" s="118" t="s">
        <v>4167</v>
      </c>
      <c r="B344" s="112" t="s">
        <v>4688</v>
      </c>
      <c r="C344" s="112" t="s">
        <v>4170</v>
      </c>
      <c r="D344" s="119" t="s">
        <v>4673</v>
      </c>
      <c r="E344" s="128"/>
      <c r="F344" s="113"/>
      <c r="G344" s="113"/>
      <c r="H344" s="134"/>
      <c r="I344" s="114"/>
      <c r="J344" s="132"/>
      <c r="K344" s="120" t="str">
        <f>IFERROR(__xludf.DUMMYFUNCTION("""COMPUTED_VALUE"""),"")</f>
        <v/>
      </c>
      <c r="L344" s="114" t="str">
        <f>IFERROR(__xludf.DUMMYFUNCTION("""COMPUTED_VALUE"""),"")</f>
        <v/>
      </c>
      <c r="M344" s="116">
        <v>5.0</v>
      </c>
      <c r="N344" s="110"/>
      <c r="O344" s="110"/>
      <c r="P344" s="110"/>
      <c r="Q344" s="110"/>
      <c r="R344" s="110"/>
      <c r="S344" s="110"/>
      <c r="T344" s="110"/>
      <c r="U344" s="110"/>
      <c r="V344" s="110"/>
      <c r="W344" s="110"/>
      <c r="X344" s="110"/>
      <c r="Y344" s="110"/>
      <c r="Z344" s="110"/>
      <c r="AA344" s="110"/>
      <c r="AB344" s="110"/>
      <c r="AC344" s="110"/>
      <c r="AD344" s="110"/>
    </row>
    <row r="345">
      <c r="A345" s="118" t="s">
        <v>4173</v>
      </c>
      <c r="B345" s="112" t="s">
        <v>4689</v>
      </c>
      <c r="C345" s="112" t="s">
        <v>4176</v>
      </c>
      <c r="D345" s="119" t="s">
        <v>4673</v>
      </c>
      <c r="E345" s="128"/>
      <c r="F345" s="113"/>
      <c r="G345" s="113"/>
      <c r="H345" s="113"/>
      <c r="I345" s="114"/>
      <c r="J345" s="132"/>
      <c r="K345" s="120" t="str">
        <f>IFERROR(__xludf.DUMMYFUNCTION("""COMPUTED_VALUE"""),"")</f>
        <v/>
      </c>
      <c r="L345" s="114" t="str">
        <f>IFERROR(__xludf.DUMMYFUNCTION("""COMPUTED_VALUE"""),"")</f>
        <v/>
      </c>
      <c r="M345" s="116">
        <v>5.0</v>
      </c>
      <c r="N345" s="110"/>
      <c r="O345" s="110"/>
      <c r="P345" s="110"/>
      <c r="Q345" s="110"/>
      <c r="R345" s="110"/>
      <c r="S345" s="110"/>
      <c r="T345" s="110"/>
      <c r="U345" s="110"/>
      <c r="V345" s="110"/>
      <c r="W345" s="110"/>
      <c r="X345" s="110"/>
      <c r="Y345" s="110"/>
      <c r="Z345" s="110"/>
      <c r="AA345" s="110"/>
      <c r="AB345" s="110"/>
      <c r="AC345" s="110"/>
      <c r="AD345" s="110"/>
    </row>
    <row r="346">
      <c r="A346" s="118" t="s">
        <v>4179</v>
      </c>
      <c r="B346" s="112" t="s">
        <v>4690</v>
      </c>
      <c r="C346" s="112"/>
      <c r="D346" s="119" t="s">
        <v>4673</v>
      </c>
      <c r="E346" s="128"/>
      <c r="F346" s="113"/>
      <c r="G346" s="113"/>
      <c r="H346" s="113"/>
      <c r="I346" s="114"/>
      <c r="J346" s="132"/>
      <c r="K346" s="120" t="str">
        <f>IFERROR(__xludf.DUMMYFUNCTION("""COMPUTED_VALUE"""),"")</f>
        <v/>
      </c>
      <c r="L346" s="114" t="str">
        <f>IFERROR(__xludf.DUMMYFUNCTION("""COMPUTED_VALUE"""),"")</f>
        <v/>
      </c>
      <c r="M346" s="116">
        <v>5.0</v>
      </c>
      <c r="N346" s="110"/>
      <c r="O346" s="110"/>
      <c r="P346" s="110"/>
      <c r="Q346" s="110"/>
      <c r="R346" s="110"/>
      <c r="S346" s="110"/>
      <c r="T346" s="110"/>
      <c r="U346" s="110"/>
      <c r="V346" s="110"/>
      <c r="W346" s="110"/>
      <c r="X346" s="110"/>
      <c r="Y346" s="110"/>
      <c r="Z346" s="110"/>
      <c r="AA346" s="110"/>
      <c r="AB346" s="110"/>
      <c r="AC346" s="110"/>
      <c r="AD346" s="110"/>
    </row>
    <row r="347">
      <c r="A347" s="118" t="s">
        <v>4189</v>
      </c>
      <c r="B347" s="112" t="s">
        <v>4691</v>
      </c>
      <c r="C347" s="112"/>
      <c r="D347" s="119" t="s">
        <v>4673</v>
      </c>
      <c r="E347" s="128"/>
      <c r="F347" s="113"/>
      <c r="G347" s="113"/>
      <c r="H347" s="113"/>
      <c r="I347" s="114"/>
      <c r="J347" s="132"/>
      <c r="K347" s="120" t="str">
        <f>IFERROR(__xludf.DUMMYFUNCTION("""COMPUTED_VALUE"""),"")</f>
        <v/>
      </c>
      <c r="L347" s="114" t="str">
        <f>IFERROR(__xludf.DUMMYFUNCTION("""COMPUTED_VALUE"""),"")</f>
        <v/>
      </c>
      <c r="M347" s="116"/>
      <c r="N347" s="110"/>
      <c r="O347" s="110"/>
      <c r="P347" s="110"/>
      <c r="Q347" s="110"/>
      <c r="R347" s="110"/>
      <c r="S347" s="110"/>
      <c r="T347" s="110"/>
      <c r="U347" s="110"/>
      <c r="V347" s="110"/>
      <c r="W347" s="110"/>
      <c r="X347" s="110"/>
      <c r="Y347" s="110"/>
      <c r="Z347" s="110"/>
      <c r="AA347" s="110"/>
      <c r="AB347" s="110"/>
      <c r="AC347" s="110"/>
      <c r="AD347" s="110"/>
    </row>
    <row r="348">
      <c r="A348" s="118" t="s">
        <v>4196</v>
      </c>
      <c r="B348" s="112" t="s">
        <v>4692</v>
      </c>
      <c r="C348" s="112"/>
      <c r="D348" s="119" t="s">
        <v>4673</v>
      </c>
      <c r="E348" s="128"/>
      <c r="F348" s="113"/>
      <c r="G348" s="113"/>
      <c r="H348" s="134"/>
      <c r="I348" s="114"/>
      <c r="J348" s="132"/>
      <c r="K348" s="120" t="str">
        <f>IFERROR(__xludf.DUMMYFUNCTION("""COMPUTED_VALUE"""),"")</f>
        <v/>
      </c>
      <c r="L348" s="114" t="str">
        <f>IFERROR(__xludf.DUMMYFUNCTION("""COMPUTED_VALUE"""),"")</f>
        <v/>
      </c>
      <c r="M348" s="116"/>
      <c r="N348" s="110"/>
      <c r="O348" s="110"/>
      <c r="P348" s="110"/>
      <c r="Q348" s="110"/>
      <c r="R348" s="110"/>
      <c r="S348" s="110"/>
      <c r="T348" s="110"/>
      <c r="U348" s="110"/>
      <c r="V348" s="110"/>
      <c r="W348" s="110"/>
      <c r="X348" s="110"/>
      <c r="Y348" s="110"/>
      <c r="Z348" s="110"/>
      <c r="AA348" s="110"/>
      <c r="AB348" s="110"/>
      <c r="AC348" s="110"/>
      <c r="AD348" s="110"/>
    </row>
    <row r="349">
      <c r="A349" s="118" t="s">
        <v>4207</v>
      </c>
      <c r="B349" s="112" t="s">
        <v>4693</v>
      </c>
      <c r="C349" s="112"/>
      <c r="D349" s="119" t="s">
        <v>4673</v>
      </c>
      <c r="E349" s="128"/>
      <c r="F349" s="113"/>
      <c r="G349" s="113"/>
      <c r="H349" s="134"/>
      <c r="I349" s="114"/>
      <c r="J349" s="132"/>
      <c r="K349" s="120" t="str">
        <f>IFERROR(__xludf.DUMMYFUNCTION("""COMPUTED_VALUE"""),"")</f>
        <v/>
      </c>
      <c r="L349" s="114" t="str">
        <f>IFERROR(__xludf.DUMMYFUNCTION("""COMPUTED_VALUE"""),"")</f>
        <v/>
      </c>
      <c r="M349" s="116"/>
      <c r="N349" s="110"/>
      <c r="O349" s="110"/>
      <c r="P349" s="110"/>
      <c r="Q349" s="110"/>
      <c r="R349" s="110"/>
      <c r="S349" s="110"/>
      <c r="T349" s="110"/>
      <c r="U349" s="110"/>
      <c r="V349" s="110"/>
      <c r="W349" s="110"/>
      <c r="X349" s="110"/>
      <c r="Y349" s="110"/>
      <c r="Z349" s="110"/>
      <c r="AA349" s="110"/>
      <c r="AB349" s="110"/>
      <c r="AC349" s="110"/>
      <c r="AD349" s="110"/>
    </row>
    <row r="350">
      <c r="A350" s="118" t="s">
        <v>4281</v>
      </c>
      <c r="B350" s="112" t="s">
        <v>4694</v>
      </c>
      <c r="C350" s="112"/>
      <c r="D350" s="119" t="s">
        <v>4673</v>
      </c>
      <c r="E350" s="128"/>
      <c r="F350" s="113"/>
      <c r="G350" s="113"/>
      <c r="H350" s="113"/>
      <c r="I350" s="114"/>
      <c r="J350" s="132"/>
      <c r="K350" s="120" t="str">
        <f>IFERROR(__xludf.DUMMYFUNCTION("""COMPUTED_VALUE"""),"")</f>
        <v/>
      </c>
      <c r="L350" s="114" t="str">
        <f>IFERROR(__xludf.DUMMYFUNCTION("""COMPUTED_VALUE"""),"")</f>
        <v/>
      </c>
      <c r="M350" s="116"/>
      <c r="N350" s="110"/>
      <c r="O350" s="110"/>
      <c r="P350" s="110"/>
      <c r="Q350" s="110"/>
      <c r="R350" s="110"/>
      <c r="S350" s="110"/>
      <c r="T350" s="110"/>
      <c r="U350" s="110"/>
      <c r="V350" s="110"/>
      <c r="W350" s="110"/>
      <c r="X350" s="110"/>
      <c r="Y350" s="110"/>
      <c r="Z350" s="110"/>
      <c r="AA350" s="110"/>
      <c r="AB350" s="110"/>
      <c r="AC350" s="110"/>
      <c r="AD350" s="110"/>
    </row>
    <row r="351">
      <c r="A351" s="118" t="s">
        <v>4213</v>
      </c>
      <c r="B351" s="112" t="s">
        <v>4695</v>
      </c>
      <c r="C351" s="112"/>
      <c r="D351" s="119"/>
      <c r="E351" s="128"/>
      <c r="F351" s="113"/>
      <c r="G351" s="113"/>
      <c r="H351" s="134"/>
      <c r="I351" s="114"/>
      <c r="J351" s="132"/>
      <c r="K351" s="120" t="str">
        <f>IFERROR(__xludf.DUMMYFUNCTION("""COMPUTED_VALUE"""),"")</f>
        <v/>
      </c>
      <c r="L351" s="114" t="str">
        <f>IFERROR(__xludf.DUMMYFUNCTION("""COMPUTED_VALUE"""),"")</f>
        <v/>
      </c>
      <c r="M351" s="116"/>
      <c r="N351" s="110"/>
      <c r="O351" s="110"/>
      <c r="P351" s="110"/>
      <c r="Q351" s="110"/>
      <c r="R351" s="110"/>
      <c r="S351" s="110"/>
      <c r="T351" s="110"/>
      <c r="U351" s="110"/>
      <c r="V351" s="110"/>
      <c r="W351" s="110"/>
      <c r="X351" s="110"/>
      <c r="Y351" s="110"/>
      <c r="Z351" s="110"/>
      <c r="AA351" s="110"/>
      <c r="AB351" s="110"/>
      <c r="AC351" s="110"/>
      <c r="AD351" s="110"/>
    </row>
    <row r="352">
      <c r="A352" s="118" t="s">
        <v>4220</v>
      </c>
      <c r="B352" s="112" t="s">
        <v>4696</v>
      </c>
      <c r="C352" s="112"/>
      <c r="D352" s="119"/>
      <c r="E352" s="128"/>
      <c r="F352" s="113"/>
      <c r="G352" s="113"/>
      <c r="H352" s="134"/>
      <c r="I352" s="114"/>
      <c r="J352" s="132"/>
      <c r="K352" s="120" t="str">
        <f>IFERROR(__xludf.DUMMYFUNCTION("""COMPUTED_VALUE"""),"")</f>
        <v/>
      </c>
      <c r="L352" s="114" t="str">
        <f>IFERROR(__xludf.DUMMYFUNCTION("""COMPUTED_VALUE"""),"")</f>
        <v/>
      </c>
      <c r="M352" s="116"/>
      <c r="N352" s="110"/>
      <c r="O352" s="110"/>
      <c r="P352" s="110"/>
      <c r="Q352" s="110"/>
      <c r="R352" s="110"/>
      <c r="S352" s="110"/>
      <c r="T352" s="110"/>
      <c r="U352" s="110"/>
      <c r="V352" s="110"/>
      <c r="W352" s="110"/>
      <c r="X352" s="110"/>
      <c r="Y352" s="110"/>
      <c r="Z352" s="110"/>
      <c r="AA352" s="110"/>
      <c r="AB352" s="110"/>
      <c r="AC352" s="110"/>
      <c r="AD352" s="110"/>
    </row>
    <row r="353">
      <c r="A353" s="118" t="s">
        <v>4240</v>
      </c>
      <c r="B353" s="112" t="s">
        <v>4697</v>
      </c>
      <c r="C353" s="112"/>
      <c r="D353" s="119"/>
      <c r="E353" s="128"/>
      <c r="F353" s="113"/>
      <c r="G353" s="113"/>
      <c r="H353" s="113"/>
      <c r="I353" s="114"/>
      <c r="J353" s="132"/>
      <c r="K353" s="120" t="str">
        <f>IFERROR(__xludf.DUMMYFUNCTION("""COMPUTED_VALUE"""),"")</f>
        <v/>
      </c>
      <c r="L353" s="114" t="str">
        <f>IFERROR(__xludf.DUMMYFUNCTION("""COMPUTED_VALUE"""),"")</f>
        <v/>
      </c>
      <c r="M353" s="116"/>
      <c r="N353" s="110"/>
      <c r="O353" s="110"/>
      <c r="P353" s="110"/>
      <c r="Q353" s="110"/>
      <c r="R353" s="110"/>
      <c r="S353" s="110"/>
      <c r="T353" s="110"/>
      <c r="U353" s="110"/>
      <c r="V353" s="110"/>
      <c r="W353" s="110"/>
      <c r="X353" s="110"/>
      <c r="Y353" s="110"/>
      <c r="Z353" s="110"/>
      <c r="AA353" s="110"/>
      <c r="AB353" s="110"/>
      <c r="AC353" s="110"/>
      <c r="AD353" s="110"/>
    </row>
    <row r="354">
      <c r="A354" s="118" t="s">
        <v>4255</v>
      </c>
      <c r="B354" s="112" t="s">
        <v>4698</v>
      </c>
      <c r="C354" s="112"/>
      <c r="D354" s="119"/>
      <c r="E354" s="128"/>
      <c r="F354" s="113"/>
      <c r="G354" s="113"/>
      <c r="H354" s="134"/>
      <c r="I354" s="114"/>
      <c r="J354" s="132"/>
      <c r="K354" s="120" t="str">
        <f>IFERROR(__xludf.DUMMYFUNCTION("""COMPUTED_VALUE"""),"")</f>
        <v/>
      </c>
      <c r="L354" s="114" t="str">
        <f>IFERROR(__xludf.DUMMYFUNCTION("""COMPUTED_VALUE"""),"")</f>
        <v/>
      </c>
      <c r="M354" s="116"/>
      <c r="N354" s="110"/>
      <c r="O354" s="110"/>
      <c r="P354" s="110"/>
      <c r="Q354" s="110"/>
      <c r="R354" s="110"/>
      <c r="S354" s="110"/>
      <c r="T354" s="110"/>
      <c r="U354" s="110"/>
      <c r="V354" s="110"/>
      <c r="W354" s="110"/>
      <c r="X354" s="110"/>
      <c r="Y354" s="110"/>
      <c r="Z354" s="110"/>
      <c r="AA354" s="110"/>
      <c r="AB354" s="110"/>
      <c r="AC354" s="110"/>
      <c r="AD354" s="110"/>
    </row>
    <row r="355">
      <c r="A355" s="118"/>
      <c r="B355" s="112"/>
      <c r="C355" s="112"/>
      <c r="D355" s="119"/>
      <c r="E355" s="128"/>
      <c r="F355" s="113"/>
      <c r="G355" s="113"/>
      <c r="H355" s="134"/>
      <c r="I355" s="114"/>
      <c r="J355" s="132"/>
      <c r="K355" s="120" t="str">
        <f>IFERROR(__xludf.DUMMYFUNCTION("""COMPUTED_VALUE"""),"")</f>
        <v/>
      </c>
      <c r="L355" s="114" t="str">
        <f>IFERROR(__xludf.DUMMYFUNCTION("""COMPUTED_VALUE"""),"")</f>
        <v/>
      </c>
      <c r="M355" s="116"/>
      <c r="N355" s="110"/>
      <c r="O355" s="110"/>
      <c r="P355" s="110"/>
      <c r="Q355" s="110"/>
      <c r="R355" s="110"/>
      <c r="S355" s="110"/>
      <c r="T355" s="110"/>
      <c r="U355" s="110"/>
      <c r="V355" s="110"/>
      <c r="W355" s="110"/>
      <c r="X355" s="110"/>
      <c r="Y355" s="110"/>
      <c r="Z355" s="110"/>
      <c r="AA355" s="110"/>
      <c r="AB355" s="110"/>
      <c r="AC355" s="110"/>
      <c r="AD355" s="110"/>
    </row>
    <row r="356">
      <c r="A356" s="118"/>
      <c r="B356" s="112"/>
      <c r="C356" s="112"/>
      <c r="D356" s="119"/>
      <c r="E356" s="128"/>
      <c r="F356" s="113"/>
      <c r="G356" s="113"/>
      <c r="H356" s="134"/>
      <c r="I356" s="114"/>
      <c r="J356" s="132"/>
      <c r="K356" s="120" t="str">
        <f>IFERROR(__xludf.DUMMYFUNCTION("""COMPUTED_VALUE"""),"")</f>
        <v/>
      </c>
      <c r="L356" s="114" t="str">
        <f>IFERROR(__xludf.DUMMYFUNCTION("""COMPUTED_VALUE"""),"")</f>
        <v/>
      </c>
      <c r="M356" s="116"/>
      <c r="N356" s="110"/>
      <c r="O356" s="110"/>
      <c r="P356" s="110"/>
      <c r="Q356" s="110"/>
      <c r="R356" s="110"/>
      <c r="S356" s="110"/>
      <c r="T356" s="110"/>
      <c r="U356" s="110"/>
      <c r="V356" s="110"/>
      <c r="W356" s="110"/>
      <c r="X356" s="110"/>
      <c r="Y356" s="110"/>
      <c r="Z356" s="110"/>
      <c r="AA356" s="110"/>
      <c r="AB356" s="110"/>
      <c r="AC356" s="110"/>
      <c r="AD356" s="110"/>
    </row>
    <row r="357">
      <c r="A357" s="118"/>
      <c r="B357" s="112"/>
      <c r="C357" s="112"/>
      <c r="D357" s="119"/>
      <c r="E357" s="128"/>
      <c r="F357" s="113"/>
      <c r="G357" s="113"/>
      <c r="H357" s="134"/>
      <c r="I357" s="114"/>
      <c r="J357" s="132"/>
      <c r="K357" s="120" t="str">
        <f>IFERROR(__xludf.DUMMYFUNCTION("""COMPUTED_VALUE"""),"")</f>
        <v/>
      </c>
      <c r="L357" s="114" t="str">
        <f>IFERROR(__xludf.DUMMYFUNCTION("""COMPUTED_VALUE"""),"")</f>
        <v/>
      </c>
      <c r="M357" s="116"/>
      <c r="N357" s="110"/>
      <c r="O357" s="110"/>
      <c r="P357" s="110"/>
      <c r="Q357" s="110"/>
      <c r="R357" s="110"/>
      <c r="S357" s="110"/>
      <c r="T357" s="110"/>
      <c r="U357" s="110"/>
      <c r="V357" s="110"/>
      <c r="W357" s="110"/>
      <c r="X357" s="110"/>
      <c r="Y357" s="110"/>
      <c r="Z357" s="110"/>
      <c r="AA357" s="110"/>
      <c r="AB357" s="110"/>
      <c r="AC357" s="110"/>
      <c r="AD357" s="110"/>
    </row>
    <row r="358">
      <c r="A358" s="118"/>
      <c r="B358" s="112"/>
      <c r="C358" s="112"/>
      <c r="D358" s="119"/>
      <c r="E358" s="128"/>
      <c r="F358" s="113"/>
      <c r="G358" s="113"/>
      <c r="H358" s="134"/>
      <c r="I358" s="114"/>
      <c r="J358" s="132"/>
      <c r="K358" s="120" t="str">
        <f>IFERROR(__xludf.DUMMYFUNCTION("""COMPUTED_VALUE"""),"")</f>
        <v/>
      </c>
      <c r="L358" s="114" t="str">
        <f>IFERROR(__xludf.DUMMYFUNCTION("""COMPUTED_VALUE"""),"")</f>
        <v/>
      </c>
      <c r="M358" s="116"/>
      <c r="N358" s="110"/>
      <c r="O358" s="110"/>
      <c r="P358" s="110"/>
      <c r="Q358" s="110"/>
      <c r="R358" s="110"/>
      <c r="S358" s="110"/>
      <c r="T358" s="110"/>
      <c r="U358" s="110"/>
      <c r="V358" s="110"/>
      <c r="W358" s="110"/>
      <c r="X358" s="110"/>
      <c r="Y358" s="110"/>
      <c r="Z358" s="110"/>
      <c r="AA358" s="110"/>
      <c r="AB358" s="110"/>
      <c r="AC358" s="110"/>
      <c r="AD358" s="110"/>
    </row>
    <row r="359">
      <c r="A359" s="135"/>
      <c r="B359" s="112"/>
      <c r="C359" s="112"/>
      <c r="D359" s="119"/>
      <c r="E359" s="128"/>
      <c r="F359" s="113"/>
      <c r="G359" s="113"/>
      <c r="H359" s="134"/>
      <c r="I359" s="114"/>
      <c r="J359" s="132"/>
      <c r="K359" s="120" t="str">
        <f>IFERROR(__xludf.DUMMYFUNCTION("""COMPUTED_VALUE"""),"")</f>
        <v/>
      </c>
      <c r="L359" s="114" t="str">
        <f>IFERROR(__xludf.DUMMYFUNCTION("""COMPUTED_VALUE"""),"")</f>
        <v/>
      </c>
      <c r="M359" s="116"/>
      <c r="N359" s="110"/>
      <c r="O359" s="110"/>
      <c r="P359" s="110"/>
      <c r="Q359" s="110"/>
      <c r="R359" s="110"/>
      <c r="S359" s="110"/>
      <c r="T359" s="110"/>
      <c r="U359" s="110"/>
      <c r="V359" s="110"/>
      <c r="W359" s="110"/>
      <c r="X359" s="110"/>
      <c r="Y359" s="110"/>
      <c r="Z359" s="110"/>
      <c r="AA359" s="110"/>
      <c r="AB359" s="110"/>
      <c r="AC359" s="110"/>
      <c r="AD359" s="110"/>
    </row>
    <row r="360">
      <c r="A360" s="118"/>
      <c r="B360" s="112"/>
      <c r="C360" s="112"/>
      <c r="D360" s="119"/>
      <c r="E360" s="128"/>
      <c r="F360" s="113"/>
      <c r="G360" s="113"/>
      <c r="H360" s="134"/>
      <c r="I360" s="114"/>
      <c r="J360" s="132"/>
      <c r="K360" s="120" t="str">
        <f>IFERROR(__xludf.DUMMYFUNCTION("""COMPUTED_VALUE"""),"")</f>
        <v/>
      </c>
      <c r="L360" s="114" t="str">
        <f>IFERROR(__xludf.DUMMYFUNCTION("""COMPUTED_VALUE"""),"")</f>
        <v/>
      </c>
      <c r="M360" s="116"/>
      <c r="N360" s="110"/>
      <c r="O360" s="110"/>
      <c r="P360" s="110"/>
      <c r="Q360" s="110"/>
      <c r="R360" s="110"/>
      <c r="S360" s="110"/>
      <c r="T360" s="110"/>
      <c r="U360" s="110"/>
      <c r="V360" s="110"/>
      <c r="W360" s="110"/>
      <c r="X360" s="110"/>
      <c r="Y360" s="110"/>
      <c r="Z360" s="110"/>
      <c r="AA360" s="110"/>
      <c r="AB360" s="110"/>
      <c r="AC360" s="110"/>
      <c r="AD360" s="110"/>
    </row>
    <row r="361">
      <c r="A361" s="118"/>
      <c r="B361" s="112"/>
      <c r="C361" s="112"/>
      <c r="D361" s="119"/>
      <c r="E361" s="128"/>
      <c r="F361" s="113"/>
      <c r="G361" s="113"/>
      <c r="H361" s="134"/>
      <c r="I361" s="114"/>
      <c r="J361" s="132"/>
      <c r="K361" s="120" t="str">
        <f>IFERROR(__xludf.DUMMYFUNCTION("""COMPUTED_VALUE"""),"")</f>
        <v/>
      </c>
      <c r="L361" s="114" t="str">
        <f>IFERROR(__xludf.DUMMYFUNCTION("""COMPUTED_VALUE"""),"")</f>
        <v/>
      </c>
      <c r="M361" s="116"/>
      <c r="N361" s="110"/>
      <c r="O361" s="110"/>
      <c r="P361" s="110"/>
      <c r="Q361" s="110"/>
      <c r="R361" s="110"/>
      <c r="S361" s="110"/>
      <c r="T361" s="110"/>
      <c r="U361" s="110"/>
      <c r="V361" s="110"/>
      <c r="W361" s="110"/>
      <c r="X361" s="110"/>
      <c r="Y361" s="110"/>
      <c r="Z361" s="110"/>
      <c r="AA361" s="110"/>
      <c r="AB361" s="110"/>
      <c r="AC361" s="110"/>
      <c r="AD361" s="110"/>
    </row>
    <row r="362">
      <c r="A362" s="118"/>
      <c r="B362" s="112"/>
      <c r="C362" s="112"/>
      <c r="D362" s="119"/>
      <c r="E362" s="128"/>
      <c r="F362" s="113"/>
      <c r="G362" s="113"/>
      <c r="H362" s="134"/>
      <c r="I362" s="114"/>
      <c r="J362" s="132"/>
      <c r="K362" s="120" t="str">
        <f>IFERROR(__xludf.DUMMYFUNCTION("""COMPUTED_VALUE"""),"")</f>
        <v/>
      </c>
      <c r="L362" s="114" t="str">
        <f>IFERROR(__xludf.DUMMYFUNCTION("""COMPUTED_VALUE"""),"")</f>
        <v/>
      </c>
      <c r="M362" s="116"/>
      <c r="N362" s="110"/>
      <c r="O362" s="110"/>
      <c r="P362" s="110"/>
      <c r="Q362" s="110"/>
      <c r="R362" s="110"/>
      <c r="S362" s="110"/>
      <c r="T362" s="110"/>
      <c r="U362" s="110"/>
      <c r="V362" s="110"/>
      <c r="W362" s="110"/>
      <c r="X362" s="110"/>
      <c r="Y362" s="110"/>
      <c r="Z362" s="110"/>
      <c r="AA362" s="110"/>
      <c r="AB362" s="110"/>
      <c r="AC362" s="110"/>
      <c r="AD362" s="110"/>
    </row>
    <row r="363">
      <c r="A363" s="118"/>
      <c r="B363" s="112"/>
      <c r="C363" s="112"/>
      <c r="D363" s="119"/>
      <c r="E363" s="128"/>
      <c r="F363" s="113"/>
      <c r="G363" s="113"/>
      <c r="H363" s="134"/>
      <c r="I363" s="114"/>
      <c r="J363" s="132"/>
      <c r="K363" s="120" t="str">
        <f>IFERROR(__xludf.DUMMYFUNCTION("""COMPUTED_VALUE"""),"")</f>
        <v/>
      </c>
      <c r="L363" s="114" t="str">
        <f>IFERROR(__xludf.DUMMYFUNCTION("""COMPUTED_VALUE"""),"")</f>
        <v/>
      </c>
      <c r="M363" s="116"/>
      <c r="N363" s="110"/>
      <c r="O363" s="110"/>
      <c r="P363" s="110"/>
      <c r="Q363" s="110"/>
      <c r="R363" s="110"/>
      <c r="S363" s="110"/>
      <c r="T363" s="110"/>
      <c r="U363" s="110"/>
      <c r="V363" s="110"/>
      <c r="W363" s="110"/>
      <c r="X363" s="110"/>
      <c r="Y363" s="110"/>
      <c r="Z363" s="110"/>
      <c r="AA363" s="110"/>
      <c r="AB363" s="110"/>
      <c r="AC363" s="110"/>
      <c r="AD363" s="110"/>
    </row>
    <row r="364">
      <c r="A364" s="118"/>
      <c r="B364" s="112"/>
      <c r="C364" s="112"/>
      <c r="D364" s="119"/>
      <c r="E364" s="128"/>
      <c r="F364" s="113"/>
      <c r="G364" s="113"/>
      <c r="H364" s="113"/>
      <c r="I364" s="114"/>
      <c r="J364" s="132"/>
      <c r="K364" s="120" t="str">
        <f>IFERROR(__xludf.DUMMYFUNCTION("""COMPUTED_VALUE"""),"")</f>
        <v/>
      </c>
      <c r="L364" s="114" t="str">
        <f>IFERROR(__xludf.DUMMYFUNCTION("""COMPUTED_VALUE"""),"")</f>
        <v/>
      </c>
      <c r="M364" s="116"/>
      <c r="N364" s="110"/>
      <c r="O364" s="110"/>
      <c r="P364" s="110"/>
      <c r="Q364" s="110"/>
      <c r="R364" s="110"/>
      <c r="S364" s="110"/>
      <c r="T364" s="110"/>
      <c r="U364" s="110"/>
      <c r="V364" s="110"/>
      <c r="W364" s="110"/>
      <c r="X364" s="110"/>
      <c r="Y364" s="110"/>
      <c r="Z364" s="110"/>
      <c r="AA364" s="110"/>
      <c r="AB364" s="110"/>
      <c r="AC364" s="110"/>
      <c r="AD364" s="110"/>
    </row>
    <row r="365">
      <c r="A365" s="118"/>
      <c r="B365" s="112"/>
      <c r="C365" s="112"/>
      <c r="D365" s="119"/>
      <c r="E365" s="128"/>
      <c r="F365" s="113"/>
      <c r="G365" s="113"/>
      <c r="H365" s="134"/>
      <c r="I365" s="114"/>
      <c r="J365" s="132"/>
      <c r="K365" s="136" t="str">
        <f>IFERROR(__xludf.DUMMYFUNCTION("""COMPUTED_VALUE"""),"")</f>
        <v/>
      </c>
      <c r="L365" s="114" t="str">
        <f>IFERROR(__xludf.DUMMYFUNCTION("""COMPUTED_VALUE"""),"")</f>
        <v/>
      </c>
      <c r="M365" s="116"/>
      <c r="N365" s="110"/>
      <c r="O365" s="110"/>
      <c r="P365" s="110"/>
      <c r="Q365" s="110"/>
      <c r="R365" s="110"/>
      <c r="S365" s="110"/>
      <c r="T365" s="110"/>
      <c r="U365" s="110"/>
      <c r="V365" s="110"/>
      <c r="W365" s="110"/>
      <c r="X365" s="110"/>
      <c r="Y365" s="110"/>
      <c r="Z365" s="110"/>
      <c r="AA365" s="110"/>
      <c r="AB365" s="110"/>
      <c r="AC365" s="110"/>
      <c r="AD365" s="110"/>
    </row>
    <row r="366">
      <c r="A366" s="118"/>
      <c r="B366" s="112"/>
      <c r="C366" s="112"/>
      <c r="D366" s="119"/>
      <c r="E366" s="128"/>
      <c r="F366" s="113"/>
      <c r="G366" s="113"/>
      <c r="H366" s="134"/>
      <c r="I366" s="114"/>
      <c r="J366" s="132"/>
      <c r="K366" s="136" t="str">
        <f>IFERROR(__xludf.DUMMYFUNCTION("""COMPUTED_VALUE"""),"")</f>
        <v/>
      </c>
      <c r="L366" s="114" t="str">
        <f>IFERROR(__xludf.DUMMYFUNCTION("""COMPUTED_VALUE"""),"")</f>
        <v/>
      </c>
      <c r="M366" s="116"/>
      <c r="N366" s="110"/>
      <c r="O366" s="110"/>
      <c r="P366" s="110"/>
      <c r="Q366" s="110"/>
      <c r="R366" s="110"/>
      <c r="S366" s="110"/>
      <c r="T366" s="110"/>
      <c r="U366" s="110"/>
      <c r="V366" s="110"/>
      <c r="W366" s="110"/>
      <c r="X366" s="110"/>
      <c r="Y366" s="110"/>
      <c r="Z366" s="110"/>
      <c r="AA366" s="110"/>
      <c r="AB366" s="110"/>
      <c r="AC366" s="110"/>
      <c r="AD366" s="110"/>
    </row>
    <row r="367">
      <c r="A367" s="118"/>
      <c r="B367" s="112"/>
      <c r="C367" s="112"/>
      <c r="D367" s="119"/>
      <c r="E367" s="128"/>
      <c r="F367" s="113"/>
      <c r="G367" s="113"/>
      <c r="H367" s="113"/>
      <c r="I367" s="114"/>
      <c r="J367" s="132"/>
      <c r="K367" s="136" t="str">
        <f>IFERROR(__xludf.DUMMYFUNCTION("""COMPUTED_VALUE"""),"")</f>
        <v/>
      </c>
      <c r="L367" s="114" t="str">
        <f>IFERROR(__xludf.DUMMYFUNCTION("""COMPUTED_VALUE"""),"")</f>
        <v/>
      </c>
      <c r="M367" s="116"/>
      <c r="N367" s="110"/>
      <c r="O367" s="110"/>
      <c r="P367" s="110"/>
      <c r="Q367" s="110"/>
      <c r="R367" s="110"/>
      <c r="S367" s="110"/>
      <c r="T367" s="110"/>
      <c r="U367" s="110"/>
      <c r="V367" s="110"/>
      <c r="W367" s="110"/>
      <c r="X367" s="110"/>
      <c r="Y367" s="110"/>
      <c r="Z367" s="110"/>
      <c r="AA367" s="110"/>
      <c r="AB367" s="110"/>
      <c r="AC367" s="110"/>
      <c r="AD367" s="110"/>
    </row>
    <row r="368">
      <c r="A368" s="118"/>
      <c r="B368" s="112"/>
      <c r="C368" s="112"/>
      <c r="D368" s="119"/>
      <c r="E368" s="128"/>
      <c r="F368" s="113"/>
      <c r="G368" s="113"/>
      <c r="H368" s="134"/>
      <c r="I368" s="114"/>
      <c r="J368" s="132"/>
      <c r="K368" s="136" t="str">
        <f>IFERROR(__xludf.DUMMYFUNCTION("""COMPUTED_VALUE"""),"")</f>
        <v/>
      </c>
      <c r="L368" s="114" t="str">
        <f>IFERROR(__xludf.DUMMYFUNCTION("""COMPUTED_VALUE"""),"")</f>
        <v/>
      </c>
      <c r="M368" s="116"/>
      <c r="N368" s="110"/>
      <c r="O368" s="110"/>
      <c r="P368" s="110"/>
      <c r="Q368" s="110"/>
      <c r="R368" s="110"/>
      <c r="S368" s="110"/>
      <c r="T368" s="110"/>
      <c r="U368" s="110"/>
      <c r="V368" s="110"/>
      <c r="W368" s="110"/>
      <c r="X368" s="110"/>
      <c r="Y368" s="110"/>
      <c r="Z368" s="110"/>
      <c r="AA368" s="110"/>
      <c r="AB368" s="110"/>
      <c r="AC368" s="110"/>
      <c r="AD368" s="110"/>
    </row>
    <row r="369">
      <c r="A369" s="118"/>
      <c r="B369" s="112"/>
      <c r="C369" s="112"/>
      <c r="D369" s="119"/>
      <c r="E369" s="128"/>
      <c r="F369" s="113"/>
      <c r="G369" s="113"/>
      <c r="H369" s="134"/>
      <c r="I369" s="114"/>
      <c r="J369" s="132"/>
      <c r="K369" s="136" t="str">
        <f>IFERROR(__xludf.DUMMYFUNCTION("""COMPUTED_VALUE"""),"")</f>
        <v/>
      </c>
      <c r="L369" s="114" t="str">
        <f>IFERROR(__xludf.DUMMYFUNCTION("""COMPUTED_VALUE"""),"")</f>
        <v/>
      </c>
      <c r="M369" s="116"/>
      <c r="N369" s="110"/>
      <c r="O369" s="110"/>
      <c r="P369" s="110"/>
      <c r="Q369" s="110"/>
      <c r="R369" s="110"/>
      <c r="S369" s="110"/>
      <c r="T369" s="110"/>
      <c r="U369" s="110"/>
      <c r="V369" s="110"/>
      <c r="W369" s="110"/>
      <c r="X369" s="110"/>
      <c r="Y369" s="110"/>
      <c r="Z369" s="110"/>
      <c r="AA369" s="110"/>
      <c r="AB369" s="110"/>
      <c r="AC369" s="110"/>
      <c r="AD369" s="110"/>
    </row>
    <row r="370">
      <c r="A370" s="118"/>
      <c r="B370" s="112"/>
      <c r="C370" s="112"/>
      <c r="D370" s="119"/>
      <c r="E370" s="128"/>
      <c r="F370" s="113"/>
      <c r="G370" s="113"/>
      <c r="H370" s="134"/>
      <c r="I370" s="114"/>
      <c r="J370" s="132"/>
      <c r="K370" s="136" t="str">
        <f>IFERROR(__xludf.DUMMYFUNCTION("""COMPUTED_VALUE"""),"")</f>
        <v/>
      </c>
      <c r="L370" s="114" t="str">
        <f>IFERROR(__xludf.DUMMYFUNCTION("""COMPUTED_VALUE"""),"")</f>
        <v/>
      </c>
      <c r="M370" s="116"/>
      <c r="N370" s="110"/>
      <c r="O370" s="110"/>
      <c r="P370" s="110"/>
      <c r="Q370" s="110"/>
      <c r="R370" s="110"/>
      <c r="S370" s="110"/>
      <c r="T370" s="110"/>
      <c r="U370" s="110"/>
      <c r="V370" s="110"/>
      <c r="W370" s="110"/>
      <c r="X370" s="110"/>
      <c r="Y370" s="110"/>
      <c r="Z370" s="110"/>
      <c r="AA370" s="110"/>
      <c r="AB370" s="110"/>
      <c r="AC370" s="110"/>
      <c r="AD370" s="110"/>
    </row>
    <row r="371">
      <c r="A371" s="118"/>
      <c r="B371" s="112"/>
      <c r="C371" s="112"/>
      <c r="D371" s="119"/>
      <c r="E371" s="128"/>
      <c r="F371" s="113"/>
      <c r="G371" s="113"/>
      <c r="H371" s="113"/>
      <c r="I371" s="114"/>
      <c r="J371" s="132"/>
      <c r="K371" s="136" t="str">
        <f>IFERROR(__xludf.DUMMYFUNCTION("""COMPUTED_VALUE"""),"")</f>
        <v/>
      </c>
      <c r="L371" s="114" t="str">
        <f>IFERROR(__xludf.DUMMYFUNCTION("""COMPUTED_VALUE"""),"")</f>
        <v/>
      </c>
      <c r="M371" s="116"/>
      <c r="N371" s="110"/>
      <c r="O371" s="110"/>
      <c r="P371" s="110"/>
      <c r="Q371" s="110"/>
      <c r="R371" s="110"/>
      <c r="S371" s="110"/>
      <c r="T371" s="110"/>
      <c r="U371" s="110"/>
      <c r="V371" s="110"/>
      <c r="W371" s="110"/>
      <c r="X371" s="110"/>
      <c r="Y371" s="110"/>
      <c r="Z371" s="110"/>
      <c r="AA371" s="110"/>
      <c r="AB371" s="110"/>
      <c r="AC371" s="110"/>
      <c r="AD371" s="110"/>
    </row>
    <row r="372">
      <c r="A372" s="118"/>
      <c r="B372" s="112"/>
      <c r="C372" s="112"/>
      <c r="D372" s="119"/>
      <c r="E372" s="128"/>
      <c r="F372" s="113"/>
      <c r="G372" s="113"/>
      <c r="H372" s="134"/>
      <c r="I372" s="114"/>
      <c r="J372" s="132"/>
      <c r="K372" s="136" t="str">
        <f>IFERROR(__xludf.DUMMYFUNCTION("""COMPUTED_VALUE"""),"")</f>
        <v/>
      </c>
      <c r="L372" s="114" t="str">
        <f>IFERROR(__xludf.DUMMYFUNCTION("""COMPUTED_VALUE"""),"")</f>
        <v/>
      </c>
      <c r="M372" s="116"/>
      <c r="N372" s="110"/>
      <c r="O372" s="110"/>
      <c r="P372" s="110"/>
      <c r="Q372" s="110"/>
      <c r="R372" s="110"/>
      <c r="S372" s="110"/>
      <c r="T372" s="110"/>
      <c r="U372" s="110"/>
      <c r="V372" s="110"/>
      <c r="W372" s="110"/>
      <c r="X372" s="110"/>
      <c r="Y372" s="110"/>
      <c r="Z372" s="110"/>
      <c r="AA372" s="110"/>
      <c r="AB372" s="110"/>
      <c r="AC372" s="110"/>
      <c r="AD372" s="110"/>
    </row>
    <row r="373">
      <c r="A373" s="118"/>
      <c r="B373" s="112"/>
      <c r="C373" s="112"/>
      <c r="D373" s="119"/>
      <c r="E373" s="128"/>
      <c r="F373" s="113"/>
      <c r="G373" s="113"/>
      <c r="H373" s="134"/>
      <c r="I373" s="114"/>
      <c r="J373" s="132"/>
      <c r="K373" s="136" t="str">
        <f>IFERROR(__xludf.DUMMYFUNCTION("""COMPUTED_VALUE"""),"")</f>
        <v/>
      </c>
      <c r="L373" s="114" t="str">
        <f>IFERROR(__xludf.DUMMYFUNCTION("""COMPUTED_VALUE"""),"")</f>
        <v/>
      </c>
      <c r="M373" s="116"/>
      <c r="N373" s="110"/>
      <c r="O373" s="110"/>
      <c r="P373" s="110"/>
      <c r="Q373" s="110"/>
      <c r="R373" s="110"/>
      <c r="S373" s="110"/>
      <c r="T373" s="110"/>
      <c r="U373" s="110"/>
      <c r="V373" s="110"/>
      <c r="W373" s="110"/>
      <c r="X373" s="110"/>
      <c r="Y373" s="110"/>
      <c r="Z373" s="110"/>
      <c r="AA373" s="110"/>
      <c r="AB373" s="110"/>
      <c r="AC373" s="110"/>
      <c r="AD373" s="110"/>
    </row>
    <row r="374">
      <c r="A374" s="118"/>
      <c r="B374" s="112"/>
      <c r="C374" s="112"/>
      <c r="D374" s="119"/>
      <c r="E374" s="128"/>
      <c r="F374" s="113"/>
      <c r="G374" s="113"/>
      <c r="H374" s="134"/>
      <c r="I374" s="114"/>
      <c r="J374" s="132"/>
      <c r="K374" s="136" t="str">
        <f>IFERROR(__xludf.DUMMYFUNCTION("""COMPUTED_VALUE"""),"")</f>
        <v/>
      </c>
      <c r="L374" s="114" t="str">
        <f>IFERROR(__xludf.DUMMYFUNCTION("""COMPUTED_VALUE"""),"")</f>
        <v/>
      </c>
      <c r="M374" s="116"/>
      <c r="N374" s="110"/>
      <c r="O374" s="110"/>
      <c r="P374" s="110"/>
      <c r="Q374" s="110"/>
      <c r="R374" s="110"/>
      <c r="S374" s="110"/>
      <c r="T374" s="110"/>
      <c r="U374" s="110"/>
      <c r="V374" s="110"/>
      <c r="W374" s="110"/>
      <c r="X374" s="110"/>
      <c r="Y374" s="110"/>
      <c r="Z374" s="110"/>
      <c r="AA374" s="110"/>
      <c r="AB374" s="110"/>
      <c r="AC374" s="110"/>
      <c r="AD374" s="110"/>
    </row>
    <row r="375">
      <c r="A375" s="118"/>
      <c r="B375" s="112"/>
      <c r="C375" s="112"/>
      <c r="D375" s="119"/>
      <c r="E375" s="128"/>
      <c r="F375" s="113"/>
      <c r="G375" s="113"/>
      <c r="H375" s="113"/>
      <c r="I375" s="114"/>
      <c r="J375" s="132"/>
      <c r="K375" s="136" t="str">
        <f>IFERROR(__xludf.DUMMYFUNCTION("""COMPUTED_VALUE"""),"")</f>
        <v/>
      </c>
      <c r="L375" s="114" t="str">
        <f>IFERROR(__xludf.DUMMYFUNCTION("""COMPUTED_VALUE"""),"")</f>
        <v/>
      </c>
      <c r="M375" s="116"/>
      <c r="N375" s="110"/>
      <c r="O375" s="110"/>
      <c r="P375" s="110"/>
      <c r="Q375" s="110"/>
      <c r="R375" s="110"/>
      <c r="S375" s="110"/>
      <c r="T375" s="110"/>
      <c r="U375" s="110"/>
      <c r="V375" s="110"/>
      <c r="W375" s="110"/>
      <c r="X375" s="110"/>
      <c r="Y375" s="110"/>
      <c r="Z375" s="110"/>
      <c r="AA375" s="110"/>
      <c r="AB375" s="110"/>
      <c r="AC375" s="110"/>
      <c r="AD375" s="110"/>
    </row>
    <row r="376">
      <c r="A376" s="118"/>
      <c r="B376" s="112"/>
      <c r="C376" s="112"/>
      <c r="D376" s="119"/>
      <c r="E376" s="128"/>
      <c r="F376" s="113"/>
      <c r="G376" s="113"/>
      <c r="H376" s="134"/>
      <c r="I376" s="114"/>
      <c r="J376" s="132"/>
      <c r="K376" s="136" t="str">
        <f>IFERROR(__xludf.DUMMYFUNCTION("""COMPUTED_VALUE"""),"")</f>
        <v/>
      </c>
      <c r="L376" s="114" t="str">
        <f>IFERROR(__xludf.DUMMYFUNCTION("""COMPUTED_VALUE"""),"")</f>
        <v/>
      </c>
      <c r="M376" s="116"/>
      <c r="N376" s="110"/>
      <c r="O376" s="110"/>
      <c r="P376" s="110"/>
      <c r="Q376" s="110"/>
      <c r="R376" s="110"/>
      <c r="S376" s="110"/>
      <c r="T376" s="110"/>
      <c r="U376" s="110"/>
      <c r="V376" s="110"/>
      <c r="W376" s="110"/>
      <c r="X376" s="110"/>
      <c r="Y376" s="110"/>
      <c r="Z376" s="110"/>
      <c r="AA376" s="110"/>
      <c r="AB376" s="110"/>
      <c r="AC376" s="110"/>
      <c r="AD376" s="110"/>
    </row>
    <row r="377">
      <c r="A377" s="118"/>
      <c r="B377" s="112"/>
      <c r="C377" s="112"/>
      <c r="D377" s="119"/>
      <c r="E377" s="128"/>
      <c r="F377" s="113"/>
      <c r="G377" s="113"/>
      <c r="H377" s="134"/>
      <c r="I377" s="114"/>
      <c r="J377" s="132"/>
      <c r="K377" s="136" t="str">
        <f>IFERROR(__xludf.DUMMYFUNCTION("""COMPUTED_VALUE"""),"")</f>
        <v/>
      </c>
      <c r="L377" s="114" t="str">
        <f>IFERROR(__xludf.DUMMYFUNCTION("""COMPUTED_VALUE"""),"")</f>
        <v/>
      </c>
      <c r="M377" s="116"/>
      <c r="N377" s="110"/>
      <c r="O377" s="110"/>
      <c r="P377" s="110"/>
      <c r="Q377" s="110"/>
      <c r="R377" s="110"/>
      <c r="S377" s="110"/>
      <c r="T377" s="110"/>
      <c r="U377" s="110"/>
      <c r="V377" s="110"/>
      <c r="W377" s="110"/>
      <c r="X377" s="110"/>
      <c r="Y377" s="110"/>
      <c r="Z377" s="110"/>
      <c r="AA377" s="110"/>
      <c r="AB377" s="110"/>
      <c r="AC377" s="110"/>
      <c r="AD377" s="110"/>
    </row>
    <row r="378">
      <c r="A378" s="118"/>
      <c r="B378" s="112"/>
      <c r="C378" s="112"/>
      <c r="D378" s="119"/>
      <c r="E378" s="128"/>
      <c r="F378" s="113"/>
      <c r="G378" s="113"/>
      <c r="H378" s="113"/>
      <c r="I378" s="114"/>
      <c r="J378" s="132"/>
      <c r="K378" s="136" t="str">
        <f>IFERROR(__xludf.DUMMYFUNCTION("""COMPUTED_VALUE"""),"")</f>
        <v/>
      </c>
      <c r="L378" s="114" t="str">
        <f>IFERROR(__xludf.DUMMYFUNCTION("""COMPUTED_VALUE"""),"")</f>
        <v/>
      </c>
      <c r="M378" s="116"/>
      <c r="N378" s="110"/>
      <c r="O378" s="110"/>
      <c r="P378" s="110"/>
      <c r="Q378" s="110"/>
      <c r="R378" s="110"/>
      <c r="S378" s="110"/>
      <c r="T378" s="110"/>
      <c r="U378" s="110"/>
      <c r="V378" s="110"/>
      <c r="W378" s="110"/>
      <c r="X378" s="110"/>
      <c r="Y378" s="110"/>
      <c r="Z378" s="110"/>
      <c r="AA378" s="110"/>
      <c r="AB378" s="110"/>
      <c r="AC378" s="110"/>
      <c r="AD378" s="110"/>
    </row>
    <row r="379">
      <c r="A379" s="118"/>
      <c r="B379" s="112"/>
      <c r="C379" s="112"/>
      <c r="D379" s="119"/>
      <c r="E379" s="128"/>
      <c r="F379" s="113"/>
      <c r="G379" s="113"/>
      <c r="H379" s="134"/>
      <c r="I379" s="114"/>
      <c r="J379" s="132"/>
      <c r="K379" s="136" t="str">
        <f>IFERROR(__xludf.DUMMYFUNCTION("""COMPUTED_VALUE"""),"")</f>
        <v/>
      </c>
      <c r="L379" s="114" t="str">
        <f>IFERROR(__xludf.DUMMYFUNCTION("""COMPUTED_VALUE"""),"")</f>
        <v/>
      </c>
      <c r="M379" s="116"/>
      <c r="N379" s="110"/>
      <c r="O379" s="110"/>
      <c r="P379" s="110"/>
      <c r="Q379" s="110"/>
      <c r="R379" s="110"/>
      <c r="S379" s="110"/>
      <c r="T379" s="110"/>
      <c r="U379" s="110"/>
      <c r="V379" s="110"/>
      <c r="W379" s="110"/>
      <c r="X379" s="110"/>
      <c r="Y379" s="110"/>
      <c r="Z379" s="110"/>
      <c r="AA379" s="110"/>
      <c r="AB379" s="110"/>
      <c r="AC379" s="110"/>
      <c r="AD379" s="110"/>
    </row>
    <row r="380">
      <c r="A380" s="118"/>
      <c r="B380" s="112"/>
      <c r="C380" s="112"/>
      <c r="D380" s="119"/>
      <c r="E380" s="128"/>
      <c r="F380" s="113"/>
      <c r="G380" s="113"/>
      <c r="H380" s="134"/>
      <c r="I380" s="114"/>
      <c r="J380" s="132"/>
      <c r="K380" s="136" t="str">
        <f>IFERROR(__xludf.DUMMYFUNCTION("""COMPUTED_VALUE"""),"")</f>
        <v/>
      </c>
      <c r="L380" s="114" t="str">
        <f>IFERROR(__xludf.DUMMYFUNCTION("""COMPUTED_VALUE"""),"")</f>
        <v/>
      </c>
      <c r="M380" s="116"/>
      <c r="N380" s="110"/>
      <c r="O380" s="110"/>
      <c r="P380" s="110"/>
      <c r="Q380" s="110"/>
      <c r="R380" s="110"/>
      <c r="S380" s="110"/>
      <c r="T380" s="110"/>
      <c r="U380" s="110"/>
      <c r="V380" s="110"/>
      <c r="W380" s="110"/>
      <c r="X380" s="110"/>
      <c r="Y380" s="110"/>
      <c r="Z380" s="110"/>
      <c r="AA380" s="110"/>
      <c r="AB380" s="110"/>
      <c r="AC380" s="110"/>
      <c r="AD380" s="110"/>
    </row>
    <row r="381">
      <c r="A381" s="118"/>
      <c r="B381" s="112"/>
      <c r="C381" s="112"/>
      <c r="D381" s="119"/>
      <c r="E381" s="128"/>
      <c r="F381" s="113"/>
      <c r="G381" s="113"/>
      <c r="H381" s="134"/>
      <c r="I381" s="114"/>
      <c r="J381" s="132"/>
      <c r="K381" s="136" t="str">
        <f>IFERROR(__xludf.DUMMYFUNCTION("""COMPUTED_VALUE"""),"")</f>
        <v/>
      </c>
      <c r="L381" s="114" t="str">
        <f>IFERROR(__xludf.DUMMYFUNCTION("""COMPUTED_VALUE"""),"")</f>
        <v/>
      </c>
      <c r="M381" s="116"/>
      <c r="N381" s="110"/>
      <c r="O381" s="110"/>
      <c r="P381" s="110"/>
      <c r="Q381" s="110"/>
      <c r="R381" s="110"/>
      <c r="S381" s="110"/>
      <c r="T381" s="110"/>
      <c r="U381" s="110"/>
      <c r="V381" s="110"/>
      <c r="W381" s="110"/>
      <c r="X381" s="110"/>
      <c r="Y381" s="110"/>
      <c r="Z381" s="110"/>
      <c r="AA381" s="110"/>
      <c r="AB381" s="110"/>
      <c r="AC381" s="110"/>
      <c r="AD381" s="110"/>
    </row>
    <row r="382">
      <c r="A382" s="118"/>
      <c r="B382" s="112"/>
      <c r="C382" s="112"/>
      <c r="D382" s="119"/>
      <c r="E382" s="128"/>
      <c r="F382" s="113"/>
      <c r="G382" s="113"/>
      <c r="H382" s="113"/>
      <c r="I382" s="114"/>
      <c r="J382" s="132"/>
      <c r="K382" s="136" t="str">
        <f>IFERROR(__xludf.DUMMYFUNCTION("""COMPUTED_VALUE"""),"")</f>
        <v/>
      </c>
      <c r="L382" s="114" t="str">
        <f>IFERROR(__xludf.DUMMYFUNCTION("""COMPUTED_VALUE"""),"")</f>
        <v/>
      </c>
      <c r="M382" s="116"/>
      <c r="N382" s="110"/>
      <c r="O382" s="110"/>
      <c r="P382" s="110"/>
      <c r="Q382" s="110"/>
      <c r="R382" s="110"/>
      <c r="S382" s="110"/>
      <c r="T382" s="110"/>
      <c r="U382" s="110"/>
      <c r="V382" s="110"/>
      <c r="W382" s="110"/>
      <c r="X382" s="110"/>
      <c r="Y382" s="110"/>
      <c r="Z382" s="110"/>
      <c r="AA382" s="110"/>
      <c r="AB382" s="110"/>
      <c r="AC382" s="110"/>
      <c r="AD382" s="110"/>
    </row>
    <row r="383">
      <c r="A383" s="118"/>
      <c r="B383" s="112"/>
      <c r="C383" s="112"/>
      <c r="D383" s="119"/>
      <c r="E383" s="128"/>
      <c r="F383" s="113"/>
      <c r="G383" s="113"/>
      <c r="H383" s="134"/>
      <c r="I383" s="114"/>
      <c r="J383" s="132"/>
      <c r="K383" s="136" t="str">
        <f>IFERROR(__xludf.DUMMYFUNCTION("""COMPUTED_VALUE"""),"")</f>
        <v/>
      </c>
      <c r="L383" s="114" t="str">
        <f>IFERROR(__xludf.DUMMYFUNCTION("""COMPUTED_VALUE"""),"")</f>
        <v/>
      </c>
      <c r="M383" s="116"/>
      <c r="N383" s="110"/>
      <c r="O383" s="110"/>
      <c r="P383" s="110"/>
      <c r="Q383" s="110"/>
      <c r="R383" s="110"/>
      <c r="S383" s="110"/>
      <c r="T383" s="110"/>
      <c r="U383" s="110"/>
      <c r="V383" s="110"/>
      <c r="W383" s="110"/>
      <c r="X383" s="110"/>
      <c r="Y383" s="110"/>
      <c r="Z383" s="110"/>
      <c r="AA383" s="110"/>
      <c r="AB383" s="110"/>
      <c r="AC383" s="110"/>
      <c r="AD383" s="110"/>
    </row>
    <row r="384">
      <c r="A384" s="118"/>
      <c r="B384" s="112"/>
      <c r="C384" s="112"/>
      <c r="D384" s="119"/>
      <c r="E384" s="128"/>
      <c r="F384" s="113"/>
      <c r="G384" s="113"/>
      <c r="H384" s="134"/>
      <c r="I384" s="114"/>
      <c r="J384" s="132"/>
      <c r="K384" s="136" t="str">
        <f>IFERROR(__xludf.DUMMYFUNCTION("""COMPUTED_VALUE"""),"")</f>
        <v/>
      </c>
      <c r="L384" s="114" t="str">
        <f>IFERROR(__xludf.DUMMYFUNCTION("""COMPUTED_VALUE"""),"")</f>
        <v/>
      </c>
      <c r="M384" s="116"/>
      <c r="N384" s="110"/>
      <c r="O384" s="110"/>
      <c r="P384" s="110"/>
      <c r="Q384" s="110"/>
      <c r="R384" s="110"/>
      <c r="S384" s="110"/>
      <c r="T384" s="110"/>
      <c r="U384" s="110"/>
      <c r="V384" s="110"/>
      <c r="W384" s="110"/>
      <c r="X384" s="110"/>
      <c r="Y384" s="110"/>
      <c r="Z384" s="110"/>
      <c r="AA384" s="110"/>
      <c r="AB384" s="110"/>
      <c r="AC384" s="110"/>
      <c r="AD384" s="110"/>
    </row>
    <row r="385">
      <c r="A385" s="118"/>
      <c r="B385" s="112"/>
      <c r="C385" s="112"/>
      <c r="D385" s="119"/>
      <c r="E385" s="128"/>
      <c r="F385" s="113"/>
      <c r="G385" s="113"/>
      <c r="H385" s="134"/>
      <c r="I385" s="114"/>
      <c r="J385" s="132"/>
      <c r="K385" s="136" t="str">
        <f>IFERROR(__xludf.DUMMYFUNCTION("""COMPUTED_VALUE"""),"")</f>
        <v/>
      </c>
      <c r="L385" s="114" t="str">
        <f>IFERROR(__xludf.DUMMYFUNCTION("""COMPUTED_VALUE"""),"")</f>
        <v/>
      </c>
      <c r="M385" s="116"/>
      <c r="N385" s="110"/>
      <c r="O385" s="110"/>
      <c r="P385" s="110"/>
      <c r="Q385" s="110"/>
      <c r="R385" s="110"/>
      <c r="S385" s="110"/>
      <c r="T385" s="110"/>
      <c r="U385" s="110"/>
      <c r="V385" s="110"/>
      <c r="W385" s="110"/>
      <c r="X385" s="110"/>
      <c r="Y385" s="110"/>
      <c r="Z385" s="110"/>
      <c r="AA385" s="110"/>
      <c r="AB385" s="110"/>
      <c r="AC385" s="110"/>
      <c r="AD385" s="110"/>
    </row>
    <row r="386">
      <c r="A386" s="118"/>
      <c r="B386" s="112"/>
      <c r="C386" s="112"/>
      <c r="D386" s="119"/>
      <c r="E386" s="128"/>
      <c r="F386" s="113"/>
      <c r="G386" s="113"/>
      <c r="H386" s="134"/>
      <c r="I386" s="114"/>
      <c r="J386" s="132"/>
      <c r="K386" s="136" t="str">
        <f>IFERROR(__xludf.DUMMYFUNCTION("""COMPUTED_VALUE"""),"")</f>
        <v/>
      </c>
      <c r="L386" s="114" t="str">
        <f>IFERROR(__xludf.DUMMYFUNCTION("""COMPUTED_VALUE"""),"")</f>
        <v/>
      </c>
      <c r="M386" s="116"/>
      <c r="N386" s="110"/>
      <c r="O386" s="110"/>
      <c r="P386" s="110"/>
      <c r="Q386" s="110"/>
      <c r="R386" s="110"/>
      <c r="S386" s="110"/>
      <c r="T386" s="110"/>
      <c r="U386" s="110"/>
      <c r="V386" s="110"/>
      <c r="W386" s="110"/>
      <c r="X386" s="110"/>
      <c r="Y386" s="110"/>
      <c r="Z386" s="110"/>
      <c r="AA386" s="110"/>
      <c r="AB386" s="110"/>
      <c r="AC386" s="110"/>
      <c r="AD386" s="110"/>
    </row>
    <row r="387">
      <c r="A387" s="118"/>
      <c r="B387" s="112"/>
      <c r="C387" s="112"/>
      <c r="D387" s="119"/>
      <c r="E387" s="128"/>
      <c r="F387" s="113"/>
      <c r="G387" s="113"/>
      <c r="H387" s="134"/>
      <c r="I387" s="114"/>
      <c r="J387" s="132"/>
      <c r="K387" s="136" t="str">
        <f>IFERROR(__xludf.DUMMYFUNCTION("""COMPUTED_VALUE"""),"")</f>
        <v/>
      </c>
      <c r="L387" s="114" t="str">
        <f>IFERROR(__xludf.DUMMYFUNCTION("""COMPUTED_VALUE"""),"")</f>
        <v/>
      </c>
      <c r="M387" s="116"/>
      <c r="N387" s="110"/>
      <c r="O387" s="110"/>
      <c r="P387" s="110"/>
      <c r="Q387" s="110"/>
      <c r="R387" s="110"/>
      <c r="S387" s="110"/>
      <c r="T387" s="110"/>
      <c r="U387" s="110"/>
      <c r="V387" s="110"/>
      <c r="W387" s="110"/>
      <c r="X387" s="110"/>
      <c r="Y387" s="110"/>
      <c r="Z387" s="110"/>
      <c r="AA387" s="110"/>
      <c r="AB387" s="110"/>
      <c r="AC387" s="110"/>
      <c r="AD387" s="110"/>
    </row>
    <row r="388">
      <c r="A388" s="118"/>
      <c r="B388" s="112"/>
      <c r="C388" s="112"/>
      <c r="D388" s="119"/>
      <c r="E388" s="128"/>
      <c r="F388" s="113"/>
      <c r="G388" s="113"/>
      <c r="H388" s="113"/>
      <c r="I388" s="114"/>
      <c r="J388" s="132"/>
      <c r="K388" s="136" t="str">
        <f>IFERROR(__xludf.DUMMYFUNCTION("""COMPUTED_VALUE"""),"")</f>
        <v/>
      </c>
      <c r="L388" s="114" t="str">
        <f>IFERROR(__xludf.DUMMYFUNCTION("""COMPUTED_VALUE"""),"")</f>
        <v/>
      </c>
      <c r="M388" s="116"/>
      <c r="N388" s="110"/>
      <c r="O388" s="110"/>
      <c r="P388" s="110"/>
      <c r="Q388" s="110"/>
      <c r="R388" s="110"/>
      <c r="S388" s="110"/>
      <c r="T388" s="110"/>
      <c r="U388" s="110"/>
      <c r="V388" s="110"/>
      <c r="W388" s="110"/>
      <c r="X388" s="110"/>
      <c r="Y388" s="110"/>
      <c r="Z388" s="110"/>
      <c r="AA388" s="110"/>
      <c r="AB388" s="110"/>
      <c r="AC388" s="110"/>
      <c r="AD388" s="110"/>
    </row>
    <row r="389">
      <c r="A389" s="118"/>
      <c r="B389" s="112"/>
      <c r="C389" s="112"/>
      <c r="D389" s="119"/>
      <c r="E389" s="128"/>
      <c r="F389" s="113"/>
      <c r="G389" s="113"/>
      <c r="H389" s="134"/>
      <c r="I389" s="114"/>
      <c r="J389" s="132"/>
      <c r="K389" s="136" t="str">
        <f>IFERROR(__xludf.DUMMYFUNCTION("""COMPUTED_VALUE"""),"")</f>
        <v/>
      </c>
      <c r="L389" s="114" t="str">
        <f>IFERROR(__xludf.DUMMYFUNCTION("""COMPUTED_VALUE"""),"")</f>
        <v/>
      </c>
      <c r="M389" s="116"/>
      <c r="N389" s="110"/>
      <c r="O389" s="110"/>
      <c r="P389" s="110"/>
      <c r="Q389" s="110"/>
      <c r="R389" s="110"/>
      <c r="S389" s="110"/>
      <c r="T389" s="110"/>
      <c r="U389" s="110"/>
      <c r="V389" s="110"/>
      <c r="W389" s="110"/>
      <c r="X389" s="110"/>
      <c r="Y389" s="110"/>
      <c r="Z389" s="110"/>
      <c r="AA389" s="110"/>
      <c r="AB389" s="110"/>
      <c r="AC389" s="110"/>
      <c r="AD389" s="110"/>
    </row>
    <row r="390">
      <c r="A390" s="118"/>
      <c r="B390" s="112"/>
      <c r="C390" s="112"/>
      <c r="D390" s="119"/>
      <c r="E390" s="128"/>
      <c r="F390" s="113"/>
      <c r="G390" s="113"/>
      <c r="H390" s="113"/>
      <c r="I390" s="114"/>
      <c r="J390" s="132"/>
      <c r="K390" s="136" t="str">
        <f>IFERROR(__xludf.DUMMYFUNCTION("""COMPUTED_VALUE"""),"")</f>
        <v/>
      </c>
      <c r="L390" s="114" t="str">
        <f>IFERROR(__xludf.DUMMYFUNCTION("""COMPUTED_VALUE"""),"")</f>
        <v/>
      </c>
      <c r="M390" s="116"/>
      <c r="N390" s="110"/>
      <c r="O390" s="110"/>
      <c r="P390" s="110"/>
      <c r="Q390" s="110"/>
      <c r="R390" s="110"/>
      <c r="S390" s="110"/>
      <c r="T390" s="110"/>
      <c r="U390" s="110"/>
      <c r="V390" s="110"/>
      <c r="W390" s="110"/>
      <c r="X390" s="110"/>
      <c r="Y390" s="110"/>
      <c r="Z390" s="110"/>
      <c r="AA390" s="110"/>
      <c r="AB390" s="110"/>
      <c r="AC390" s="110"/>
      <c r="AD390" s="110"/>
    </row>
    <row r="391">
      <c r="A391" s="118"/>
      <c r="B391" s="112"/>
      <c r="C391" s="112"/>
      <c r="D391" s="119"/>
      <c r="E391" s="128"/>
      <c r="F391" s="113"/>
      <c r="G391" s="113"/>
      <c r="H391" s="134"/>
      <c r="I391" s="114"/>
      <c r="J391" s="132"/>
      <c r="K391" s="136" t="str">
        <f>IFERROR(__xludf.DUMMYFUNCTION("""COMPUTED_VALUE"""),"")</f>
        <v/>
      </c>
      <c r="L391" s="114" t="str">
        <f>IFERROR(__xludf.DUMMYFUNCTION("""COMPUTED_VALUE"""),"")</f>
        <v/>
      </c>
      <c r="M391" s="116"/>
      <c r="N391" s="110"/>
      <c r="O391" s="110"/>
      <c r="P391" s="110"/>
      <c r="Q391" s="110"/>
      <c r="R391" s="110"/>
      <c r="S391" s="110"/>
      <c r="T391" s="110"/>
      <c r="U391" s="110"/>
      <c r="V391" s="110"/>
      <c r="W391" s="110"/>
      <c r="X391" s="110"/>
      <c r="Y391" s="110"/>
      <c r="Z391" s="110"/>
      <c r="AA391" s="110"/>
      <c r="AB391" s="110"/>
      <c r="AC391" s="110"/>
      <c r="AD391" s="110"/>
    </row>
    <row r="392">
      <c r="A392" s="118"/>
      <c r="B392" s="112"/>
      <c r="C392" s="112"/>
      <c r="D392" s="119"/>
      <c r="E392" s="128"/>
      <c r="F392" s="113"/>
      <c r="G392" s="113"/>
      <c r="H392" s="134"/>
      <c r="I392" s="114"/>
      <c r="J392" s="132"/>
      <c r="K392" s="136" t="str">
        <f>IFERROR(__xludf.DUMMYFUNCTION("""COMPUTED_VALUE"""),"")</f>
        <v/>
      </c>
      <c r="L392" s="114" t="str">
        <f>IFERROR(__xludf.DUMMYFUNCTION("""COMPUTED_VALUE"""),"")</f>
        <v/>
      </c>
      <c r="M392" s="116"/>
      <c r="N392" s="110"/>
      <c r="O392" s="110"/>
      <c r="P392" s="110"/>
      <c r="Q392" s="110"/>
      <c r="R392" s="110"/>
      <c r="S392" s="110"/>
      <c r="T392" s="110"/>
      <c r="U392" s="110"/>
      <c r="V392" s="110"/>
      <c r="W392" s="110"/>
      <c r="X392" s="110"/>
      <c r="Y392" s="110"/>
      <c r="Z392" s="110"/>
      <c r="AA392" s="110"/>
      <c r="AB392" s="110"/>
      <c r="AC392" s="110"/>
      <c r="AD392" s="110"/>
    </row>
    <row r="393">
      <c r="A393" s="118"/>
      <c r="B393" s="112"/>
      <c r="C393" s="112"/>
      <c r="D393" s="119"/>
      <c r="E393" s="128"/>
      <c r="F393" s="113"/>
      <c r="G393" s="113"/>
      <c r="H393" s="134"/>
      <c r="I393" s="114"/>
      <c r="J393" s="132"/>
      <c r="K393" s="136" t="str">
        <f>IFERROR(__xludf.DUMMYFUNCTION("""COMPUTED_VALUE"""),"")</f>
        <v/>
      </c>
      <c r="L393" s="114" t="str">
        <f>IFERROR(__xludf.DUMMYFUNCTION("""COMPUTED_VALUE"""),"")</f>
        <v/>
      </c>
      <c r="M393" s="116"/>
      <c r="N393" s="110"/>
      <c r="O393" s="110"/>
      <c r="P393" s="110"/>
      <c r="Q393" s="110"/>
      <c r="R393" s="110"/>
      <c r="S393" s="110"/>
      <c r="T393" s="110"/>
      <c r="U393" s="110"/>
      <c r="V393" s="110"/>
      <c r="W393" s="110"/>
      <c r="X393" s="110"/>
      <c r="Y393" s="110"/>
      <c r="Z393" s="110"/>
      <c r="AA393" s="110"/>
      <c r="AB393" s="110"/>
      <c r="AC393" s="110"/>
      <c r="AD393" s="110"/>
    </row>
    <row r="394">
      <c r="A394" s="118"/>
      <c r="B394" s="112"/>
      <c r="C394" s="112"/>
      <c r="D394" s="119"/>
      <c r="E394" s="128"/>
      <c r="F394" s="113"/>
      <c r="G394" s="113"/>
      <c r="H394" s="113"/>
      <c r="I394" s="114"/>
      <c r="J394" s="132"/>
      <c r="K394" s="136" t="str">
        <f>IFERROR(__xludf.DUMMYFUNCTION("""COMPUTED_VALUE"""),"")</f>
        <v/>
      </c>
      <c r="L394" s="114" t="str">
        <f>IFERROR(__xludf.DUMMYFUNCTION("""COMPUTED_VALUE"""),"")</f>
        <v/>
      </c>
      <c r="M394" s="116"/>
      <c r="N394" s="110"/>
      <c r="O394" s="110"/>
      <c r="P394" s="110"/>
      <c r="Q394" s="110"/>
      <c r="R394" s="110"/>
      <c r="S394" s="110"/>
      <c r="T394" s="110"/>
      <c r="U394" s="110"/>
      <c r="V394" s="110"/>
      <c r="W394" s="110"/>
      <c r="X394" s="110"/>
      <c r="Y394" s="110"/>
      <c r="Z394" s="110"/>
      <c r="AA394" s="110"/>
      <c r="AB394" s="110"/>
      <c r="AC394" s="110"/>
      <c r="AD394" s="110"/>
    </row>
    <row r="395">
      <c r="A395" s="118"/>
      <c r="B395" s="112"/>
      <c r="C395" s="112"/>
      <c r="D395" s="119"/>
      <c r="E395" s="128"/>
      <c r="F395" s="113"/>
      <c r="G395" s="113"/>
      <c r="H395" s="134"/>
      <c r="I395" s="114"/>
      <c r="J395" s="132"/>
      <c r="K395" s="136" t="str">
        <f>IFERROR(__xludf.DUMMYFUNCTION("""COMPUTED_VALUE"""),"")</f>
        <v/>
      </c>
      <c r="L395" s="114" t="str">
        <f>IFERROR(__xludf.DUMMYFUNCTION("""COMPUTED_VALUE"""),"")</f>
        <v/>
      </c>
      <c r="M395" s="116"/>
      <c r="N395" s="110"/>
      <c r="O395" s="110"/>
      <c r="P395" s="110"/>
      <c r="Q395" s="110"/>
      <c r="R395" s="110"/>
      <c r="S395" s="110"/>
      <c r="T395" s="110"/>
      <c r="U395" s="110"/>
      <c r="V395" s="110"/>
      <c r="W395" s="110"/>
      <c r="X395" s="110"/>
      <c r="Y395" s="110"/>
      <c r="Z395" s="110"/>
      <c r="AA395" s="110"/>
      <c r="AB395" s="110"/>
      <c r="AC395" s="110"/>
      <c r="AD395" s="110"/>
    </row>
    <row r="396">
      <c r="A396" s="118"/>
      <c r="B396" s="112"/>
      <c r="C396" s="112"/>
      <c r="D396" s="119"/>
      <c r="E396" s="128"/>
      <c r="F396" s="113"/>
      <c r="G396" s="113"/>
      <c r="H396" s="113"/>
      <c r="I396" s="114"/>
      <c r="J396" s="132"/>
      <c r="K396" s="136" t="str">
        <f>IFERROR(__xludf.DUMMYFUNCTION("""COMPUTED_VALUE"""),"")</f>
        <v/>
      </c>
      <c r="L396" s="114" t="str">
        <f>IFERROR(__xludf.DUMMYFUNCTION("""COMPUTED_VALUE"""),"")</f>
        <v/>
      </c>
      <c r="M396" s="116"/>
      <c r="N396" s="110"/>
      <c r="O396" s="110"/>
      <c r="P396" s="110"/>
      <c r="Q396" s="110"/>
      <c r="R396" s="110"/>
      <c r="S396" s="110"/>
      <c r="T396" s="110"/>
      <c r="U396" s="110"/>
      <c r="V396" s="110"/>
      <c r="W396" s="110"/>
      <c r="X396" s="110"/>
      <c r="Y396" s="110"/>
      <c r="Z396" s="110"/>
      <c r="AA396" s="110"/>
      <c r="AB396" s="110"/>
      <c r="AC396" s="110"/>
      <c r="AD396" s="110"/>
    </row>
    <row r="397">
      <c r="A397" s="118"/>
      <c r="B397" s="112"/>
      <c r="C397" s="112"/>
      <c r="D397" s="119"/>
      <c r="E397" s="128"/>
      <c r="F397" s="113"/>
      <c r="G397" s="113"/>
      <c r="H397" s="134"/>
      <c r="I397" s="114"/>
      <c r="J397" s="132"/>
      <c r="K397" s="136" t="str">
        <f>IFERROR(__xludf.DUMMYFUNCTION("""COMPUTED_VALUE"""),"")</f>
        <v/>
      </c>
      <c r="L397" s="114" t="str">
        <f>IFERROR(__xludf.DUMMYFUNCTION("""COMPUTED_VALUE"""),"")</f>
        <v/>
      </c>
      <c r="M397" s="116"/>
      <c r="N397" s="110"/>
      <c r="O397" s="110"/>
      <c r="P397" s="110"/>
      <c r="Q397" s="110"/>
      <c r="R397" s="110"/>
      <c r="S397" s="110"/>
      <c r="T397" s="110"/>
      <c r="U397" s="110"/>
      <c r="V397" s="110"/>
      <c r="W397" s="110"/>
      <c r="X397" s="110"/>
      <c r="Y397" s="110"/>
      <c r="Z397" s="110"/>
      <c r="AA397" s="110"/>
      <c r="AB397" s="110"/>
      <c r="AC397" s="110"/>
      <c r="AD397" s="110"/>
    </row>
    <row r="398">
      <c r="A398" s="118"/>
      <c r="B398" s="112"/>
      <c r="C398" s="112"/>
      <c r="D398" s="119"/>
      <c r="E398" s="128"/>
      <c r="F398" s="113"/>
      <c r="G398" s="113"/>
      <c r="H398" s="134"/>
      <c r="I398" s="114"/>
      <c r="J398" s="132"/>
      <c r="K398" s="136" t="str">
        <f>IFERROR(__xludf.DUMMYFUNCTION("""COMPUTED_VALUE"""),"")</f>
        <v/>
      </c>
      <c r="L398" s="114" t="str">
        <f>IFERROR(__xludf.DUMMYFUNCTION("""COMPUTED_VALUE"""),"")</f>
        <v/>
      </c>
      <c r="M398" s="116"/>
      <c r="N398" s="110"/>
      <c r="O398" s="110"/>
      <c r="P398" s="110"/>
      <c r="Q398" s="110"/>
      <c r="R398" s="110"/>
      <c r="S398" s="110"/>
      <c r="T398" s="110"/>
      <c r="U398" s="110"/>
      <c r="V398" s="110"/>
      <c r="W398" s="110"/>
      <c r="X398" s="110"/>
      <c r="Y398" s="110"/>
      <c r="Z398" s="110"/>
      <c r="AA398" s="110"/>
      <c r="AB398" s="110"/>
      <c r="AC398" s="110"/>
      <c r="AD398" s="110"/>
    </row>
    <row r="399">
      <c r="A399" s="118"/>
      <c r="B399" s="112"/>
      <c r="C399" s="112"/>
      <c r="D399" s="119"/>
      <c r="E399" s="128"/>
      <c r="F399" s="113"/>
      <c r="G399" s="113"/>
      <c r="H399" s="113"/>
      <c r="I399" s="114"/>
      <c r="J399" s="132"/>
      <c r="K399" s="136" t="str">
        <f>IFERROR(__xludf.DUMMYFUNCTION("""COMPUTED_VALUE"""),"")</f>
        <v/>
      </c>
      <c r="L399" s="114" t="str">
        <f>IFERROR(__xludf.DUMMYFUNCTION("""COMPUTED_VALUE"""),"")</f>
        <v/>
      </c>
      <c r="M399" s="116"/>
      <c r="N399" s="110"/>
      <c r="O399" s="110"/>
      <c r="P399" s="110"/>
      <c r="Q399" s="110"/>
      <c r="R399" s="110"/>
      <c r="S399" s="110"/>
      <c r="T399" s="110"/>
      <c r="U399" s="110"/>
      <c r="V399" s="110"/>
      <c r="W399" s="110"/>
      <c r="X399" s="110"/>
      <c r="Y399" s="110"/>
      <c r="Z399" s="110"/>
      <c r="AA399" s="110"/>
      <c r="AB399" s="110"/>
      <c r="AC399" s="110"/>
      <c r="AD399" s="110"/>
    </row>
    <row r="400">
      <c r="A400" s="118"/>
      <c r="B400" s="112"/>
      <c r="C400" s="112"/>
      <c r="D400" s="119"/>
      <c r="E400" s="128"/>
      <c r="F400" s="113"/>
      <c r="G400" s="113"/>
      <c r="H400" s="134"/>
      <c r="I400" s="114"/>
      <c r="J400" s="132"/>
      <c r="K400" s="136" t="str">
        <f>IFERROR(__xludf.DUMMYFUNCTION("""COMPUTED_VALUE"""),"")</f>
        <v/>
      </c>
      <c r="L400" s="114" t="str">
        <f>IFERROR(__xludf.DUMMYFUNCTION("""COMPUTED_VALUE"""),"")</f>
        <v/>
      </c>
      <c r="M400" s="116"/>
      <c r="N400" s="110"/>
      <c r="O400" s="110"/>
      <c r="P400" s="110"/>
      <c r="Q400" s="110"/>
      <c r="R400" s="110"/>
      <c r="S400" s="110"/>
      <c r="T400" s="110"/>
      <c r="U400" s="110"/>
      <c r="V400" s="110"/>
      <c r="W400" s="110"/>
      <c r="X400" s="110"/>
      <c r="Y400" s="110"/>
      <c r="Z400" s="110"/>
      <c r="AA400" s="110"/>
      <c r="AB400" s="110"/>
      <c r="AC400" s="110"/>
      <c r="AD400" s="110"/>
    </row>
    <row r="401">
      <c r="A401" s="118"/>
      <c r="B401" s="112"/>
      <c r="C401" s="112"/>
      <c r="D401" s="119"/>
      <c r="E401" s="128"/>
      <c r="F401" s="113"/>
      <c r="G401" s="113"/>
      <c r="H401" s="134"/>
      <c r="I401" s="114"/>
      <c r="J401" s="132"/>
      <c r="K401" s="136" t="str">
        <f>IFERROR(__xludf.DUMMYFUNCTION("""COMPUTED_VALUE"""),"")</f>
        <v/>
      </c>
      <c r="L401" s="114" t="str">
        <f>IFERROR(__xludf.DUMMYFUNCTION("""COMPUTED_VALUE"""),"")</f>
        <v/>
      </c>
      <c r="M401" s="116"/>
      <c r="N401" s="110"/>
      <c r="O401" s="110"/>
      <c r="P401" s="110"/>
      <c r="Q401" s="110"/>
      <c r="R401" s="110"/>
      <c r="S401" s="110"/>
      <c r="T401" s="110"/>
      <c r="U401" s="110"/>
      <c r="V401" s="110"/>
      <c r="W401" s="110"/>
      <c r="X401" s="110"/>
      <c r="Y401" s="110"/>
      <c r="Z401" s="110"/>
      <c r="AA401" s="110"/>
      <c r="AB401" s="110"/>
      <c r="AC401" s="110"/>
      <c r="AD401" s="110"/>
    </row>
    <row r="402">
      <c r="A402" s="118"/>
      <c r="B402" s="112"/>
      <c r="C402" s="112"/>
      <c r="D402" s="119"/>
      <c r="E402" s="128"/>
      <c r="F402" s="113"/>
      <c r="G402" s="113"/>
      <c r="H402" s="134"/>
      <c r="I402" s="114"/>
      <c r="J402" s="132"/>
      <c r="K402" s="136" t="str">
        <f>IFERROR(__xludf.DUMMYFUNCTION("""COMPUTED_VALUE"""),"")</f>
        <v/>
      </c>
      <c r="L402" s="114" t="str">
        <f>IFERROR(__xludf.DUMMYFUNCTION("""COMPUTED_VALUE"""),"")</f>
        <v/>
      </c>
      <c r="M402" s="116"/>
      <c r="N402" s="110"/>
      <c r="O402" s="110"/>
      <c r="P402" s="110"/>
      <c r="Q402" s="110"/>
      <c r="R402" s="110"/>
      <c r="S402" s="110"/>
      <c r="T402" s="110"/>
      <c r="U402" s="110"/>
      <c r="V402" s="110"/>
      <c r="W402" s="110"/>
      <c r="X402" s="110"/>
      <c r="Y402" s="110"/>
      <c r="Z402" s="110"/>
      <c r="AA402" s="110"/>
      <c r="AB402" s="110"/>
      <c r="AC402" s="110"/>
      <c r="AD402" s="110"/>
    </row>
    <row r="403">
      <c r="A403" s="118"/>
      <c r="B403" s="112"/>
      <c r="C403" s="112"/>
      <c r="D403" s="119"/>
      <c r="E403" s="128"/>
      <c r="F403" s="113"/>
      <c r="G403" s="113"/>
      <c r="H403" s="113"/>
      <c r="I403" s="114"/>
      <c r="J403" s="132"/>
      <c r="K403" s="136" t="str">
        <f>IFERROR(__xludf.DUMMYFUNCTION("""COMPUTED_VALUE"""),"")</f>
        <v/>
      </c>
      <c r="L403" s="114" t="str">
        <f>IFERROR(__xludf.DUMMYFUNCTION("""COMPUTED_VALUE"""),"")</f>
        <v/>
      </c>
      <c r="M403" s="116"/>
      <c r="N403" s="110"/>
      <c r="O403" s="110"/>
      <c r="P403" s="110"/>
      <c r="Q403" s="110"/>
      <c r="R403" s="110"/>
      <c r="S403" s="110"/>
      <c r="T403" s="110"/>
      <c r="U403" s="110"/>
      <c r="V403" s="110"/>
      <c r="W403" s="110"/>
      <c r="X403" s="110"/>
      <c r="Y403" s="110"/>
      <c r="Z403" s="110"/>
      <c r="AA403" s="110"/>
      <c r="AB403" s="110"/>
      <c r="AC403" s="110"/>
      <c r="AD403" s="110"/>
    </row>
    <row r="404">
      <c r="A404" s="118"/>
      <c r="B404" s="112"/>
      <c r="C404" s="112"/>
      <c r="D404" s="119"/>
      <c r="E404" s="128"/>
      <c r="F404" s="113"/>
      <c r="G404" s="113"/>
      <c r="H404" s="134"/>
      <c r="I404" s="114"/>
      <c r="J404" s="132"/>
      <c r="K404" s="136" t="str">
        <f>IFERROR(__xludf.DUMMYFUNCTION("""COMPUTED_VALUE"""),"")</f>
        <v/>
      </c>
      <c r="L404" s="114" t="str">
        <f>IFERROR(__xludf.DUMMYFUNCTION("""COMPUTED_VALUE"""),"")</f>
        <v/>
      </c>
      <c r="M404" s="116"/>
      <c r="N404" s="110"/>
      <c r="O404" s="110"/>
      <c r="P404" s="110"/>
      <c r="Q404" s="110"/>
      <c r="R404" s="110"/>
      <c r="S404" s="110"/>
      <c r="T404" s="110"/>
      <c r="U404" s="110"/>
      <c r="V404" s="110"/>
      <c r="W404" s="110"/>
      <c r="X404" s="110"/>
      <c r="Y404" s="110"/>
      <c r="Z404" s="110"/>
      <c r="AA404" s="110"/>
      <c r="AB404" s="110"/>
      <c r="AC404" s="110"/>
      <c r="AD404" s="110"/>
    </row>
    <row r="405">
      <c r="A405" s="118"/>
      <c r="B405" s="112"/>
      <c r="C405" s="112"/>
      <c r="D405" s="119"/>
      <c r="E405" s="128"/>
      <c r="F405" s="113"/>
      <c r="G405" s="113"/>
      <c r="H405" s="134"/>
      <c r="I405" s="114"/>
      <c r="J405" s="132"/>
      <c r="K405" s="136" t="str">
        <f>IFERROR(__xludf.DUMMYFUNCTION("""COMPUTED_VALUE"""),"")</f>
        <v/>
      </c>
      <c r="L405" s="114" t="str">
        <f>IFERROR(__xludf.DUMMYFUNCTION("""COMPUTED_VALUE"""),"")</f>
        <v/>
      </c>
      <c r="M405" s="116"/>
      <c r="N405" s="110"/>
      <c r="O405" s="110"/>
      <c r="P405" s="110"/>
      <c r="Q405" s="110"/>
      <c r="R405" s="110"/>
      <c r="S405" s="110"/>
      <c r="T405" s="110"/>
      <c r="U405" s="110"/>
      <c r="V405" s="110"/>
      <c r="W405" s="110"/>
      <c r="X405" s="110"/>
      <c r="Y405" s="110"/>
      <c r="Z405" s="110"/>
      <c r="AA405" s="110"/>
      <c r="AB405" s="110"/>
      <c r="AC405" s="110"/>
      <c r="AD405" s="110"/>
    </row>
    <row r="406">
      <c r="A406" s="118"/>
      <c r="B406" s="112"/>
      <c r="C406" s="112"/>
      <c r="D406" s="119"/>
      <c r="E406" s="128"/>
      <c r="F406" s="113"/>
      <c r="G406" s="113"/>
      <c r="H406" s="134"/>
      <c r="I406" s="114"/>
      <c r="J406" s="132"/>
      <c r="K406" s="136" t="str">
        <f>IFERROR(__xludf.DUMMYFUNCTION("""COMPUTED_VALUE"""),"")</f>
        <v/>
      </c>
      <c r="L406" s="114" t="str">
        <f>IFERROR(__xludf.DUMMYFUNCTION("""COMPUTED_VALUE"""),"")</f>
        <v/>
      </c>
      <c r="M406" s="116"/>
      <c r="N406" s="110"/>
      <c r="O406" s="110"/>
      <c r="P406" s="110"/>
      <c r="Q406" s="110"/>
      <c r="R406" s="110"/>
      <c r="S406" s="110"/>
      <c r="T406" s="110"/>
      <c r="U406" s="110"/>
      <c r="V406" s="110"/>
      <c r="W406" s="110"/>
      <c r="X406" s="110"/>
      <c r="Y406" s="110"/>
      <c r="Z406" s="110"/>
      <c r="AA406" s="110"/>
      <c r="AB406" s="110"/>
      <c r="AC406" s="110"/>
      <c r="AD406" s="110"/>
    </row>
    <row r="407">
      <c r="A407" s="118"/>
      <c r="B407" s="112"/>
      <c r="C407" s="112"/>
      <c r="D407" s="119"/>
      <c r="E407" s="128"/>
      <c r="F407" s="113"/>
      <c r="G407" s="113"/>
      <c r="H407" s="113"/>
      <c r="I407" s="114"/>
      <c r="J407" s="132"/>
      <c r="K407" s="136" t="str">
        <f>IFERROR(__xludf.DUMMYFUNCTION("""COMPUTED_VALUE"""),"")</f>
        <v/>
      </c>
      <c r="L407" s="114" t="str">
        <f>IFERROR(__xludf.DUMMYFUNCTION("""COMPUTED_VALUE"""),"")</f>
        <v/>
      </c>
      <c r="M407" s="116"/>
      <c r="N407" s="110"/>
      <c r="O407" s="110"/>
      <c r="P407" s="110"/>
      <c r="Q407" s="110"/>
      <c r="R407" s="110"/>
      <c r="S407" s="110"/>
      <c r="T407" s="110"/>
      <c r="U407" s="110"/>
      <c r="V407" s="110"/>
      <c r="W407" s="110"/>
      <c r="X407" s="110"/>
      <c r="Y407" s="110"/>
      <c r="Z407" s="110"/>
      <c r="AA407" s="110"/>
      <c r="AB407" s="110"/>
      <c r="AC407" s="110"/>
      <c r="AD407" s="110"/>
    </row>
    <row r="408">
      <c r="A408" s="118"/>
      <c r="B408" s="112"/>
      <c r="C408" s="112"/>
      <c r="D408" s="119"/>
      <c r="E408" s="128"/>
      <c r="F408" s="113"/>
      <c r="G408" s="113"/>
      <c r="H408" s="134"/>
      <c r="I408" s="114"/>
      <c r="J408" s="132"/>
      <c r="K408" s="136" t="str">
        <f>IFERROR(__xludf.DUMMYFUNCTION("""COMPUTED_VALUE"""),"")</f>
        <v/>
      </c>
      <c r="L408" s="114" t="str">
        <f>IFERROR(__xludf.DUMMYFUNCTION("""COMPUTED_VALUE"""),"")</f>
        <v/>
      </c>
      <c r="M408" s="116"/>
      <c r="N408" s="110"/>
      <c r="O408" s="110"/>
      <c r="P408" s="110"/>
      <c r="Q408" s="110"/>
      <c r="R408" s="110"/>
      <c r="S408" s="110"/>
      <c r="T408" s="110"/>
      <c r="U408" s="110"/>
      <c r="V408" s="110"/>
      <c r="W408" s="110"/>
      <c r="X408" s="110"/>
      <c r="Y408" s="110"/>
      <c r="Z408" s="110"/>
      <c r="AA408" s="110"/>
      <c r="AB408" s="110"/>
      <c r="AC408" s="110"/>
      <c r="AD408" s="110"/>
    </row>
    <row r="409">
      <c r="A409" s="118"/>
      <c r="B409" s="112"/>
      <c r="C409" s="112"/>
      <c r="D409" s="119"/>
      <c r="E409" s="128"/>
      <c r="F409" s="113"/>
      <c r="G409" s="113"/>
      <c r="H409" s="113"/>
      <c r="I409" s="114"/>
      <c r="J409" s="132"/>
      <c r="K409" s="136" t="str">
        <f>IFERROR(__xludf.DUMMYFUNCTION("""COMPUTED_VALUE"""),"")</f>
        <v/>
      </c>
      <c r="L409" s="114" t="str">
        <f>IFERROR(__xludf.DUMMYFUNCTION("""COMPUTED_VALUE"""),"")</f>
        <v/>
      </c>
      <c r="M409" s="116"/>
      <c r="N409" s="110"/>
      <c r="O409" s="110"/>
      <c r="P409" s="110"/>
      <c r="Q409" s="110"/>
      <c r="R409" s="110"/>
      <c r="S409" s="110"/>
      <c r="T409" s="110"/>
      <c r="U409" s="110"/>
      <c r="V409" s="110"/>
      <c r="W409" s="110"/>
      <c r="X409" s="110"/>
      <c r="Y409" s="110"/>
      <c r="Z409" s="110"/>
      <c r="AA409" s="110"/>
      <c r="AB409" s="110"/>
      <c r="AC409" s="110"/>
      <c r="AD409" s="110"/>
    </row>
    <row r="410">
      <c r="A410" s="118"/>
      <c r="B410" s="112"/>
      <c r="C410" s="112"/>
      <c r="D410" s="119"/>
      <c r="E410" s="128"/>
      <c r="F410" s="113"/>
      <c r="G410" s="113"/>
      <c r="H410" s="134"/>
      <c r="I410" s="114"/>
      <c r="J410" s="132"/>
      <c r="K410" s="136" t="str">
        <f>IFERROR(__xludf.DUMMYFUNCTION("""COMPUTED_VALUE"""),"")</f>
        <v/>
      </c>
      <c r="L410" s="114" t="str">
        <f>IFERROR(__xludf.DUMMYFUNCTION("""COMPUTED_VALUE"""),"")</f>
        <v/>
      </c>
      <c r="M410" s="116"/>
      <c r="N410" s="110"/>
      <c r="O410" s="110"/>
      <c r="P410" s="110"/>
      <c r="Q410" s="110"/>
      <c r="R410" s="110"/>
      <c r="S410" s="110"/>
      <c r="T410" s="110"/>
      <c r="U410" s="110"/>
      <c r="V410" s="110"/>
      <c r="W410" s="110"/>
      <c r="X410" s="110"/>
      <c r="Y410" s="110"/>
      <c r="Z410" s="110"/>
      <c r="AA410" s="110"/>
      <c r="AB410" s="110"/>
      <c r="AC410" s="110"/>
      <c r="AD410" s="110"/>
    </row>
    <row r="411">
      <c r="A411" s="118"/>
      <c r="B411" s="112"/>
      <c r="C411" s="112"/>
      <c r="D411" s="119"/>
      <c r="E411" s="128"/>
      <c r="F411" s="113"/>
      <c r="G411" s="113"/>
      <c r="H411" s="134"/>
      <c r="I411" s="114"/>
      <c r="J411" s="132"/>
      <c r="K411" s="136" t="str">
        <f>IFERROR(__xludf.DUMMYFUNCTION("""COMPUTED_VALUE"""),"")</f>
        <v/>
      </c>
      <c r="L411" s="114" t="str">
        <f>IFERROR(__xludf.DUMMYFUNCTION("""COMPUTED_VALUE"""),"")</f>
        <v/>
      </c>
      <c r="M411" s="116"/>
      <c r="N411" s="110"/>
      <c r="O411" s="110"/>
      <c r="P411" s="110"/>
      <c r="Q411" s="110"/>
      <c r="R411" s="110"/>
      <c r="S411" s="110"/>
      <c r="T411" s="110"/>
      <c r="U411" s="110"/>
      <c r="V411" s="110"/>
      <c r="W411" s="110"/>
      <c r="X411" s="110"/>
      <c r="Y411" s="110"/>
      <c r="Z411" s="110"/>
      <c r="AA411" s="110"/>
      <c r="AB411" s="110"/>
      <c r="AC411" s="110"/>
      <c r="AD411" s="110"/>
    </row>
    <row r="412">
      <c r="A412" s="118"/>
      <c r="B412" s="112"/>
      <c r="C412" s="112"/>
      <c r="D412" s="119"/>
      <c r="E412" s="128"/>
      <c r="F412" s="113"/>
      <c r="G412" s="113"/>
      <c r="H412" s="113"/>
      <c r="I412" s="114"/>
      <c r="J412" s="132"/>
      <c r="K412" s="136" t="str">
        <f>IFERROR(__xludf.DUMMYFUNCTION("""COMPUTED_VALUE"""),"")</f>
        <v/>
      </c>
      <c r="L412" s="114" t="str">
        <f>IFERROR(__xludf.DUMMYFUNCTION("""COMPUTED_VALUE"""),"")</f>
        <v/>
      </c>
      <c r="M412" s="116"/>
      <c r="N412" s="110"/>
      <c r="O412" s="110"/>
      <c r="P412" s="110"/>
      <c r="Q412" s="110"/>
      <c r="R412" s="110"/>
      <c r="S412" s="110"/>
      <c r="T412" s="110"/>
      <c r="U412" s="110"/>
      <c r="V412" s="110"/>
      <c r="W412" s="110"/>
      <c r="X412" s="110"/>
      <c r="Y412" s="110"/>
      <c r="Z412" s="110"/>
      <c r="AA412" s="110"/>
      <c r="AB412" s="110"/>
      <c r="AC412" s="110"/>
      <c r="AD412" s="110"/>
    </row>
    <row r="413">
      <c r="A413" s="118"/>
      <c r="B413" s="112"/>
      <c r="C413" s="112"/>
      <c r="D413" s="119"/>
      <c r="E413" s="128"/>
      <c r="F413" s="113"/>
      <c r="G413" s="113"/>
      <c r="H413" s="134"/>
      <c r="I413" s="114"/>
      <c r="J413" s="132"/>
      <c r="K413" s="136" t="str">
        <f>IFERROR(__xludf.DUMMYFUNCTION("""COMPUTED_VALUE"""),"")</f>
        <v/>
      </c>
      <c r="L413" s="114" t="str">
        <f>IFERROR(__xludf.DUMMYFUNCTION("""COMPUTED_VALUE"""),"")</f>
        <v/>
      </c>
      <c r="M413" s="116"/>
      <c r="N413" s="110"/>
      <c r="O413" s="110"/>
      <c r="P413" s="110"/>
      <c r="Q413" s="110"/>
      <c r="R413" s="110"/>
      <c r="S413" s="110"/>
      <c r="T413" s="110"/>
      <c r="U413" s="110"/>
      <c r="V413" s="110"/>
      <c r="W413" s="110"/>
      <c r="X413" s="110"/>
      <c r="Y413" s="110"/>
      <c r="Z413" s="110"/>
      <c r="AA413" s="110"/>
      <c r="AB413" s="110"/>
      <c r="AC413" s="110"/>
      <c r="AD413" s="110"/>
    </row>
    <row r="414">
      <c r="A414" s="118"/>
      <c r="B414" s="112"/>
      <c r="C414" s="112"/>
      <c r="D414" s="119"/>
      <c r="E414" s="128"/>
      <c r="F414" s="113"/>
      <c r="G414" s="113"/>
      <c r="H414" s="113"/>
      <c r="I414" s="114"/>
      <c r="J414" s="132"/>
      <c r="K414" s="136" t="str">
        <f>IFERROR(__xludf.DUMMYFUNCTION("""COMPUTED_VALUE"""),"")</f>
        <v/>
      </c>
      <c r="L414" s="114" t="str">
        <f>IFERROR(__xludf.DUMMYFUNCTION("""COMPUTED_VALUE"""),"")</f>
        <v/>
      </c>
      <c r="M414" s="116"/>
      <c r="N414" s="110"/>
      <c r="O414" s="110"/>
      <c r="P414" s="110"/>
      <c r="Q414" s="110"/>
      <c r="R414" s="110"/>
      <c r="S414" s="110"/>
      <c r="T414" s="110"/>
      <c r="U414" s="110"/>
      <c r="V414" s="110"/>
      <c r="W414" s="110"/>
      <c r="X414" s="110"/>
      <c r="Y414" s="110"/>
      <c r="Z414" s="110"/>
      <c r="AA414" s="110"/>
      <c r="AB414" s="110"/>
      <c r="AC414" s="110"/>
      <c r="AD414" s="110"/>
    </row>
    <row r="415">
      <c r="A415" s="118"/>
      <c r="B415" s="112"/>
      <c r="C415" s="112"/>
      <c r="D415" s="119"/>
      <c r="E415" s="128"/>
      <c r="F415" s="113"/>
      <c r="G415" s="113"/>
      <c r="H415" s="134"/>
      <c r="I415" s="114"/>
      <c r="J415" s="132"/>
      <c r="K415" s="136" t="str">
        <f>IFERROR(__xludf.DUMMYFUNCTION("""COMPUTED_VALUE"""),"")</f>
        <v/>
      </c>
      <c r="L415" s="114" t="str">
        <f>IFERROR(__xludf.DUMMYFUNCTION("""COMPUTED_VALUE"""),"")</f>
        <v/>
      </c>
      <c r="M415" s="116"/>
      <c r="N415" s="110"/>
      <c r="O415" s="110"/>
      <c r="P415" s="110"/>
      <c r="Q415" s="110"/>
      <c r="R415" s="110"/>
      <c r="S415" s="110"/>
      <c r="T415" s="110"/>
      <c r="U415" s="110"/>
      <c r="V415" s="110"/>
      <c r="W415" s="110"/>
      <c r="X415" s="110"/>
      <c r="Y415" s="110"/>
      <c r="Z415" s="110"/>
      <c r="AA415" s="110"/>
      <c r="AB415" s="110"/>
      <c r="AC415" s="110"/>
      <c r="AD415" s="110"/>
    </row>
    <row r="416">
      <c r="A416" s="118"/>
      <c r="B416" s="112"/>
      <c r="C416" s="112"/>
      <c r="D416" s="119"/>
      <c r="E416" s="128"/>
      <c r="F416" s="113"/>
      <c r="G416" s="113"/>
      <c r="H416" s="113"/>
      <c r="I416" s="114"/>
      <c r="J416" s="132"/>
      <c r="K416" s="136" t="str">
        <f>IFERROR(__xludf.DUMMYFUNCTION("""COMPUTED_VALUE"""),"")</f>
        <v/>
      </c>
      <c r="L416" s="114" t="str">
        <f>IFERROR(__xludf.DUMMYFUNCTION("""COMPUTED_VALUE"""),"")</f>
        <v/>
      </c>
      <c r="M416" s="116"/>
      <c r="N416" s="110"/>
      <c r="O416" s="110"/>
      <c r="P416" s="110"/>
      <c r="Q416" s="110"/>
      <c r="R416" s="110"/>
      <c r="S416" s="110"/>
      <c r="T416" s="110"/>
      <c r="U416" s="110"/>
      <c r="V416" s="110"/>
      <c r="W416" s="110"/>
      <c r="X416" s="110"/>
      <c r="Y416" s="110"/>
      <c r="Z416" s="110"/>
      <c r="AA416" s="110"/>
      <c r="AB416" s="110"/>
      <c r="AC416" s="110"/>
      <c r="AD416" s="110"/>
    </row>
    <row r="417">
      <c r="A417" s="118"/>
      <c r="B417" s="112"/>
      <c r="C417" s="112"/>
      <c r="D417" s="119"/>
      <c r="E417" s="128"/>
      <c r="F417" s="137"/>
      <c r="G417" s="113"/>
      <c r="H417" s="134"/>
      <c r="I417" s="114"/>
      <c r="J417" s="132"/>
      <c r="K417" s="136" t="str">
        <f>IFERROR(__xludf.DUMMYFUNCTION("""COMPUTED_VALUE"""),"")</f>
        <v/>
      </c>
      <c r="L417" s="114" t="str">
        <f>IFERROR(__xludf.DUMMYFUNCTION("""COMPUTED_VALUE"""),"")</f>
        <v/>
      </c>
      <c r="M417" s="116"/>
      <c r="N417" s="110"/>
      <c r="O417" s="110"/>
      <c r="P417" s="110"/>
      <c r="Q417" s="110"/>
      <c r="R417" s="110"/>
      <c r="S417" s="110"/>
      <c r="T417" s="110"/>
      <c r="U417" s="110"/>
      <c r="V417" s="110"/>
      <c r="W417" s="110"/>
      <c r="X417" s="110"/>
      <c r="Y417" s="110"/>
      <c r="Z417" s="110"/>
      <c r="AA417" s="110"/>
      <c r="AB417" s="110"/>
      <c r="AC417" s="110"/>
      <c r="AD417" s="110"/>
    </row>
    <row r="418">
      <c r="A418" s="118"/>
      <c r="B418" s="112"/>
      <c r="C418" s="112"/>
      <c r="D418" s="119"/>
      <c r="E418" s="128"/>
      <c r="F418" s="113"/>
      <c r="G418" s="113"/>
      <c r="H418" s="113"/>
      <c r="I418" s="114"/>
      <c r="J418" s="132"/>
      <c r="K418" s="136" t="str">
        <f>IFERROR(__xludf.DUMMYFUNCTION("""COMPUTED_VALUE"""),"")</f>
        <v/>
      </c>
      <c r="L418" s="114" t="str">
        <f>IFERROR(__xludf.DUMMYFUNCTION("""COMPUTED_VALUE"""),"")</f>
        <v/>
      </c>
      <c r="M418" s="116"/>
      <c r="N418" s="110"/>
      <c r="O418" s="110"/>
      <c r="P418" s="110"/>
      <c r="Q418" s="110"/>
      <c r="R418" s="110"/>
      <c r="S418" s="110"/>
      <c r="T418" s="110"/>
      <c r="U418" s="110"/>
      <c r="V418" s="110"/>
      <c r="W418" s="110"/>
      <c r="X418" s="110"/>
      <c r="Y418" s="110"/>
      <c r="Z418" s="110"/>
      <c r="AA418" s="110"/>
      <c r="AB418" s="110"/>
      <c r="AC418" s="110"/>
      <c r="AD418" s="110"/>
    </row>
    <row r="419">
      <c r="A419" s="118"/>
      <c r="B419" s="112"/>
      <c r="C419" s="112"/>
      <c r="D419" s="119"/>
      <c r="E419" s="128"/>
      <c r="F419" s="113"/>
      <c r="G419" s="113"/>
      <c r="H419" s="134"/>
      <c r="I419" s="114"/>
      <c r="J419" s="132"/>
      <c r="K419" s="136" t="str">
        <f>IFERROR(__xludf.DUMMYFUNCTION("""COMPUTED_VALUE"""),"")</f>
        <v/>
      </c>
      <c r="L419" s="114" t="str">
        <f>IFERROR(__xludf.DUMMYFUNCTION("""COMPUTED_VALUE"""),"")</f>
        <v/>
      </c>
      <c r="M419" s="116"/>
      <c r="N419" s="110"/>
      <c r="O419" s="110"/>
      <c r="P419" s="110"/>
      <c r="Q419" s="110"/>
      <c r="R419" s="110"/>
      <c r="S419" s="110"/>
      <c r="T419" s="110"/>
      <c r="U419" s="110"/>
      <c r="V419" s="110"/>
      <c r="W419" s="110"/>
      <c r="X419" s="110"/>
      <c r="Y419" s="110"/>
      <c r="Z419" s="110"/>
      <c r="AA419" s="110"/>
      <c r="AB419" s="110"/>
      <c r="AC419" s="110"/>
      <c r="AD419" s="110"/>
    </row>
    <row r="420">
      <c r="A420" s="118"/>
      <c r="B420" s="112"/>
      <c r="C420" s="112"/>
      <c r="D420" s="119"/>
      <c r="E420" s="128"/>
      <c r="F420" s="113"/>
      <c r="G420" s="113"/>
      <c r="H420" s="134"/>
      <c r="I420" s="114"/>
      <c r="J420" s="132"/>
      <c r="K420" s="136" t="str">
        <f>IFERROR(__xludf.DUMMYFUNCTION("""COMPUTED_VALUE"""),"")</f>
        <v/>
      </c>
      <c r="L420" s="114" t="str">
        <f>IFERROR(__xludf.DUMMYFUNCTION("""COMPUTED_VALUE"""),"")</f>
        <v/>
      </c>
      <c r="M420" s="116"/>
      <c r="N420" s="110"/>
      <c r="O420" s="110"/>
      <c r="P420" s="110"/>
      <c r="Q420" s="110"/>
      <c r="R420" s="110"/>
      <c r="S420" s="110"/>
      <c r="T420" s="110"/>
      <c r="U420" s="110"/>
      <c r="V420" s="110"/>
      <c r="W420" s="110"/>
      <c r="X420" s="110"/>
      <c r="Y420" s="110"/>
      <c r="Z420" s="110"/>
      <c r="AA420" s="110"/>
      <c r="AB420" s="110"/>
      <c r="AC420" s="110"/>
      <c r="AD420" s="110"/>
    </row>
    <row r="421">
      <c r="A421" s="118"/>
      <c r="B421" s="112"/>
      <c r="C421" s="112"/>
      <c r="D421" s="119"/>
      <c r="E421" s="128"/>
      <c r="F421" s="113"/>
      <c r="G421" s="113"/>
      <c r="H421" s="134"/>
      <c r="I421" s="114"/>
      <c r="J421" s="132"/>
      <c r="K421" s="136" t="str">
        <f>IFERROR(__xludf.DUMMYFUNCTION("""COMPUTED_VALUE"""),"")</f>
        <v/>
      </c>
      <c r="L421" s="114" t="str">
        <f>IFERROR(__xludf.DUMMYFUNCTION("""COMPUTED_VALUE"""),"")</f>
        <v/>
      </c>
      <c r="M421" s="116"/>
      <c r="N421" s="110"/>
      <c r="O421" s="110"/>
      <c r="P421" s="110"/>
      <c r="Q421" s="110"/>
      <c r="R421" s="110"/>
      <c r="S421" s="110"/>
      <c r="T421" s="110"/>
      <c r="U421" s="110"/>
      <c r="V421" s="110"/>
      <c r="W421" s="110"/>
      <c r="X421" s="110"/>
      <c r="Y421" s="110"/>
      <c r="Z421" s="110"/>
      <c r="AA421" s="110"/>
      <c r="AB421" s="110"/>
      <c r="AC421" s="110"/>
      <c r="AD421" s="110"/>
    </row>
    <row r="422">
      <c r="A422" s="118"/>
      <c r="B422" s="112"/>
      <c r="C422" s="112"/>
      <c r="D422" s="119"/>
      <c r="E422" s="128"/>
      <c r="F422" s="113"/>
      <c r="G422" s="113"/>
      <c r="H422" s="134"/>
      <c r="I422" s="114"/>
      <c r="J422" s="132"/>
      <c r="K422" s="136" t="str">
        <f>IFERROR(__xludf.DUMMYFUNCTION("""COMPUTED_VALUE"""),"")</f>
        <v/>
      </c>
      <c r="L422" s="114" t="str">
        <f>IFERROR(__xludf.DUMMYFUNCTION("""COMPUTED_VALUE"""),"")</f>
        <v/>
      </c>
      <c r="M422" s="116"/>
      <c r="N422" s="110"/>
      <c r="O422" s="110"/>
      <c r="P422" s="110"/>
      <c r="Q422" s="110"/>
      <c r="R422" s="110"/>
      <c r="S422" s="110"/>
      <c r="T422" s="110"/>
      <c r="U422" s="110"/>
      <c r="V422" s="110"/>
      <c r="W422" s="110"/>
      <c r="X422" s="110"/>
      <c r="Y422" s="110"/>
      <c r="Z422" s="110"/>
      <c r="AA422" s="110"/>
      <c r="AB422" s="110"/>
      <c r="AC422" s="110"/>
      <c r="AD422" s="110"/>
    </row>
    <row r="423">
      <c r="A423" s="118"/>
      <c r="B423" s="112"/>
      <c r="C423" s="112"/>
      <c r="D423" s="119"/>
      <c r="E423" s="128"/>
      <c r="F423" s="113"/>
      <c r="G423" s="113"/>
      <c r="H423" s="134"/>
      <c r="I423" s="114"/>
      <c r="J423" s="132"/>
      <c r="K423" s="136" t="str">
        <f>IFERROR(__xludf.DUMMYFUNCTION("""COMPUTED_VALUE"""),"")</f>
        <v/>
      </c>
      <c r="L423" s="114" t="str">
        <f>IFERROR(__xludf.DUMMYFUNCTION("""COMPUTED_VALUE"""),"")</f>
        <v/>
      </c>
      <c r="M423" s="116"/>
      <c r="N423" s="110"/>
      <c r="O423" s="110"/>
      <c r="P423" s="110"/>
      <c r="Q423" s="110"/>
      <c r="R423" s="110"/>
      <c r="S423" s="110"/>
      <c r="T423" s="110"/>
      <c r="U423" s="110"/>
      <c r="V423" s="110"/>
      <c r="W423" s="110"/>
      <c r="X423" s="110"/>
      <c r="Y423" s="110"/>
      <c r="Z423" s="110"/>
      <c r="AA423" s="110"/>
      <c r="AB423" s="110"/>
      <c r="AC423" s="110"/>
      <c r="AD423" s="110"/>
    </row>
    <row r="424">
      <c r="A424" s="118"/>
      <c r="B424" s="112"/>
      <c r="C424" s="112"/>
      <c r="D424" s="119"/>
      <c r="E424" s="128"/>
      <c r="F424" s="113"/>
      <c r="G424" s="113"/>
      <c r="H424" s="134"/>
      <c r="I424" s="114"/>
      <c r="J424" s="132"/>
      <c r="K424" s="136" t="str">
        <f>IFERROR(__xludf.DUMMYFUNCTION("""COMPUTED_VALUE"""),"")</f>
        <v/>
      </c>
      <c r="L424" s="114" t="str">
        <f>IFERROR(__xludf.DUMMYFUNCTION("""COMPUTED_VALUE"""),"")</f>
        <v/>
      </c>
      <c r="M424" s="116"/>
      <c r="N424" s="110"/>
      <c r="O424" s="110"/>
      <c r="P424" s="110"/>
      <c r="Q424" s="110"/>
      <c r="R424" s="110"/>
      <c r="S424" s="110"/>
      <c r="T424" s="110"/>
      <c r="U424" s="110"/>
      <c r="V424" s="110"/>
      <c r="W424" s="110"/>
      <c r="X424" s="110"/>
      <c r="Y424" s="110"/>
      <c r="Z424" s="110"/>
      <c r="AA424" s="110"/>
      <c r="AB424" s="110"/>
      <c r="AC424" s="110"/>
      <c r="AD424" s="110"/>
    </row>
    <row r="425">
      <c r="A425" s="118"/>
      <c r="B425" s="112"/>
      <c r="C425" s="112"/>
      <c r="D425" s="119"/>
      <c r="E425" s="128"/>
      <c r="F425" s="113"/>
      <c r="G425" s="113"/>
      <c r="H425" s="134"/>
      <c r="I425" s="114"/>
      <c r="J425" s="132"/>
      <c r="K425" s="136" t="str">
        <f>IFERROR(__xludf.DUMMYFUNCTION("""COMPUTED_VALUE"""),"")</f>
        <v/>
      </c>
      <c r="L425" s="114" t="str">
        <f>IFERROR(__xludf.DUMMYFUNCTION("""COMPUTED_VALUE"""),"")</f>
        <v/>
      </c>
      <c r="M425" s="116"/>
      <c r="N425" s="110"/>
      <c r="O425" s="110"/>
      <c r="P425" s="110"/>
      <c r="Q425" s="110"/>
      <c r="R425" s="110"/>
      <c r="S425" s="110"/>
      <c r="T425" s="110"/>
      <c r="U425" s="110"/>
      <c r="V425" s="110"/>
      <c r="W425" s="110"/>
      <c r="X425" s="110"/>
      <c r="Y425" s="110"/>
      <c r="Z425" s="110"/>
      <c r="AA425" s="110"/>
      <c r="AB425" s="110"/>
      <c r="AC425" s="110"/>
      <c r="AD425" s="110"/>
    </row>
    <row r="426">
      <c r="A426" s="118"/>
      <c r="B426" s="112"/>
      <c r="C426" s="112"/>
      <c r="D426" s="119"/>
      <c r="E426" s="128"/>
      <c r="F426" s="113"/>
      <c r="G426" s="113"/>
      <c r="H426" s="134"/>
      <c r="I426" s="114"/>
      <c r="J426" s="132"/>
      <c r="K426" s="136" t="str">
        <f>IFERROR(__xludf.DUMMYFUNCTION("""COMPUTED_VALUE"""),"")</f>
        <v/>
      </c>
      <c r="L426" s="114" t="str">
        <f>IFERROR(__xludf.DUMMYFUNCTION("""COMPUTED_VALUE"""),"")</f>
        <v/>
      </c>
      <c r="M426" s="116"/>
      <c r="N426" s="110"/>
      <c r="O426" s="110"/>
      <c r="P426" s="110"/>
      <c r="Q426" s="110"/>
      <c r="R426" s="110"/>
      <c r="S426" s="110"/>
      <c r="T426" s="110"/>
      <c r="U426" s="110"/>
      <c r="V426" s="110"/>
      <c r="W426" s="110"/>
      <c r="X426" s="110"/>
      <c r="Y426" s="110"/>
      <c r="Z426" s="110"/>
      <c r="AA426" s="110"/>
      <c r="AB426" s="110"/>
      <c r="AC426" s="110"/>
      <c r="AD426" s="110"/>
    </row>
    <row r="427">
      <c r="A427" s="118"/>
      <c r="B427" s="112"/>
      <c r="C427" s="112"/>
      <c r="D427" s="119"/>
      <c r="E427" s="128"/>
      <c r="F427" s="113"/>
      <c r="G427" s="113"/>
      <c r="H427" s="134"/>
      <c r="I427" s="114"/>
      <c r="J427" s="132"/>
      <c r="K427" s="136" t="str">
        <f>IFERROR(__xludf.DUMMYFUNCTION("""COMPUTED_VALUE"""),"")</f>
        <v/>
      </c>
      <c r="L427" s="114" t="str">
        <f>IFERROR(__xludf.DUMMYFUNCTION("""COMPUTED_VALUE"""),"")</f>
        <v/>
      </c>
      <c r="M427" s="116"/>
      <c r="N427" s="110"/>
      <c r="O427" s="110"/>
      <c r="P427" s="110"/>
      <c r="Q427" s="110"/>
      <c r="R427" s="110"/>
      <c r="S427" s="110"/>
      <c r="T427" s="110"/>
      <c r="U427" s="110"/>
      <c r="V427" s="110"/>
      <c r="W427" s="110"/>
      <c r="X427" s="110"/>
      <c r="Y427" s="110"/>
      <c r="Z427" s="110"/>
      <c r="AA427" s="110"/>
      <c r="AB427" s="110"/>
      <c r="AC427" s="110"/>
      <c r="AD427" s="110"/>
    </row>
    <row r="428">
      <c r="A428" s="118"/>
      <c r="B428" s="112"/>
      <c r="C428" s="112"/>
      <c r="D428" s="119"/>
      <c r="E428" s="128"/>
      <c r="F428" s="113"/>
      <c r="G428" s="113"/>
      <c r="H428" s="134"/>
      <c r="I428" s="114"/>
      <c r="J428" s="132"/>
      <c r="K428" s="136" t="str">
        <f>IFERROR(__xludf.DUMMYFUNCTION("""COMPUTED_VALUE"""),"")</f>
        <v/>
      </c>
      <c r="L428" s="114" t="str">
        <f>IFERROR(__xludf.DUMMYFUNCTION("""COMPUTED_VALUE"""),"")</f>
        <v/>
      </c>
      <c r="M428" s="116"/>
      <c r="N428" s="110"/>
      <c r="O428" s="110"/>
      <c r="P428" s="110"/>
      <c r="Q428" s="110"/>
      <c r="R428" s="110"/>
      <c r="S428" s="110"/>
      <c r="T428" s="110"/>
      <c r="U428" s="110"/>
      <c r="V428" s="110"/>
      <c r="W428" s="110"/>
      <c r="X428" s="110"/>
      <c r="Y428" s="110"/>
      <c r="Z428" s="110"/>
      <c r="AA428" s="110"/>
      <c r="AB428" s="110"/>
      <c r="AC428" s="110"/>
      <c r="AD428" s="110"/>
    </row>
    <row r="429">
      <c r="A429" s="118"/>
      <c r="B429" s="112"/>
      <c r="C429" s="112"/>
      <c r="D429" s="119"/>
      <c r="E429" s="128"/>
      <c r="F429" s="113"/>
      <c r="G429" s="113"/>
      <c r="H429" s="134"/>
      <c r="I429" s="114"/>
      <c r="J429" s="132"/>
      <c r="K429" s="136" t="str">
        <f>IFERROR(__xludf.DUMMYFUNCTION("""COMPUTED_VALUE"""),"")</f>
        <v/>
      </c>
      <c r="L429" s="114" t="str">
        <f>IFERROR(__xludf.DUMMYFUNCTION("""COMPUTED_VALUE"""),"")</f>
        <v/>
      </c>
      <c r="M429" s="116"/>
      <c r="N429" s="110"/>
      <c r="O429" s="110"/>
      <c r="P429" s="110"/>
      <c r="Q429" s="110"/>
      <c r="R429" s="110"/>
      <c r="S429" s="110"/>
      <c r="T429" s="110"/>
      <c r="U429" s="110"/>
      <c r="V429" s="110"/>
      <c r="W429" s="110"/>
      <c r="X429" s="110"/>
      <c r="Y429" s="110"/>
      <c r="Z429" s="110"/>
      <c r="AA429" s="110"/>
      <c r="AB429" s="110"/>
      <c r="AC429" s="110"/>
      <c r="AD429" s="110"/>
    </row>
    <row r="430">
      <c r="A430" s="118"/>
      <c r="B430" s="112"/>
      <c r="C430" s="112"/>
      <c r="D430" s="119"/>
      <c r="E430" s="128"/>
      <c r="F430" s="113"/>
      <c r="G430" s="113"/>
      <c r="H430" s="134"/>
      <c r="I430" s="114"/>
      <c r="J430" s="132"/>
      <c r="K430" s="136" t="str">
        <f>IFERROR(__xludf.DUMMYFUNCTION("""COMPUTED_VALUE"""),"")</f>
        <v/>
      </c>
      <c r="L430" s="114" t="str">
        <f>IFERROR(__xludf.DUMMYFUNCTION("""COMPUTED_VALUE"""),"")</f>
        <v/>
      </c>
      <c r="M430" s="116"/>
      <c r="N430" s="110"/>
      <c r="O430" s="110"/>
      <c r="P430" s="110"/>
      <c r="Q430" s="110"/>
      <c r="R430" s="110"/>
      <c r="S430" s="110"/>
      <c r="T430" s="110"/>
      <c r="U430" s="110"/>
      <c r="V430" s="110"/>
      <c r="W430" s="110"/>
      <c r="X430" s="110"/>
      <c r="Y430" s="110"/>
      <c r="Z430" s="110"/>
      <c r="AA430" s="110"/>
      <c r="AB430" s="110"/>
      <c r="AC430" s="110"/>
      <c r="AD430" s="110"/>
    </row>
    <row r="431">
      <c r="A431" s="118" t="s">
        <v>2434</v>
      </c>
      <c r="B431" s="112" t="s">
        <v>4699</v>
      </c>
      <c r="C431" s="112" t="s">
        <v>2441</v>
      </c>
      <c r="D431" s="119" t="s">
        <v>4700</v>
      </c>
      <c r="E431" s="128">
        <v>45981.0</v>
      </c>
      <c r="F431" s="113" t="s">
        <v>4313</v>
      </c>
      <c r="G431" s="113" t="s">
        <v>4343</v>
      </c>
      <c r="H431" s="113" t="s">
        <v>4311</v>
      </c>
      <c r="I431" s="114">
        <v>45722.0</v>
      </c>
      <c r="J431" s="132"/>
      <c r="K431" s="136" t="str">
        <f>IFERROR(__xludf.DUMMYFUNCTION("""COMPUTED_VALUE"""),"")</f>
        <v/>
      </c>
      <c r="L431" s="114">
        <f>IFERROR(__xludf.DUMMYFUNCTION("""COMPUTED_VALUE"""),45715.0)</f>
        <v>45715</v>
      </c>
      <c r="M431" s="116"/>
      <c r="N431" s="110"/>
      <c r="O431" s="110"/>
      <c r="P431" s="110"/>
      <c r="Q431" s="110"/>
      <c r="R431" s="110"/>
      <c r="S431" s="110"/>
      <c r="T431" s="110"/>
      <c r="U431" s="110"/>
      <c r="V431" s="110"/>
      <c r="W431" s="110"/>
      <c r="X431" s="110"/>
      <c r="Y431" s="110"/>
      <c r="Z431" s="110"/>
      <c r="AA431" s="110"/>
      <c r="AB431" s="110"/>
      <c r="AC431" s="110"/>
      <c r="AD431" s="110"/>
    </row>
    <row r="432">
      <c r="A432" s="118" t="s">
        <v>582</v>
      </c>
      <c r="B432" s="112" t="s">
        <v>4701</v>
      </c>
      <c r="C432" s="112" t="s">
        <v>591</v>
      </c>
      <c r="D432" s="119" t="s">
        <v>4700</v>
      </c>
      <c r="E432" s="128">
        <v>45936.0</v>
      </c>
      <c r="F432" s="113" t="s">
        <v>31</v>
      </c>
      <c r="G432" s="113"/>
      <c r="H432" s="113" t="s">
        <v>4702</v>
      </c>
      <c r="I432" s="114">
        <v>45729.0</v>
      </c>
      <c r="J432" s="132">
        <v>3.0</v>
      </c>
      <c r="K432" s="136" t="str">
        <f>IFERROR(__xludf.DUMMYFUNCTION("""COMPUTED_VALUE"""),"")</f>
        <v/>
      </c>
      <c r="L432" s="114">
        <f>IFERROR(__xludf.DUMMYFUNCTION("""COMPUTED_VALUE"""),45722.0)</f>
        <v>45722</v>
      </c>
      <c r="M432" s="116"/>
      <c r="N432" s="110"/>
      <c r="O432" s="110"/>
      <c r="P432" s="110"/>
      <c r="Q432" s="110"/>
      <c r="R432" s="110"/>
      <c r="S432" s="110"/>
      <c r="T432" s="110"/>
      <c r="U432" s="110"/>
      <c r="V432" s="110"/>
      <c r="W432" s="110"/>
      <c r="X432" s="110"/>
      <c r="Y432" s="110"/>
      <c r="Z432" s="110"/>
      <c r="AA432" s="110"/>
      <c r="AB432" s="110"/>
      <c r="AC432" s="110"/>
      <c r="AD432" s="110"/>
    </row>
    <row r="433">
      <c r="A433" s="118" t="s">
        <v>656</v>
      </c>
      <c r="B433" s="112" t="s">
        <v>4703</v>
      </c>
      <c r="C433" s="112" t="s">
        <v>664</v>
      </c>
      <c r="D433" s="119" t="s">
        <v>4700</v>
      </c>
      <c r="E433" s="128">
        <v>45729.0</v>
      </c>
      <c r="F433" s="113" t="s">
        <v>327</v>
      </c>
      <c r="G433" s="113"/>
      <c r="H433" s="113" t="s">
        <v>4704</v>
      </c>
      <c r="I433" s="114">
        <v>45729.0</v>
      </c>
      <c r="J433" s="132">
        <v>3.0</v>
      </c>
      <c r="K433" s="136" t="str">
        <f>IFERROR(__xludf.DUMMYFUNCTION("""COMPUTED_VALUE"""),"")</f>
        <v/>
      </c>
      <c r="L433" s="114">
        <f>IFERROR(__xludf.DUMMYFUNCTION("""COMPUTED_VALUE"""),45722.0)</f>
        <v>45722</v>
      </c>
      <c r="M433" s="116"/>
      <c r="N433" s="110"/>
      <c r="O433" s="110"/>
      <c r="P433" s="110"/>
      <c r="Q433" s="110"/>
      <c r="R433" s="110"/>
      <c r="S433" s="110"/>
      <c r="T433" s="110"/>
      <c r="U433" s="110"/>
      <c r="V433" s="110"/>
      <c r="W433" s="110"/>
      <c r="X433" s="110"/>
      <c r="Y433" s="110"/>
      <c r="Z433" s="110"/>
      <c r="AA433" s="110"/>
      <c r="AB433" s="110"/>
      <c r="AC433" s="110"/>
      <c r="AD433" s="110"/>
    </row>
    <row r="434">
      <c r="A434" s="118" t="s">
        <v>2536</v>
      </c>
      <c r="B434" s="112" t="s">
        <v>4705</v>
      </c>
      <c r="C434" s="112" t="s">
        <v>2543</v>
      </c>
      <c r="D434" s="119" t="s">
        <v>4700</v>
      </c>
      <c r="E434" s="128">
        <v>45985.0</v>
      </c>
      <c r="F434" s="113" t="s">
        <v>4305</v>
      </c>
      <c r="G434" s="113" t="s">
        <v>4343</v>
      </c>
      <c r="H434" s="113" t="s">
        <v>4706</v>
      </c>
      <c r="I434" s="114">
        <v>45736.0</v>
      </c>
      <c r="J434" s="132"/>
      <c r="K434" s="136" t="str">
        <f>IFERROR(__xludf.DUMMYFUNCTION("""COMPUTED_VALUE"""),"")</f>
        <v/>
      </c>
      <c r="L434" s="114">
        <f>IFERROR(__xludf.DUMMYFUNCTION("""COMPUTED_VALUE"""),45729.0)</f>
        <v>45729</v>
      </c>
      <c r="M434" s="116"/>
      <c r="N434" s="110"/>
      <c r="O434" s="110"/>
      <c r="P434" s="110"/>
      <c r="Q434" s="110"/>
      <c r="R434" s="110"/>
      <c r="S434" s="110"/>
      <c r="T434" s="110"/>
      <c r="U434" s="110"/>
      <c r="V434" s="110"/>
      <c r="W434" s="110"/>
      <c r="X434" s="110"/>
      <c r="Y434" s="110"/>
      <c r="Z434" s="110"/>
      <c r="AA434" s="110"/>
      <c r="AB434" s="110"/>
      <c r="AC434" s="110"/>
      <c r="AD434" s="110"/>
    </row>
    <row r="435">
      <c r="A435" s="118" t="s">
        <v>430</v>
      </c>
      <c r="B435" s="112" t="s">
        <v>4707</v>
      </c>
      <c r="C435" s="112">
        <v>2.029839787E9</v>
      </c>
      <c r="D435" s="119" t="s">
        <v>4700</v>
      </c>
      <c r="E435" s="128">
        <v>45722.0</v>
      </c>
      <c r="F435" s="113" t="s">
        <v>327</v>
      </c>
      <c r="G435" s="113" t="s">
        <v>4302</v>
      </c>
      <c r="H435" s="113"/>
      <c r="I435" s="114"/>
      <c r="J435" s="132">
        <v>3.0</v>
      </c>
      <c r="K435" s="136" t="str">
        <f>IFERROR(__xludf.DUMMYFUNCTION("""COMPUTED_VALUE"""),"")</f>
        <v/>
      </c>
      <c r="L435" s="114">
        <f>IFERROR(__xludf.DUMMYFUNCTION("""COMPUTED_VALUE"""),45729.0)</f>
        <v>45729</v>
      </c>
      <c r="M435" s="116"/>
      <c r="N435" s="110"/>
      <c r="O435" s="110"/>
      <c r="P435" s="110"/>
      <c r="Q435" s="110"/>
      <c r="R435" s="110"/>
      <c r="S435" s="110"/>
      <c r="T435" s="110"/>
      <c r="U435" s="110"/>
      <c r="V435" s="110"/>
      <c r="W435" s="110"/>
      <c r="X435" s="110"/>
      <c r="Y435" s="110"/>
      <c r="Z435" s="110"/>
      <c r="AA435" s="110"/>
      <c r="AB435" s="110"/>
      <c r="AC435" s="110"/>
      <c r="AD435" s="110"/>
    </row>
    <row r="436">
      <c r="A436" s="118" t="s">
        <v>468</v>
      </c>
      <c r="B436" s="112" t="s">
        <v>4708</v>
      </c>
      <c r="C436" s="112" t="s">
        <v>476</v>
      </c>
      <c r="D436" s="119" t="s">
        <v>4700</v>
      </c>
      <c r="E436" s="128">
        <v>45722.0</v>
      </c>
      <c r="F436" s="113" t="s">
        <v>327</v>
      </c>
      <c r="G436" s="113" t="s">
        <v>4302</v>
      </c>
      <c r="H436" s="113" t="s">
        <v>469</v>
      </c>
      <c r="I436" s="114"/>
      <c r="J436" s="132">
        <v>3.0</v>
      </c>
      <c r="K436" s="136" t="str">
        <f>IFERROR(__xludf.DUMMYFUNCTION("""COMPUTED_VALUE"""),"")</f>
        <v/>
      </c>
      <c r="L436" s="114">
        <f>IFERROR(__xludf.DUMMYFUNCTION("""COMPUTED_VALUE"""),45729.0)</f>
        <v>45729</v>
      </c>
      <c r="M436" s="116"/>
      <c r="N436" s="110"/>
      <c r="O436" s="110"/>
      <c r="P436" s="110"/>
      <c r="Q436" s="110"/>
      <c r="R436" s="110"/>
      <c r="S436" s="110"/>
      <c r="T436" s="110"/>
      <c r="U436" s="110"/>
      <c r="V436" s="110"/>
      <c r="W436" s="110"/>
      <c r="X436" s="110"/>
      <c r="Y436" s="110"/>
      <c r="Z436" s="110"/>
      <c r="AA436" s="110"/>
      <c r="AB436" s="110"/>
      <c r="AC436" s="110"/>
      <c r="AD436" s="110"/>
    </row>
    <row r="437">
      <c r="A437" s="118" t="s">
        <v>1414</v>
      </c>
      <c r="B437" s="112" t="s">
        <v>4709</v>
      </c>
      <c r="C437" s="112" t="s">
        <v>1420</v>
      </c>
      <c r="D437" s="119" t="s">
        <v>4700</v>
      </c>
      <c r="E437" s="128">
        <v>45985.0</v>
      </c>
      <c r="F437" s="113" t="s">
        <v>4305</v>
      </c>
      <c r="G437" s="113" t="s">
        <v>4343</v>
      </c>
      <c r="H437" s="113" t="s">
        <v>4710</v>
      </c>
      <c r="I437" s="114">
        <v>45741.0</v>
      </c>
      <c r="J437" s="132" t="s">
        <v>4382</v>
      </c>
      <c r="K437" s="136" t="str">
        <f>IFERROR(__xludf.DUMMYFUNCTION("""COMPUTED_VALUE"""),"")</f>
        <v/>
      </c>
      <c r="L437" s="114">
        <f>IFERROR(__xludf.DUMMYFUNCTION("""COMPUTED_VALUE"""),45734.0)</f>
        <v>45734</v>
      </c>
      <c r="M437" s="116"/>
      <c r="N437" s="110"/>
      <c r="O437" s="110"/>
      <c r="P437" s="110"/>
      <c r="Q437" s="110"/>
      <c r="R437" s="110"/>
      <c r="S437" s="110"/>
      <c r="T437" s="110"/>
      <c r="U437" s="110"/>
      <c r="V437" s="110"/>
      <c r="W437" s="110"/>
      <c r="X437" s="110"/>
      <c r="Y437" s="110"/>
      <c r="Z437" s="110"/>
      <c r="AA437" s="110"/>
      <c r="AB437" s="110"/>
      <c r="AC437" s="110"/>
      <c r="AD437" s="110"/>
    </row>
    <row r="438">
      <c r="A438" s="118" t="s">
        <v>1920</v>
      </c>
      <c r="B438" s="112" t="s">
        <v>4711</v>
      </c>
      <c r="C438" s="112" t="s">
        <v>1929</v>
      </c>
      <c r="D438" s="119" t="s">
        <v>4700</v>
      </c>
      <c r="E438" s="128">
        <v>45995.0</v>
      </c>
      <c r="F438" s="113" t="s">
        <v>282</v>
      </c>
      <c r="G438" s="113" t="s">
        <v>4343</v>
      </c>
      <c r="H438" s="113" t="s">
        <v>4311</v>
      </c>
      <c r="I438" s="114">
        <v>45743.0</v>
      </c>
      <c r="J438" s="132">
        <v>1.0</v>
      </c>
      <c r="K438" s="136" t="str">
        <f>IFERROR(__xludf.DUMMYFUNCTION("""COMPUTED_VALUE"""),"")</f>
        <v/>
      </c>
      <c r="L438" s="114">
        <f>IFERROR(__xludf.DUMMYFUNCTION("""COMPUTED_VALUE"""),45736.0)</f>
        <v>45736</v>
      </c>
      <c r="M438" s="116"/>
      <c r="N438" s="110"/>
      <c r="O438" s="110"/>
      <c r="P438" s="110"/>
      <c r="Q438" s="110"/>
      <c r="R438" s="110"/>
      <c r="S438" s="110"/>
      <c r="T438" s="110"/>
      <c r="U438" s="110"/>
      <c r="V438" s="110"/>
      <c r="W438" s="110"/>
      <c r="X438" s="110"/>
      <c r="Y438" s="110"/>
      <c r="Z438" s="110"/>
      <c r="AA438" s="110"/>
      <c r="AB438" s="110"/>
      <c r="AC438" s="110"/>
      <c r="AD438" s="110"/>
    </row>
    <row r="439">
      <c r="A439" s="118" t="s">
        <v>2163</v>
      </c>
      <c r="B439" s="112" t="s">
        <v>4712</v>
      </c>
      <c r="C439" s="112" t="s">
        <v>2167</v>
      </c>
      <c r="D439" s="119" t="s">
        <v>4700</v>
      </c>
      <c r="E439" s="128">
        <v>45985.0</v>
      </c>
      <c r="F439" s="113" t="s">
        <v>4305</v>
      </c>
      <c r="G439" s="113" t="s">
        <v>4343</v>
      </c>
      <c r="H439" s="113" t="s">
        <v>4713</v>
      </c>
      <c r="I439" s="114">
        <v>45743.0</v>
      </c>
      <c r="J439" s="132">
        <v>1.0</v>
      </c>
      <c r="K439" s="136" t="str">
        <f>IFERROR(__xludf.DUMMYFUNCTION("""COMPUTED_VALUE"""),"")</f>
        <v/>
      </c>
      <c r="L439" s="114">
        <f>IFERROR(__xludf.DUMMYFUNCTION("""COMPUTED_VALUE"""),45736.0)</f>
        <v>45736</v>
      </c>
      <c r="M439" s="116"/>
      <c r="N439" s="110"/>
      <c r="O439" s="110"/>
      <c r="P439" s="110"/>
      <c r="Q439" s="110"/>
      <c r="R439" s="110"/>
      <c r="S439" s="110"/>
      <c r="T439" s="110"/>
      <c r="U439" s="110"/>
      <c r="V439" s="110"/>
      <c r="W439" s="110"/>
      <c r="X439" s="110"/>
      <c r="Y439" s="110"/>
      <c r="Z439" s="110"/>
      <c r="AA439" s="110"/>
      <c r="AB439" s="110"/>
      <c r="AC439" s="110"/>
      <c r="AD439" s="110"/>
    </row>
    <row r="440">
      <c r="A440" s="118" t="s">
        <v>1268</v>
      </c>
      <c r="B440" s="112" t="s">
        <v>4714</v>
      </c>
      <c r="C440" s="112">
        <v>2.022469352E9</v>
      </c>
      <c r="D440" s="119" t="s">
        <v>4700</v>
      </c>
      <c r="E440" s="128">
        <v>45736.0</v>
      </c>
      <c r="F440" s="113" t="s">
        <v>327</v>
      </c>
      <c r="G440" s="113" t="s">
        <v>4343</v>
      </c>
      <c r="H440" s="113"/>
      <c r="I440" s="114">
        <v>45743.0</v>
      </c>
      <c r="J440" s="132"/>
      <c r="K440" s="136" t="str">
        <f>IFERROR(__xludf.DUMMYFUNCTION("""COMPUTED_VALUE"""),"")</f>
        <v/>
      </c>
      <c r="L440" s="114">
        <f>IFERROR(__xludf.DUMMYFUNCTION("""COMPUTED_VALUE"""),45736.0)</f>
        <v>45736</v>
      </c>
      <c r="M440" s="116"/>
      <c r="N440" s="110"/>
      <c r="O440" s="110"/>
      <c r="P440" s="110"/>
      <c r="Q440" s="110"/>
      <c r="R440" s="110"/>
      <c r="S440" s="110"/>
      <c r="T440" s="110"/>
      <c r="U440" s="110"/>
      <c r="V440" s="110"/>
      <c r="W440" s="110"/>
      <c r="X440" s="110"/>
      <c r="Y440" s="110"/>
      <c r="Z440" s="110"/>
      <c r="AA440" s="110"/>
      <c r="AB440" s="110"/>
      <c r="AC440" s="110"/>
      <c r="AD440" s="110"/>
    </row>
    <row r="441">
      <c r="A441" s="118" t="s">
        <v>1268</v>
      </c>
      <c r="B441" s="112" t="s">
        <v>4715</v>
      </c>
      <c r="C441" s="112" t="s">
        <v>3010</v>
      </c>
      <c r="D441" s="119" t="s">
        <v>4700</v>
      </c>
      <c r="E441" s="128">
        <v>45736.0</v>
      </c>
      <c r="F441" s="113" t="s">
        <v>327</v>
      </c>
      <c r="G441" s="113" t="s">
        <v>4343</v>
      </c>
      <c r="H441" s="113"/>
      <c r="I441" s="114">
        <v>45743.0</v>
      </c>
      <c r="J441" s="132"/>
      <c r="K441" s="136" t="str">
        <f>IFERROR(__xludf.DUMMYFUNCTION("""COMPUTED_VALUE"""),"")</f>
        <v/>
      </c>
      <c r="L441" s="114">
        <f>IFERROR(__xludf.DUMMYFUNCTION("""COMPUTED_VALUE"""),45736.0)</f>
        <v>45736</v>
      </c>
      <c r="M441" s="116"/>
      <c r="N441" s="110"/>
      <c r="O441" s="110"/>
      <c r="P441" s="110"/>
      <c r="Q441" s="110"/>
      <c r="R441" s="110"/>
      <c r="S441" s="110"/>
      <c r="T441" s="110"/>
      <c r="U441" s="110"/>
      <c r="V441" s="110"/>
      <c r="W441" s="110"/>
      <c r="X441" s="110"/>
      <c r="Y441" s="110"/>
      <c r="Z441" s="110"/>
      <c r="AA441" s="110"/>
      <c r="AB441" s="110"/>
      <c r="AC441" s="110"/>
      <c r="AD441" s="110"/>
    </row>
    <row r="442">
      <c r="A442" s="118" t="s">
        <v>354</v>
      </c>
      <c r="B442" s="112" t="s">
        <v>4716</v>
      </c>
      <c r="C442" s="112">
        <v>2.023213941E9</v>
      </c>
      <c r="D442" s="119" t="s">
        <v>4700</v>
      </c>
      <c r="E442" s="128">
        <v>45722.0</v>
      </c>
      <c r="F442" s="113" t="s">
        <v>327</v>
      </c>
      <c r="G442" s="113" t="s">
        <v>4302</v>
      </c>
      <c r="H442" s="113"/>
      <c r="I442" s="114">
        <v>45809.0</v>
      </c>
      <c r="J442" s="132">
        <v>3.0</v>
      </c>
      <c r="K442" s="136" t="str">
        <f>IFERROR(__xludf.DUMMYFUNCTION("""COMPUTED_VALUE"""),"")</f>
        <v/>
      </c>
      <c r="L442" s="114">
        <f>IFERROR(__xludf.DUMMYFUNCTION("""COMPUTED_VALUE"""),45802.0)</f>
        <v>45802</v>
      </c>
      <c r="M442" s="116"/>
      <c r="N442" s="110"/>
      <c r="O442" s="110"/>
      <c r="P442" s="110"/>
      <c r="Q442" s="110"/>
      <c r="R442" s="110"/>
      <c r="S442" s="110"/>
      <c r="T442" s="110"/>
      <c r="U442" s="110"/>
      <c r="V442" s="110"/>
      <c r="W442" s="110"/>
      <c r="X442" s="110"/>
      <c r="Y442" s="110"/>
      <c r="Z442" s="110"/>
      <c r="AA442" s="110"/>
      <c r="AB442" s="110"/>
      <c r="AC442" s="110"/>
      <c r="AD442" s="110"/>
    </row>
    <row r="443">
      <c r="A443" s="118" t="s">
        <v>687</v>
      </c>
      <c r="B443" s="112" t="s">
        <v>4717</v>
      </c>
      <c r="C443" s="112" t="s">
        <v>691</v>
      </c>
      <c r="D443" s="119" t="s">
        <v>4700</v>
      </c>
      <c r="E443" s="128">
        <v>45953.0</v>
      </c>
      <c r="F443" s="113" t="s">
        <v>31</v>
      </c>
      <c r="G443" s="113" t="s">
        <v>4302</v>
      </c>
      <c r="H443" s="113" t="s">
        <v>4718</v>
      </c>
      <c r="I443" s="114"/>
      <c r="J443" s="132">
        <v>3.0</v>
      </c>
      <c r="K443" s="136" t="str">
        <f>IFERROR(__xludf.DUMMYFUNCTION("""COMPUTED_VALUE"""),"")</f>
        <v/>
      </c>
      <c r="L443" s="114">
        <f>IFERROR(__xludf.DUMMYFUNCTION("""COMPUTED_VALUE"""),45960.0)</f>
        <v>45960</v>
      </c>
      <c r="M443" s="116"/>
      <c r="N443" s="110"/>
      <c r="O443" s="110"/>
      <c r="P443" s="110"/>
      <c r="Q443" s="110"/>
      <c r="R443" s="110"/>
      <c r="S443" s="110"/>
      <c r="T443" s="110"/>
      <c r="U443" s="110"/>
      <c r="V443" s="110"/>
      <c r="W443" s="110"/>
      <c r="X443" s="110"/>
      <c r="Y443" s="110"/>
      <c r="Z443" s="110"/>
      <c r="AA443" s="110"/>
      <c r="AB443" s="110"/>
      <c r="AC443" s="110"/>
      <c r="AD443" s="110"/>
    </row>
    <row r="444">
      <c r="A444" s="118" t="s">
        <v>32</v>
      </c>
      <c r="B444" s="112" t="s">
        <v>4719</v>
      </c>
      <c r="C444" s="112" t="s">
        <v>45</v>
      </c>
      <c r="D444" s="119" t="s">
        <v>4700</v>
      </c>
      <c r="E444" s="128"/>
      <c r="F444" s="113"/>
      <c r="G444" s="113"/>
      <c r="H444" s="113" t="s">
        <v>4720</v>
      </c>
      <c r="I444" s="114"/>
      <c r="J444" s="132">
        <v>3.0</v>
      </c>
      <c r="K444" s="136" t="str">
        <f>IFERROR(__xludf.DUMMYFUNCTION("""COMPUTED_VALUE"""),"")</f>
        <v/>
      </c>
      <c r="L444" s="114" t="str">
        <f>IFERROR(__xludf.DUMMYFUNCTION("""COMPUTED_VALUE"""),"")</f>
        <v/>
      </c>
      <c r="M444" s="116"/>
      <c r="N444" s="110"/>
      <c r="O444" s="110"/>
      <c r="P444" s="110"/>
      <c r="Q444" s="110"/>
      <c r="R444" s="110"/>
      <c r="S444" s="110"/>
      <c r="T444" s="110"/>
      <c r="U444" s="110"/>
      <c r="V444" s="110"/>
      <c r="W444" s="110"/>
      <c r="X444" s="110"/>
      <c r="Y444" s="110"/>
      <c r="Z444" s="110"/>
      <c r="AA444" s="110"/>
      <c r="AB444" s="110"/>
      <c r="AC444" s="110"/>
      <c r="AD444" s="110"/>
    </row>
    <row r="445">
      <c r="A445" s="118" t="s">
        <v>50</v>
      </c>
      <c r="B445" s="112" t="s">
        <v>4721</v>
      </c>
      <c r="C445" s="112" t="s">
        <v>60</v>
      </c>
      <c r="D445" s="119" t="s">
        <v>4700</v>
      </c>
      <c r="E445" s="128"/>
      <c r="F445" s="113" t="s">
        <v>31</v>
      </c>
      <c r="G445" s="113"/>
      <c r="H445" s="113" t="s">
        <v>4720</v>
      </c>
      <c r="I445" s="114"/>
      <c r="J445" s="132">
        <v>3.0</v>
      </c>
      <c r="K445" s="136" t="str">
        <f>IFERROR(__xludf.DUMMYFUNCTION("""COMPUTED_VALUE"""),"")</f>
        <v/>
      </c>
      <c r="L445" s="114" t="str">
        <f>IFERROR(__xludf.DUMMYFUNCTION("""COMPUTED_VALUE"""),"")</f>
        <v/>
      </c>
      <c r="M445" s="116"/>
      <c r="N445" s="110"/>
      <c r="O445" s="110"/>
      <c r="P445" s="110"/>
      <c r="Q445" s="110"/>
      <c r="R445" s="110"/>
      <c r="S445" s="110"/>
      <c r="T445" s="110"/>
      <c r="U445" s="110"/>
      <c r="V445" s="110"/>
      <c r="W445" s="110"/>
      <c r="X445" s="110"/>
      <c r="Y445" s="110"/>
      <c r="Z445" s="110"/>
      <c r="AA445" s="110"/>
      <c r="AB445" s="110"/>
      <c r="AC445" s="110"/>
      <c r="AD445" s="110"/>
    </row>
    <row r="446">
      <c r="A446" s="118" t="s">
        <v>179</v>
      </c>
      <c r="B446" s="112" t="s">
        <v>4722</v>
      </c>
      <c r="C446" s="112">
        <v>2.024510663E9</v>
      </c>
      <c r="D446" s="119" t="s">
        <v>4700</v>
      </c>
      <c r="E446" s="128">
        <v>45722.0</v>
      </c>
      <c r="F446" s="113" t="s">
        <v>31</v>
      </c>
      <c r="G446" s="113"/>
      <c r="H446" s="113" t="s">
        <v>4723</v>
      </c>
      <c r="I446" s="114"/>
      <c r="J446" s="132">
        <v>3.0</v>
      </c>
      <c r="K446" s="136" t="str">
        <f>IFERROR(__xludf.DUMMYFUNCTION("""COMPUTED_VALUE"""),"")</f>
        <v/>
      </c>
      <c r="L446" s="114" t="str">
        <f>IFERROR(__xludf.DUMMYFUNCTION("""COMPUTED_VALUE"""),"")</f>
        <v/>
      </c>
      <c r="M446" s="116"/>
      <c r="N446" s="110"/>
      <c r="O446" s="110"/>
      <c r="P446" s="110"/>
      <c r="Q446" s="110"/>
      <c r="R446" s="110"/>
      <c r="S446" s="110"/>
      <c r="T446" s="110"/>
      <c r="U446" s="110"/>
      <c r="V446" s="110"/>
      <c r="W446" s="110"/>
      <c r="X446" s="110"/>
      <c r="Y446" s="110"/>
      <c r="Z446" s="110"/>
      <c r="AA446" s="110"/>
      <c r="AB446" s="110"/>
      <c r="AC446" s="110"/>
      <c r="AD446" s="110"/>
    </row>
    <row r="447">
      <c r="A447" s="118" t="s">
        <v>189</v>
      </c>
      <c r="B447" s="112" t="s">
        <v>4724</v>
      </c>
      <c r="C447" s="112" t="s">
        <v>198</v>
      </c>
      <c r="D447" s="119" t="s">
        <v>4700</v>
      </c>
      <c r="E447" s="128"/>
      <c r="F447" s="113"/>
      <c r="G447" s="137"/>
      <c r="H447" s="113"/>
      <c r="I447" s="114"/>
      <c r="J447" s="132"/>
      <c r="K447" s="136" t="str">
        <f>IFERROR(__xludf.DUMMYFUNCTION("""COMPUTED_VALUE"""),"")</f>
        <v/>
      </c>
      <c r="L447" s="114" t="str">
        <f>IFERROR(__xludf.DUMMYFUNCTION("""COMPUTED_VALUE"""),"")</f>
        <v/>
      </c>
      <c r="M447" s="116"/>
      <c r="N447" s="110"/>
      <c r="O447" s="110"/>
      <c r="P447" s="110"/>
      <c r="Q447" s="110"/>
      <c r="R447" s="110"/>
      <c r="S447" s="110"/>
      <c r="T447" s="110"/>
      <c r="U447" s="110"/>
      <c r="V447" s="110"/>
      <c r="W447" s="110"/>
      <c r="X447" s="110"/>
      <c r="Y447" s="110"/>
      <c r="Z447" s="110"/>
      <c r="AA447" s="110"/>
      <c r="AB447" s="110"/>
      <c r="AC447" s="110"/>
      <c r="AD447" s="110"/>
    </row>
    <row r="448">
      <c r="A448" s="118" t="s">
        <v>200</v>
      </c>
      <c r="B448" s="112" t="s">
        <v>4725</v>
      </c>
      <c r="C448" s="112" t="s">
        <v>208</v>
      </c>
      <c r="D448" s="119" t="s">
        <v>4700</v>
      </c>
      <c r="E448" s="128"/>
      <c r="F448" s="113"/>
      <c r="G448" s="113"/>
      <c r="H448" s="113"/>
      <c r="I448" s="114"/>
      <c r="J448" s="132"/>
      <c r="K448" s="136" t="str">
        <f>IFERROR(__xludf.DUMMYFUNCTION("""COMPUTED_VALUE"""),"")</f>
        <v/>
      </c>
      <c r="L448" s="114" t="str">
        <f>IFERROR(__xludf.DUMMYFUNCTION("""COMPUTED_VALUE"""),"")</f>
        <v/>
      </c>
      <c r="M448" s="116"/>
      <c r="N448" s="110"/>
      <c r="O448" s="110"/>
      <c r="P448" s="110"/>
      <c r="Q448" s="110"/>
      <c r="R448" s="110"/>
      <c r="S448" s="110"/>
      <c r="T448" s="110"/>
      <c r="U448" s="110"/>
      <c r="V448" s="110"/>
      <c r="W448" s="110"/>
      <c r="X448" s="110"/>
      <c r="Y448" s="110"/>
      <c r="Z448" s="110"/>
      <c r="AA448" s="110"/>
      <c r="AB448" s="110"/>
      <c r="AC448" s="110"/>
      <c r="AD448" s="110"/>
    </row>
    <row r="449">
      <c r="A449" s="118" t="s">
        <v>222</v>
      </c>
      <c r="B449" s="112" t="s">
        <v>4726</v>
      </c>
      <c r="C449" s="112">
        <v>7.712010623E9</v>
      </c>
      <c r="D449" s="119" t="s">
        <v>4700</v>
      </c>
      <c r="E449" s="128">
        <v>45824.0</v>
      </c>
      <c r="F449" s="113" t="s">
        <v>221</v>
      </c>
      <c r="G449" s="113"/>
      <c r="H449" s="113" t="s">
        <v>4727</v>
      </c>
      <c r="I449" s="114"/>
      <c r="J449" s="132"/>
      <c r="K449" s="136" t="str">
        <f>IFERROR(__xludf.DUMMYFUNCTION("""COMPUTED_VALUE"""),"")</f>
        <v/>
      </c>
      <c r="L449" s="114" t="str">
        <f>IFERROR(__xludf.DUMMYFUNCTION("""COMPUTED_VALUE"""),"")</f>
        <v/>
      </c>
      <c r="M449" s="116"/>
      <c r="N449" s="110"/>
      <c r="O449" s="110"/>
      <c r="P449" s="110"/>
      <c r="Q449" s="110"/>
      <c r="R449" s="110"/>
      <c r="S449" s="110"/>
      <c r="T449" s="110"/>
      <c r="U449" s="110"/>
      <c r="V449" s="110"/>
      <c r="W449" s="110"/>
      <c r="X449" s="110"/>
      <c r="Y449" s="110"/>
      <c r="Z449" s="110"/>
      <c r="AA449" s="110"/>
      <c r="AB449" s="110"/>
      <c r="AC449" s="110"/>
      <c r="AD449" s="110"/>
    </row>
    <row r="450">
      <c r="A450" s="118" t="s">
        <v>283</v>
      </c>
      <c r="B450" s="112" t="s">
        <v>4728</v>
      </c>
      <c r="C450" s="112" t="s">
        <v>292</v>
      </c>
      <c r="D450" s="119" t="s">
        <v>4700</v>
      </c>
      <c r="E450" s="128"/>
      <c r="F450" s="113"/>
      <c r="G450" s="113"/>
      <c r="H450" s="113"/>
      <c r="I450" s="114"/>
      <c r="J450" s="132"/>
      <c r="K450" s="136" t="str">
        <f>IFERROR(__xludf.DUMMYFUNCTION("""COMPUTED_VALUE"""),"")</f>
        <v/>
      </c>
      <c r="L450" s="114" t="str">
        <f>IFERROR(__xludf.DUMMYFUNCTION("""COMPUTED_VALUE"""),"")</f>
        <v/>
      </c>
      <c r="M450" s="116"/>
      <c r="N450" s="110"/>
      <c r="O450" s="110"/>
      <c r="P450" s="110"/>
      <c r="Q450" s="110"/>
      <c r="R450" s="110"/>
      <c r="S450" s="110"/>
      <c r="T450" s="110"/>
      <c r="U450" s="110"/>
      <c r="V450" s="110"/>
      <c r="W450" s="110"/>
      <c r="X450" s="110"/>
      <c r="Y450" s="110"/>
      <c r="Z450" s="110"/>
      <c r="AA450" s="110"/>
      <c r="AB450" s="110"/>
      <c r="AC450" s="110"/>
      <c r="AD450" s="110"/>
    </row>
    <row r="451">
      <c r="A451" s="118" t="s">
        <v>296</v>
      </c>
      <c r="B451" s="112" t="s">
        <v>4729</v>
      </c>
      <c r="C451" s="112" t="s">
        <v>304</v>
      </c>
      <c r="D451" s="119" t="s">
        <v>4700</v>
      </c>
      <c r="E451" s="128"/>
      <c r="F451" s="113"/>
      <c r="G451" s="113" t="s">
        <v>4343</v>
      </c>
      <c r="H451" s="113"/>
      <c r="I451" s="114"/>
      <c r="J451" s="132"/>
      <c r="K451" s="136" t="str">
        <f>IFERROR(__xludf.DUMMYFUNCTION("""COMPUTED_VALUE"""),"")</f>
        <v/>
      </c>
      <c r="L451" s="114" t="str">
        <f>IFERROR(__xludf.DUMMYFUNCTION("""COMPUTED_VALUE"""),"")</f>
        <v/>
      </c>
      <c r="M451" s="116"/>
      <c r="N451" s="110"/>
      <c r="O451" s="110"/>
      <c r="P451" s="110"/>
      <c r="Q451" s="110"/>
      <c r="R451" s="110"/>
      <c r="S451" s="110"/>
      <c r="T451" s="110"/>
      <c r="U451" s="110"/>
      <c r="V451" s="110"/>
      <c r="W451" s="110"/>
      <c r="X451" s="110"/>
      <c r="Y451" s="110"/>
      <c r="Z451" s="110"/>
      <c r="AA451" s="110"/>
      <c r="AB451" s="110"/>
      <c r="AC451" s="110"/>
      <c r="AD451" s="110"/>
    </row>
    <row r="452">
      <c r="A452" s="118" t="s">
        <v>334</v>
      </c>
      <c r="B452" s="112" t="s">
        <v>4730</v>
      </c>
      <c r="C452" s="112">
        <v>4.437686095E9</v>
      </c>
      <c r="D452" s="119" t="s">
        <v>4700</v>
      </c>
      <c r="E452" s="128"/>
      <c r="F452" s="113" t="s">
        <v>327</v>
      </c>
      <c r="G452" s="113"/>
      <c r="H452" s="113" t="s">
        <v>4727</v>
      </c>
      <c r="I452" s="114"/>
      <c r="J452" s="132"/>
      <c r="K452" s="136" t="str">
        <f>IFERROR(__xludf.DUMMYFUNCTION("""COMPUTED_VALUE"""),"")</f>
        <v/>
      </c>
      <c r="L452" s="114" t="str">
        <f>IFERROR(__xludf.DUMMYFUNCTION("""COMPUTED_VALUE"""),"")</f>
        <v/>
      </c>
      <c r="M452" s="116"/>
      <c r="N452" s="110"/>
      <c r="O452" s="110"/>
      <c r="P452" s="110"/>
      <c r="Q452" s="110"/>
      <c r="R452" s="110"/>
      <c r="S452" s="110"/>
      <c r="T452" s="110"/>
      <c r="U452" s="110"/>
      <c r="V452" s="110"/>
      <c r="W452" s="110"/>
      <c r="X452" s="110"/>
      <c r="Y452" s="110"/>
      <c r="Z452" s="110"/>
      <c r="AA452" s="110"/>
      <c r="AB452" s="110"/>
      <c r="AC452" s="110"/>
      <c r="AD452" s="110"/>
    </row>
    <row r="453">
      <c r="A453" s="118" t="s">
        <v>416</v>
      </c>
      <c r="B453" s="112" t="s">
        <v>4731</v>
      </c>
      <c r="C453" s="112">
        <v>2.025156871E9</v>
      </c>
      <c r="D453" s="119" t="s">
        <v>4700</v>
      </c>
      <c r="E453" s="128"/>
      <c r="F453" s="113"/>
      <c r="G453" s="113"/>
      <c r="H453" s="113"/>
      <c r="I453" s="114"/>
      <c r="J453" s="132"/>
      <c r="K453" s="136" t="str">
        <f>IFERROR(__xludf.DUMMYFUNCTION("""COMPUTED_VALUE"""),"")</f>
        <v/>
      </c>
      <c r="L453" s="114" t="str">
        <f>IFERROR(__xludf.DUMMYFUNCTION("""COMPUTED_VALUE"""),"")</f>
        <v/>
      </c>
      <c r="M453" s="116"/>
      <c r="N453" s="110"/>
      <c r="O453" s="110"/>
      <c r="P453" s="110"/>
      <c r="Q453" s="110"/>
      <c r="R453" s="110"/>
      <c r="S453" s="110"/>
      <c r="T453" s="110"/>
      <c r="U453" s="110"/>
      <c r="V453" s="110"/>
      <c r="W453" s="110"/>
      <c r="X453" s="110"/>
      <c r="Y453" s="110"/>
      <c r="Z453" s="110"/>
      <c r="AA453" s="110"/>
      <c r="AB453" s="110"/>
      <c r="AC453" s="110"/>
      <c r="AD453" s="110"/>
    </row>
    <row r="454">
      <c r="A454" s="118" t="s">
        <v>440</v>
      </c>
      <c r="B454" s="112" t="s">
        <v>4732</v>
      </c>
      <c r="C454" s="112" t="s">
        <v>448</v>
      </c>
      <c r="D454" s="119" t="s">
        <v>4700</v>
      </c>
      <c r="E454" s="128"/>
      <c r="F454" s="113" t="s">
        <v>327</v>
      </c>
      <c r="G454" s="113"/>
      <c r="H454" s="113" t="s">
        <v>4733</v>
      </c>
      <c r="I454" s="114"/>
      <c r="J454" s="132"/>
      <c r="K454" s="136" t="str">
        <f>IFERROR(__xludf.DUMMYFUNCTION("""COMPUTED_VALUE"""),"")</f>
        <v/>
      </c>
      <c r="L454" s="114" t="str">
        <f>IFERROR(__xludf.DUMMYFUNCTION("""COMPUTED_VALUE"""),"")</f>
        <v/>
      </c>
      <c r="M454" s="116"/>
      <c r="N454" s="110"/>
      <c r="O454" s="110"/>
      <c r="P454" s="110"/>
      <c r="Q454" s="110"/>
      <c r="R454" s="110"/>
      <c r="S454" s="110"/>
      <c r="T454" s="110"/>
      <c r="U454" s="110"/>
      <c r="V454" s="110"/>
      <c r="W454" s="110"/>
      <c r="X454" s="110"/>
      <c r="Y454" s="110"/>
      <c r="Z454" s="110"/>
      <c r="AA454" s="110"/>
      <c r="AB454" s="110"/>
      <c r="AC454" s="110"/>
      <c r="AD454" s="110"/>
    </row>
    <row r="455">
      <c r="A455" s="118" t="s">
        <v>460</v>
      </c>
      <c r="B455" s="112" t="s">
        <v>4734</v>
      </c>
      <c r="C455" s="112">
        <v>2.028479291E9</v>
      </c>
      <c r="D455" s="119" t="s">
        <v>4700</v>
      </c>
      <c r="E455" s="128"/>
      <c r="F455" s="113"/>
      <c r="G455" s="113"/>
      <c r="H455" s="113"/>
      <c r="I455" s="114"/>
      <c r="J455" s="132"/>
      <c r="K455" s="136" t="str">
        <f>IFERROR(__xludf.DUMMYFUNCTION("""COMPUTED_VALUE"""),"")</f>
        <v/>
      </c>
      <c r="L455" s="114" t="str">
        <f>IFERROR(__xludf.DUMMYFUNCTION("""COMPUTED_VALUE"""),"")</f>
        <v/>
      </c>
      <c r="M455" s="116"/>
      <c r="N455" s="110"/>
      <c r="O455" s="110"/>
      <c r="P455" s="110"/>
      <c r="Q455" s="110"/>
      <c r="R455" s="110"/>
      <c r="S455" s="110"/>
      <c r="T455" s="110"/>
      <c r="U455" s="110"/>
      <c r="V455" s="110"/>
      <c r="W455" s="110"/>
      <c r="X455" s="110"/>
      <c r="Y455" s="110"/>
      <c r="Z455" s="110"/>
      <c r="AA455" s="110"/>
      <c r="AB455" s="110"/>
      <c r="AC455" s="110"/>
      <c r="AD455" s="110"/>
    </row>
    <row r="456">
      <c r="A456" s="118" t="s">
        <v>494</v>
      </c>
      <c r="B456" s="112" t="s">
        <v>4735</v>
      </c>
      <c r="C456" s="112">
        <v>2.022711636E9</v>
      </c>
      <c r="D456" s="119" t="s">
        <v>4700</v>
      </c>
      <c r="E456" s="128"/>
      <c r="F456" s="113"/>
      <c r="G456" s="113"/>
      <c r="H456" s="113" t="s">
        <v>4736</v>
      </c>
      <c r="I456" s="114"/>
      <c r="J456" s="132"/>
      <c r="K456" s="136" t="str">
        <f>IFERROR(__xludf.DUMMYFUNCTION("""COMPUTED_VALUE"""),"")</f>
        <v/>
      </c>
      <c r="L456" s="114" t="str">
        <f>IFERROR(__xludf.DUMMYFUNCTION("""COMPUTED_VALUE"""),"")</f>
        <v/>
      </c>
      <c r="M456" s="116"/>
      <c r="N456" s="110"/>
      <c r="O456" s="110"/>
      <c r="P456" s="110"/>
      <c r="Q456" s="110"/>
      <c r="R456" s="110"/>
      <c r="S456" s="110"/>
      <c r="T456" s="110"/>
      <c r="U456" s="110"/>
      <c r="V456" s="110"/>
      <c r="W456" s="110"/>
      <c r="X456" s="110"/>
      <c r="Y456" s="110"/>
      <c r="Z456" s="110"/>
      <c r="AA456" s="110"/>
      <c r="AB456" s="110"/>
      <c r="AC456" s="110"/>
      <c r="AD456" s="110"/>
    </row>
    <row r="457">
      <c r="A457" s="118" t="s">
        <v>440</v>
      </c>
      <c r="B457" s="112" t="s">
        <v>4737</v>
      </c>
      <c r="C457" s="112">
        <v>7.712010933E9</v>
      </c>
      <c r="D457" s="119" t="s">
        <v>4700</v>
      </c>
      <c r="E457" s="128"/>
      <c r="F457" s="113" t="s">
        <v>327</v>
      </c>
      <c r="G457" s="113"/>
      <c r="H457" s="113" t="s">
        <v>4733</v>
      </c>
      <c r="I457" s="114"/>
      <c r="J457" s="132"/>
      <c r="K457" s="136" t="str">
        <f>IFERROR(__xludf.DUMMYFUNCTION("""COMPUTED_VALUE"""),"")</f>
        <v/>
      </c>
      <c r="L457" s="114" t="str">
        <f>IFERROR(__xludf.DUMMYFUNCTION("""COMPUTED_VALUE"""),"")</f>
        <v/>
      </c>
      <c r="M457" s="116"/>
      <c r="N457" s="110"/>
      <c r="O457" s="110"/>
      <c r="P457" s="110"/>
      <c r="Q457" s="110"/>
      <c r="R457" s="110"/>
      <c r="S457" s="110"/>
      <c r="T457" s="110"/>
      <c r="U457" s="110"/>
      <c r="V457" s="110"/>
      <c r="W457" s="110"/>
      <c r="X457" s="110"/>
      <c r="Y457" s="110"/>
      <c r="Z457" s="110"/>
      <c r="AA457" s="110"/>
      <c r="AB457" s="110"/>
      <c r="AC457" s="110"/>
      <c r="AD457" s="110"/>
    </row>
    <row r="458">
      <c r="A458" s="118" t="s">
        <v>548</v>
      </c>
      <c r="B458" s="112" t="s">
        <v>4738</v>
      </c>
      <c r="C458" s="112">
        <v>2.02602936E9</v>
      </c>
      <c r="D458" s="119" t="s">
        <v>4700</v>
      </c>
      <c r="E458" s="128"/>
      <c r="F458" s="113"/>
      <c r="G458" s="113" t="s">
        <v>4603</v>
      </c>
      <c r="H458" s="113"/>
      <c r="I458" s="114"/>
      <c r="J458" s="132"/>
      <c r="K458" s="136" t="str">
        <f>IFERROR(__xludf.DUMMYFUNCTION("""COMPUTED_VALUE"""),"")</f>
        <v/>
      </c>
      <c r="L458" s="114" t="str">
        <f>IFERROR(__xludf.DUMMYFUNCTION("""COMPUTED_VALUE"""),"")</f>
        <v/>
      </c>
      <c r="M458" s="116"/>
      <c r="N458" s="110"/>
      <c r="O458" s="110"/>
      <c r="P458" s="110"/>
      <c r="Q458" s="110"/>
      <c r="R458" s="110"/>
      <c r="S458" s="110"/>
      <c r="T458" s="110"/>
      <c r="U458" s="110"/>
      <c r="V458" s="110"/>
      <c r="W458" s="110"/>
      <c r="X458" s="110"/>
      <c r="Y458" s="110"/>
      <c r="Z458" s="110"/>
      <c r="AA458" s="110"/>
      <c r="AB458" s="110"/>
      <c r="AC458" s="110"/>
      <c r="AD458" s="110"/>
    </row>
    <row r="459">
      <c r="A459" s="118" t="s">
        <v>564</v>
      </c>
      <c r="B459" s="112" t="s">
        <v>4739</v>
      </c>
      <c r="C459" s="112">
        <v>2.028945029E9</v>
      </c>
      <c r="D459" s="119" t="s">
        <v>4700</v>
      </c>
      <c r="E459" s="128"/>
      <c r="F459" s="113"/>
      <c r="G459" s="113"/>
      <c r="H459" s="113"/>
      <c r="I459" s="114"/>
      <c r="J459" s="132"/>
      <c r="K459" s="136" t="str">
        <f>IFERROR(__xludf.DUMMYFUNCTION("""COMPUTED_VALUE"""),"")</f>
        <v/>
      </c>
      <c r="L459" s="114" t="str">
        <f>IFERROR(__xludf.DUMMYFUNCTION("""COMPUTED_VALUE"""),"")</f>
        <v/>
      </c>
      <c r="M459" s="116"/>
      <c r="N459" s="110"/>
      <c r="O459" s="110"/>
      <c r="P459" s="110"/>
      <c r="Q459" s="110"/>
      <c r="R459" s="110"/>
      <c r="S459" s="110"/>
      <c r="T459" s="110"/>
      <c r="U459" s="110"/>
      <c r="V459" s="110"/>
      <c r="W459" s="110"/>
      <c r="X459" s="110"/>
      <c r="Y459" s="110"/>
      <c r="Z459" s="110"/>
      <c r="AA459" s="110"/>
      <c r="AB459" s="110"/>
      <c r="AC459" s="110"/>
      <c r="AD459" s="110"/>
    </row>
    <row r="460">
      <c r="A460" s="118" t="s">
        <v>572</v>
      </c>
      <c r="B460" s="112" t="s">
        <v>4740</v>
      </c>
      <c r="C460" s="112">
        <v>2.024159941E9</v>
      </c>
      <c r="D460" s="119" t="s">
        <v>4700</v>
      </c>
      <c r="E460" s="128"/>
      <c r="F460" s="113"/>
      <c r="G460" s="113"/>
      <c r="H460" s="113"/>
      <c r="I460" s="114"/>
      <c r="J460" s="132"/>
      <c r="K460" s="136" t="str">
        <f>IFERROR(__xludf.DUMMYFUNCTION("""COMPUTED_VALUE"""),"")</f>
        <v/>
      </c>
      <c r="L460" s="114" t="str">
        <f>IFERROR(__xludf.DUMMYFUNCTION("""COMPUTED_VALUE"""),"")</f>
        <v/>
      </c>
      <c r="M460" s="116"/>
      <c r="N460" s="110"/>
      <c r="O460" s="110"/>
      <c r="P460" s="110"/>
      <c r="Q460" s="110"/>
      <c r="R460" s="110"/>
      <c r="S460" s="110"/>
      <c r="T460" s="110"/>
      <c r="U460" s="110"/>
      <c r="V460" s="110"/>
      <c r="W460" s="110"/>
      <c r="X460" s="110"/>
      <c r="Y460" s="110"/>
      <c r="Z460" s="110"/>
      <c r="AA460" s="110"/>
      <c r="AB460" s="110"/>
      <c r="AC460" s="110"/>
      <c r="AD460" s="110"/>
    </row>
    <row r="461">
      <c r="A461" s="118" t="s">
        <v>594</v>
      </c>
      <c r="B461" s="112" t="s">
        <v>4741</v>
      </c>
      <c r="C461" s="112" t="s">
        <v>602</v>
      </c>
      <c r="D461" s="119" t="s">
        <v>4700</v>
      </c>
      <c r="E461" s="128"/>
      <c r="F461" s="113" t="s">
        <v>327</v>
      </c>
      <c r="G461" s="137"/>
      <c r="H461" s="113"/>
      <c r="I461" s="114"/>
      <c r="J461" s="132"/>
      <c r="K461" s="136" t="str">
        <f>IFERROR(__xludf.DUMMYFUNCTION("""COMPUTED_VALUE"""),"")</f>
        <v/>
      </c>
      <c r="L461" s="114" t="str">
        <f>IFERROR(__xludf.DUMMYFUNCTION("""COMPUTED_VALUE"""),"")</f>
        <v/>
      </c>
      <c r="M461" s="116"/>
      <c r="N461" s="110"/>
      <c r="O461" s="110"/>
      <c r="P461" s="110"/>
      <c r="Q461" s="110"/>
      <c r="R461" s="110"/>
      <c r="S461" s="110"/>
      <c r="T461" s="110"/>
      <c r="U461" s="110"/>
      <c r="V461" s="110"/>
      <c r="W461" s="110"/>
      <c r="X461" s="110"/>
      <c r="Y461" s="110"/>
      <c r="Z461" s="110"/>
      <c r="AA461" s="110"/>
      <c r="AB461" s="110"/>
      <c r="AC461" s="110"/>
      <c r="AD461" s="110"/>
    </row>
    <row r="462">
      <c r="A462" s="118" t="s">
        <v>721</v>
      </c>
      <c r="B462" s="112" t="s">
        <v>4742</v>
      </c>
      <c r="C462" s="112">
        <v>2.02830581E9</v>
      </c>
      <c r="D462" s="119" t="s">
        <v>4700</v>
      </c>
      <c r="E462" s="128"/>
      <c r="F462" s="113"/>
      <c r="G462" s="137"/>
      <c r="H462" s="113"/>
      <c r="I462" s="114"/>
      <c r="J462" s="132"/>
      <c r="K462" s="136" t="str">
        <f>IFERROR(__xludf.DUMMYFUNCTION("""COMPUTED_VALUE"""),"")</f>
        <v/>
      </c>
      <c r="L462" s="114" t="str">
        <f>IFERROR(__xludf.DUMMYFUNCTION("""COMPUTED_VALUE"""),"")</f>
        <v/>
      </c>
      <c r="M462" s="116"/>
      <c r="N462" s="110"/>
      <c r="O462" s="110"/>
      <c r="P462" s="110"/>
      <c r="Q462" s="110"/>
      <c r="R462" s="110"/>
      <c r="S462" s="110"/>
      <c r="T462" s="110"/>
      <c r="U462" s="110"/>
      <c r="V462" s="110"/>
      <c r="W462" s="110"/>
      <c r="X462" s="110"/>
      <c r="Y462" s="110"/>
      <c r="Z462" s="110"/>
      <c r="AA462" s="110"/>
      <c r="AB462" s="110"/>
      <c r="AC462" s="110"/>
      <c r="AD462" s="110"/>
    </row>
    <row r="463">
      <c r="A463" s="118" t="s">
        <v>727</v>
      </c>
      <c r="B463" s="112" t="s">
        <v>4743</v>
      </c>
      <c r="C463" s="112">
        <v>2.028830896E9</v>
      </c>
      <c r="D463" s="119" t="s">
        <v>4700</v>
      </c>
      <c r="E463" s="128"/>
      <c r="F463" s="113"/>
      <c r="G463" s="137"/>
      <c r="H463" s="113"/>
      <c r="I463" s="114"/>
      <c r="J463" s="132"/>
      <c r="K463" s="136" t="str">
        <f>IFERROR(__xludf.DUMMYFUNCTION("""COMPUTED_VALUE"""),"")</f>
        <v/>
      </c>
      <c r="L463" s="114" t="str">
        <f>IFERROR(__xludf.DUMMYFUNCTION("""COMPUTED_VALUE"""),"")</f>
        <v/>
      </c>
      <c r="M463" s="116"/>
      <c r="N463" s="110"/>
      <c r="O463" s="110"/>
      <c r="P463" s="110"/>
      <c r="Q463" s="110"/>
      <c r="R463" s="110"/>
      <c r="S463" s="110"/>
      <c r="T463" s="110"/>
      <c r="U463" s="110"/>
      <c r="V463" s="110"/>
      <c r="W463" s="110"/>
      <c r="X463" s="110"/>
      <c r="Y463" s="110"/>
      <c r="Z463" s="110"/>
      <c r="AA463" s="110"/>
      <c r="AB463" s="110"/>
      <c r="AC463" s="110"/>
      <c r="AD463" s="110"/>
    </row>
    <row r="464">
      <c r="A464" s="118" t="s">
        <v>733</v>
      </c>
      <c r="B464" s="112" t="s">
        <v>4744</v>
      </c>
      <c r="C464" s="112">
        <v>7.432588718E9</v>
      </c>
      <c r="D464" s="119" t="s">
        <v>4700</v>
      </c>
      <c r="E464" s="128"/>
      <c r="F464" s="113"/>
      <c r="G464" s="113"/>
      <c r="H464" s="113"/>
      <c r="I464" s="114"/>
      <c r="J464" s="132"/>
      <c r="K464" s="136" t="str">
        <f>IFERROR(__xludf.DUMMYFUNCTION("""COMPUTED_VALUE"""),"")</f>
        <v/>
      </c>
      <c r="L464" s="114" t="str">
        <f>IFERROR(__xludf.DUMMYFUNCTION("""COMPUTED_VALUE"""),"")</f>
        <v/>
      </c>
      <c r="M464" s="116"/>
      <c r="N464" s="110"/>
      <c r="O464" s="110"/>
      <c r="P464" s="110"/>
      <c r="Q464" s="110"/>
      <c r="R464" s="110"/>
      <c r="S464" s="110"/>
      <c r="T464" s="110"/>
      <c r="U464" s="110"/>
      <c r="V464" s="110"/>
      <c r="W464" s="110"/>
      <c r="X464" s="110"/>
      <c r="Y464" s="110"/>
      <c r="Z464" s="110"/>
      <c r="AA464" s="110"/>
      <c r="AB464" s="110"/>
      <c r="AC464" s="110"/>
      <c r="AD464" s="110"/>
    </row>
    <row r="465">
      <c r="A465" s="118" t="s">
        <v>750</v>
      </c>
      <c r="B465" s="112" t="s">
        <v>4745</v>
      </c>
      <c r="C465" s="112">
        <v>2.407155414E9</v>
      </c>
      <c r="D465" s="119" t="s">
        <v>4700</v>
      </c>
      <c r="E465" s="128"/>
      <c r="F465" s="113"/>
      <c r="G465" s="113" t="s">
        <v>4603</v>
      </c>
      <c r="H465" s="113"/>
      <c r="I465" s="114"/>
      <c r="J465" s="132"/>
      <c r="K465" s="136" t="str">
        <f>IFERROR(__xludf.DUMMYFUNCTION("""COMPUTED_VALUE"""),"")</f>
        <v/>
      </c>
      <c r="L465" s="114" t="str">
        <f>IFERROR(__xludf.DUMMYFUNCTION("""COMPUTED_VALUE"""),"")</f>
        <v/>
      </c>
      <c r="M465" s="116"/>
      <c r="N465" s="110"/>
      <c r="O465" s="110"/>
      <c r="P465" s="110"/>
      <c r="Q465" s="110"/>
      <c r="R465" s="110"/>
      <c r="S465" s="110"/>
      <c r="T465" s="110"/>
      <c r="U465" s="110"/>
      <c r="V465" s="110"/>
      <c r="W465" s="110"/>
      <c r="X465" s="110"/>
      <c r="Y465" s="110"/>
      <c r="Z465" s="110"/>
      <c r="AA465" s="110"/>
      <c r="AB465" s="110"/>
      <c r="AC465" s="110"/>
      <c r="AD465" s="110"/>
    </row>
    <row r="466">
      <c r="A466" s="118" t="s">
        <v>759</v>
      </c>
      <c r="B466" s="112" t="s">
        <v>4746</v>
      </c>
      <c r="C466" s="112" t="s">
        <v>768</v>
      </c>
      <c r="D466" s="119" t="s">
        <v>4700</v>
      </c>
      <c r="E466" s="128"/>
      <c r="F466" s="113"/>
      <c r="G466" s="113"/>
      <c r="H466" s="113"/>
      <c r="I466" s="114"/>
      <c r="J466" s="132"/>
      <c r="K466" s="136" t="str">
        <f>IFERROR(__xludf.DUMMYFUNCTION("""COMPUTED_VALUE"""),"")</f>
        <v/>
      </c>
      <c r="L466" s="114" t="str">
        <f>IFERROR(__xludf.DUMMYFUNCTION("""COMPUTED_VALUE"""),"")</f>
        <v/>
      </c>
      <c r="M466" s="116"/>
      <c r="N466" s="110"/>
      <c r="O466" s="110"/>
      <c r="P466" s="110"/>
      <c r="Q466" s="110"/>
      <c r="R466" s="110"/>
      <c r="S466" s="110"/>
      <c r="T466" s="110"/>
      <c r="U466" s="110"/>
      <c r="V466" s="110"/>
      <c r="W466" s="110"/>
      <c r="X466" s="110"/>
      <c r="Y466" s="110"/>
      <c r="Z466" s="110"/>
      <c r="AA466" s="110"/>
      <c r="AB466" s="110"/>
      <c r="AC466" s="110"/>
      <c r="AD466" s="110"/>
    </row>
    <row r="467">
      <c r="A467" s="118" t="s">
        <v>721</v>
      </c>
      <c r="B467" s="112" t="s">
        <v>4747</v>
      </c>
      <c r="C467" s="112">
        <v>2.028482274E9</v>
      </c>
      <c r="D467" s="119" t="s">
        <v>4700</v>
      </c>
      <c r="E467" s="128"/>
      <c r="F467" s="113"/>
      <c r="G467" s="113"/>
      <c r="H467" s="113"/>
      <c r="I467" s="114"/>
      <c r="J467" s="132"/>
      <c r="K467" s="136" t="str">
        <f>IFERROR(__xludf.DUMMYFUNCTION("""COMPUTED_VALUE"""),"")</f>
        <v/>
      </c>
      <c r="L467" s="114" t="str">
        <f>IFERROR(__xludf.DUMMYFUNCTION("""COMPUTED_VALUE"""),"")</f>
        <v/>
      </c>
      <c r="M467" s="116"/>
      <c r="N467" s="110"/>
      <c r="O467" s="110"/>
      <c r="P467" s="110"/>
      <c r="Q467" s="110"/>
      <c r="R467" s="110"/>
      <c r="S467" s="110"/>
      <c r="T467" s="110"/>
      <c r="U467" s="110"/>
      <c r="V467" s="110"/>
      <c r="W467" s="110"/>
      <c r="X467" s="110"/>
      <c r="Y467" s="110"/>
      <c r="Z467" s="110"/>
      <c r="AA467" s="110"/>
      <c r="AB467" s="110"/>
      <c r="AC467" s="110"/>
      <c r="AD467" s="110"/>
    </row>
    <row r="468">
      <c r="A468" s="118" t="s">
        <v>792</v>
      </c>
      <c r="B468" s="112" t="s">
        <v>4748</v>
      </c>
      <c r="C468" s="112">
        <v>2.029831943E9</v>
      </c>
      <c r="D468" s="119" t="s">
        <v>4700</v>
      </c>
      <c r="E468" s="128"/>
      <c r="F468" s="113"/>
      <c r="G468" s="137"/>
      <c r="H468" s="113"/>
      <c r="I468" s="114"/>
      <c r="J468" s="132"/>
      <c r="K468" s="136" t="str">
        <f>IFERROR(__xludf.DUMMYFUNCTION("""COMPUTED_VALUE"""),"")</f>
        <v/>
      </c>
      <c r="L468" s="114" t="str">
        <f>IFERROR(__xludf.DUMMYFUNCTION("""COMPUTED_VALUE"""),"")</f>
        <v/>
      </c>
      <c r="M468" s="116"/>
      <c r="N468" s="110"/>
      <c r="O468" s="110"/>
      <c r="P468" s="110"/>
      <c r="Q468" s="110"/>
      <c r="R468" s="110"/>
      <c r="S468" s="110"/>
      <c r="T468" s="110"/>
      <c r="U468" s="110"/>
      <c r="V468" s="110"/>
      <c r="W468" s="110"/>
      <c r="X468" s="110"/>
      <c r="Y468" s="110"/>
      <c r="Z468" s="110"/>
      <c r="AA468" s="110"/>
      <c r="AB468" s="110"/>
      <c r="AC468" s="110"/>
      <c r="AD468" s="110"/>
    </row>
    <row r="469">
      <c r="A469" s="118" t="s">
        <v>807</v>
      </c>
      <c r="B469" s="112" t="s">
        <v>4749</v>
      </c>
      <c r="C469" s="112">
        <v>2.027466072E9</v>
      </c>
      <c r="D469" s="119" t="s">
        <v>4700</v>
      </c>
      <c r="E469" s="128"/>
      <c r="F469" s="113"/>
      <c r="G469" s="137"/>
      <c r="H469" s="113"/>
      <c r="I469" s="114"/>
      <c r="J469" s="132"/>
      <c r="K469" s="136" t="str">
        <f>IFERROR(__xludf.DUMMYFUNCTION("""COMPUTED_VALUE"""),"")</f>
        <v/>
      </c>
      <c r="L469" s="114" t="str">
        <f>IFERROR(__xludf.DUMMYFUNCTION("""COMPUTED_VALUE"""),"")</f>
        <v/>
      </c>
      <c r="M469" s="116"/>
      <c r="N469" s="110"/>
      <c r="O469" s="110"/>
      <c r="P469" s="110"/>
      <c r="Q469" s="110"/>
      <c r="R469" s="110"/>
      <c r="S469" s="110"/>
      <c r="T469" s="110"/>
      <c r="U469" s="110"/>
      <c r="V469" s="110"/>
      <c r="W469" s="110"/>
      <c r="X469" s="110"/>
      <c r="Y469" s="110"/>
      <c r="Z469" s="110"/>
      <c r="AA469" s="110"/>
      <c r="AB469" s="110"/>
      <c r="AC469" s="110"/>
      <c r="AD469" s="110"/>
    </row>
    <row r="470">
      <c r="A470" s="118" t="s">
        <v>814</v>
      </c>
      <c r="B470" s="112" t="s">
        <v>4750</v>
      </c>
      <c r="C470" s="112">
        <v>2.406464118E9</v>
      </c>
      <c r="D470" s="119" t="s">
        <v>4700</v>
      </c>
      <c r="E470" s="128"/>
      <c r="F470" s="113"/>
      <c r="G470" s="137"/>
      <c r="H470" s="113"/>
      <c r="I470" s="114"/>
      <c r="J470" s="132"/>
      <c r="K470" s="136" t="str">
        <f>IFERROR(__xludf.DUMMYFUNCTION("""COMPUTED_VALUE"""),"")</f>
        <v/>
      </c>
      <c r="L470" s="114" t="str">
        <f>IFERROR(__xludf.DUMMYFUNCTION("""COMPUTED_VALUE"""),"")</f>
        <v/>
      </c>
      <c r="M470" s="116"/>
      <c r="N470" s="110"/>
      <c r="O470" s="110"/>
      <c r="P470" s="110"/>
      <c r="Q470" s="110"/>
      <c r="R470" s="110"/>
      <c r="S470" s="110"/>
      <c r="T470" s="110"/>
      <c r="U470" s="110"/>
      <c r="V470" s="110"/>
      <c r="W470" s="110"/>
      <c r="X470" s="110"/>
      <c r="Y470" s="110"/>
      <c r="Z470" s="110"/>
      <c r="AA470" s="110"/>
      <c r="AB470" s="110"/>
      <c r="AC470" s="110"/>
      <c r="AD470" s="110"/>
    </row>
    <row r="471">
      <c r="A471" s="118" t="s">
        <v>822</v>
      </c>
      <c r="B471" s="112" t="s">
        <v>4751</v>
      </c>
      <c r="C471" s="112">
        <v>2.024375496E9</v>
      </c>
      <c r="D471" s="119" t="s">
        <v>4700</v>
      </c>
      <c r="E471" s="128"/>
      <c r="F471" s="113"/>
      <c r="G471" s="113"/>
      <c r="H471" s="113"/>
      <c r="I471" s="114"/>
      <c r="J471" s="132"/>
      <c r="K471" s="136" t="str">
        <f>IFERROR(__xludf.DUMMYFUNCTION("""COMPUTED_VALUE"""),"")</f>
        <v/>
      </c>
      <c r="L471" s="114" t="str">
        <f>IFERROR(__xludf.DUMMYFUNCTION("""COMPUTED_VALUE"""),"")</f>
        <v/>
      </c>
      <c r="M471" s="116"/>
      <c r="N471" s="110"/>
      <c r="O471" s="110"/>
      <c r="P471" s="110"/>
      <c r="Q471" s="110"/>
      <c r="R471" s="110"/>
      <c r="S471" s="110"/>
      <c r="T471" s="110"/>
      <c r="U471" s="110"/>
      <c r="V471" s="110"/>
      <c r="W471" s="110"/>
      <c r="X471" s="110"/>
      <c r="Y471" s="110"/>
      <c r="Z471" s="110"/>
      <c r="AA471" s="110"/>
      <c r="AB471" s="110"/>
      <c r="AC471" s="110"/>
      <c r="AD471" s="110"/>
    </row>
    <row r="472">
      <c r="A472" s="118" t="s">
        <v>828</v>
      </c>
      <c r="B472" s="112" t="s">
        <v>4752</v>
      </c>
      <c r="C472" s="112">
        <v>2.025565577E9</v>
      </c>
      <c r="D472" s="119" t="s">
        <v>4700</v>
      </c>
      <c r="E472" s="128"/>
      <c r="F472" s="113"/>
      <c r="G472" s="113"/>
      <c r="H472" s="113"/>
      <c r="I472" s="114"/>
      <c r="J472" s="132"/>
      <c r="K472" s="136" t="str">
        <f>IFERROR(__xludf.DUMMYFUNCTION("""COMPUTED_VALUE"""),"")</f>
        <v/>
      </c>
      <c r="L472" s="114" t="str">
        <f>IFERROR(__xludf.DUMMYFUNCTION("""COMPUTED_VALUE"""),"")</f>
        <v/>
      </c>
      <c r="M472" s="116"/>
      <c r="N472" s="110"/>
      <c r="O472" s="110"/>
      <c r="P472" s="110"/>
      <c r="Q472" s="110"/>
      <c r="R472" s="110"/>
      <c r="S472" s="110"/>
      <c r="T472" s="110"/>
      <c r="U472" s="110"/>
      <c r="V472" s="110"/>
      <c r="W472" s="110"/>
      <c r="X472" s="110"/>
      <c r="Y472" s="110"/>
      <c r="Z472" s="110"/>
      <c r="AA472" s="110"/>
      <c r="AB472" s="110"/>
      <c r="AC472" s="110"/>
      <c r="AD472" s="110"/>
    </row>
    <row r="473">
      <c r="A473" s="118" t="s">
        <v>838</v>
      </c>
      <c r="B473" s="112" t="s">
        <v>4753</v>
      </c>
      <c r="C473" s="112">
        <v>2.028450564E9</v>
      </c>
      <c r="D473" s="119" t="s">
        <v>4700</v>
      </c>
      <c r="E473" s="128"/>
      <c r="F473" s="113"/>
      <c r="G473" s="137"/>
      <c r="H473" s="113"/>
      <c r="I473" s="114"/>
      <c r="J473" s="132"/>
      <c r="K473" s="136" t="str">
        <f>IFERROR(__xludf.DUMMYFUNCTION("""COMPUTED_VALUE"""),"")</f>
        <v/>
      </c>
      <c r="L473" s="114" t="str">
        <f>IFERROR(__xludf.DUMMYFUNCTION("""COMPUTED_VALUE"""),"")</f>
        <v/>
      </c>
      <c r="M473" s="116"/>
      <c r="N473" s="110"/>
      <c r="O473" s="110"/>
      <c r="P473" s="110"/>
      <c r="Q473" s="110"/>
      <c r="R473" s="110"/>
      <c r="S473" s="110"/>
      <c r="T473" s="110"/>
      <c r="U473" s="110"/>
      <c r="V473" s="110"/>
      <c r="W473" s="110"/>
      <c r="X473" s="110"/>
      <c r="Y473" s="110"/>
      <c r="Z473" s="110"/>
      <c r="AA473" s="110"/>
      <c r="AB473" s="110"/>
      <c r="AC473" s="110"/>
      <c r="AD473" s="110"/>
    </row>
    <row r="474">
      <c r="A474" s="118" t="s">
        <v>881</v>
      </c>
      <c r="B474" s="112" t="s">
        <v>4754</v>
      </c>
      <c r="C474" s="112" t="s">
        <v>887</v>
      </c>
      <c r="D474" s="119" t="s">
        <v>4700</v>
      </c>
      <c r="E474" s="128"/>
      <c r="F474" s="113"/>
      <c r="G474" s="137"/>
      <c r="H474" s="113"/>
      <c r="I474" s="114"/>
      <c r="J474" s="132"/>
      <c r="K474" s="136" t="str">
        <f>IFERROR(__xludf.DUMMYFUNCTION("""COMPUTED_VALUE"""),"")</f>
        <v/>
      </c>
      <c r="L474" s="114" t="str">
        <f>IFERROR(__xludf.DUMMYFUNCTION("""COMPUTED_VALUE"""),"")</f>
        <v/>
      </c>
      <c r="M474" s="116"/>
      <c r="N474" s="110"/>
      <c r="O474" s="110"/>
      <c r="P474" s="110"/>
      <c r="Q474" s="110"/>
      <c r="R474" s="110"/>
      <c r="S474" s="110"/>
      <c r="T474" s="110"/>
      <c r="U474" s="110"/>
      <c r="V474" s="110"/>
      <c r="W474" s="110"/>
      <c r="X474" s="110"/>
      <c r="Y474" s="110"/>
      <c r="Z474" s="110"/>
      <c r="AA474" s="110"/>
      <c r="AB474" s="110"/>
      <c r="AC474" s="110"/>
      <c r="AD474" s="110"/>
    </row>
    <row r="475">
      <c r="A475" s="118" t="s">
        <v>890</v>
      </c>
      <c r="B475" s="112" t="s">
        <v>4755</v>
      </c>
      <c r="C475" s="112" t="s">
        <v>898</v>
      </c>
      <c r="D475" s="119" t="s">
        <v>4700</v>
      </c>
      <c r="E475" s="128"/>
      <c r="F475" s="113"/>
      <c r="G475" s="137"/>
      <c r="H475" s="113"/>
      <c r="I475" s="114"/>
      <c r="J475" s="132"/>
      <c r="K475" s="136" t="str">
        <f>IFERROR(__xludf.DUMMYFUNCTION("""COMPUTED_VALUE"""),"")</f>
        <v/>
      </c>
      <c r="L475" s="114" t="str">
        <f>IFERROR(__xludf.DUMMYFUNCTION("""COMPUTED_VALUE"""),"")</f>
        <v/>
      </c>
      <c r="M475" s="116"/>
      <c r="N475" s="110"/>
      <c r="O475" s="110"/>
      <c r="P475" s="110"/>
      <c r="Q475" s="110"/>
      <c r="R475" s="110"/>
      <c r="S475" s="110"/>
      <c r="T475" s="110"/>
      <c r="U475" s="110"/>
      <c r="V475" s="110"/>
      <c r="W475" s="110"/>
      <c r="X475" s="110"/>
      <c r="Y475" s="110"/>
      <c r="Z475" s="110"/>
      <c r="AA475" s="110"/>
      <c r="AB475" s="110"/>
      <c r="AC475" s="110"/>
      <c r="AD475" s="110"/>
    </row>
    <row r="476">
      <c r="A476" s="118" t="s">
        <v>901</v>
      </c>
      <c r="B476" s="112" t="s">
        <v>4756</v>
      </c>
      <c r="C476" s="112">
        <v>2.027702089E9</v>
      </c>
      <c r="D476" s="119" t="s">
        <v>4700</v>
      </c>
      <c r="E476" s="128"/>
      <c r="F476" s="113"/>
      <c r="G476" s="137"/>
      <c r="H476" s="113"/>
      <c r="I476" s="114"/>
      <c r="J476" s="132"/>
      <c r="K476" s="136" t="str">
        <f>IFERROR(__xludf.DUMMYFUNCTION("""COMPUTED_VALUE"""),"")</f>
        <v/>
      </c>
      <c r="L476" s="114" t="str">
        <f>IFERROR(__xludf.DUMMYFUNCTION("""COMPUTED_VALUE"""),"")</f>
        <v/>
      </c>
      <c r="M476" s="116"/>
      <c r="N476" s="110"/>
      <c r="O476" s="110"/>
      <c r="P476" s="110"/>
      <c r="Q476" s="110"/>
      <c r="R476" s="110"/>
      <c r="S476" s="110"/>
      <c r="T476" s="110"/>
      <c r="U476" s="110"/>
      <c r="V476" s="110"/>
      <c r="W476" s="110"/>
      <c r="X476" s="110"/>
      <c r="Y476" s="110"/>
      <c r="Z476" s="110"/>
      <c r="AA476" s="110"/>
      <c r="AB476" s="110"/>
      <c r="AC476" s="110"/>
      <c r="AD476" s="110"/>
    </row>
    <row r="477">
      <c r="A477" s="118" t="s">
        <v>923</v>
      </c>
      <c r="B477" s="112" t="s">
        <v>4757</v>
      </c>
      <c r="C477" s="112" t="s">
        <v>933</v>
      </c>
      <c r="D477" s="119" t="s">
        <v>4700</v>
      </c>
      <c r="E477" s="128"/>
      <c r="F477" s="113"/>
      <c r="G477" s="137"/>
      <c r="H477" s="113"/>
      <c r="I477" s="114"/>
      <c r="J477" s="132"/>
      <c r="K477" s="136" t="str">
        <f>IFERROR(__xludf.DUMMYFUNCTION("""COMPUTED_VALUE"""),"")</f>
        <v/>
      </c>
      <c r="L477" s="114" t="str">
        <f>IFERROR(__xludf.DUMMYFUNCTION("""COMPUTED_VALUE"""),"")</f>
        <v/>
      </c>
      <c r="M477" s="116"/>
      <c r="N477" s="110"/>
      <c r="O477" s="110"/>
      <c r="P477" s="110"/>
      <c r="Q477" s="110"/>
      <c r="R477" s="110"/>
      <c r="S477" s="110"/>
      <c r="T477" s="110"/>
      <c r="U477" s="110"/>
      <c r="V477" s="110"/>
      <c r="W477" s="110"/>
      <c r="X477" s="110"/>
      <c r="Y477" s="110"/>
      <c r="Z477" s="110"/>
      <c r="AA477" s="110"/>
      <c r="AB477" s="110"/>
      <c r="AC477" s="110"/>
      <c r="AD477" s="110"/>
    </row>
    <row r="478">
      <c r="A478" s="118" t="s">
        <v>189</v>
      </c>
      <c r="B478" s="112" t="s">
        <v>4758</v>
      </c>
      <c r="C478" s="112">
        <v>7.712336242E9</v>
      </c>
      <c r="D478" s="119" t="s">
        <v>4700</v>
      </c>
      <c r="E478" s="128"/>
      <c r="F478" s="113"/>
      <c r="G478" s="113"/>
      <c r="H478" s="113"/>
      <c r="I478" s="114"/>
      <c r="J478" s="132"/>
      <c r="K478" s="136" t="str">
        <f>IFERROR(__xludf.DUMMYFUNCTION("""COMPUTED_VALUE"""),"")</f>
        <v/>
      </c>
      <c r="L478" s="114" t="str">
        <f>IFERROR(__xludf.DUMMYFUNCTION("""COMPUTED_VALUE"""),"")</f>
        <v/>
      </c>
      <c r="M478" s="116"/>
      <c r="N478" s="110"/>
      <c r="O478" s="110"/>
      <c r="P478" s="110"/>
      <c r="Q478" s="110"/>
      <c r="R478" s="110"/>
      <c r="S478" s="110"/>
      <c r="T478" s="110"/>
      <c r="U478" s="110"/>
      <c r="V478" s="110"/>
      <c r="W478" s="110"/>
      <c r="X478" s="110"/>
      <c r="Y478" s="110"/>
      <c r="Z478" s="110"/>
      <c r="AA478" s="110"/>
      <c r="AB478" s="110"/>
      <c r="AC478" s="110"/>
      <c r="AD478" s="110"/>
    </row>
    <row r="479">
      <c r="A479" s="118" t="s">
        <v>954</v>
      </c>
      <c r="B479" s="112" t="s">
        <v>4759</v>
      </c>
      <c r="C479" s="112">
        <v>2.02362314E9</v>
      </c>
      <c r="D479" s="119" t="s">
        <v>4700</v>
      </c>
      <c r="E479" s="128"/>
      <c r="F479" s="113"/>
      <c r="G479" s="137"/>
      <c r="H479" s="113"/>
      <c r="I479" s="114"/>
      <c r="J479" s="132"/>
      <c r="K479" s="136" t="str">
        <f>IFERROR(__xludf.DUMMYFUNCTION("""COMPUTED_VALUE"""),"")</f>
        <v/>
      </c>
      <c r="L479" s="114" t="str">
        <f>IFERROR(__xludf.DUMMYFUNCTION("""COMPUTED_VALUE"""),"")</f>
        <v/>
      </c>
      <c r="M479" s="116"/>
      <c r="N479" s="110"/>
      <c r="O479" s="110"/>
      <c r="P479" s="110"/>
      <c r="Q479" s="110"/>
      <c r="R479" s="110"/>
      <c r="S479" s="110"/>
      <c r="T479" s="110"/>
      <c r="U479" s="110"/>
      <c r="V479" s="110"/>
      <c r="W479" s="110"/>
      <c r="X479" s="110"/>
      <c r="Y479" s="110"/>
      <c r="Z479" s="110"/>
      <c r="AA479" s="110"/>
      <c r="AB479" s="110"/>
      <c r="AC479" s="110"/>
      <c r="AD479" s="110"/>
    </row>
    <row r="480">
      <c r="A480" s="118" t="s">
        <v>963</v>
      </c>
      <c r="B480" s="112" t="s">
        <v>4760</v>
      </c>
      <c r="C480" s="112">
        <v>2.029669419E9</v>
      </c>
      <c r="D480" s="119" t="s">
        <v>4700</v>
      </c>
      <c r="E480" s="128"/>
      <c r="F480" s="113"/>
      <c r="G480" s="113" t="s">
        <v>4343</v>
      </c>
      <c r="H480" s="113"/>
      <c r="I480" s="114"/>
      <c r="J480" s="132"/>
      <c r="K480" s="136" t="str">
        <f>IFERROR(__xludf.DUMMYFUNCTION("""COMPUTED_VALUE"""),"")</f>
        <v/>
      </c>
      <c r="L480" s="114" t="str">
        <f>IFERROR(__xludf.DUMMYFUNCTION("""COMPUTED_VALUE"""),"")</f>
        <v/>
      </c>
      <c r="M480" s="116"/>
      <c r="N480" s="110"/>
      <c r="O480" s="110"/>
      <c r="P480" s="110"/>
      <c r="Q480" s="110"/>
      <c r="R480" s="110"/>
      <c r="S480" s="110"/>
      <c r="T480" s="110"/>
      <c r="U480" s="110"/>
      <c r="V480" s="110"/>
      <c r="W480" s="110"/>
      <c r="X480" s="110"/>
      <c r="Y480" s="110"/>
      <c r="Z480" s="110"/>
      <c r="AA480" s="110"/>
      <c r="AB480" s="110"/>
      <c r="AC480" s="110"/>
      <c r="AD480" s="110"/>
    </row>
    <row r="481">
      <c r="A481" s="118" t="s">
        <v>996</v>
      </c>
      <c r="B481" s="112" t="s">
        <v>4761</v>
      </c>
      <c r="C481" s="112">
        <v>2.028098931E9</v>
      </c>
      <c r="D481" s="119" t="s">
        <v>4700</v>
      </c>
      <c r="E481" s="128"/>
      <c r="F481" s="113"/>
      <c r="G481" s="113"/>
      <c r="H481" s="113"/>
      <c r="I481" s="114"/>
      <c r="J481" s="132"/>
      <c r="K481" s="136" t="str">
        <f>IFERROR(__xludf.DUMMYFUNCTION("""COMPUTED_VALUE"""),"")</f>
        <v/>
      </c>
      <c r="L481" s="114" t="str">
        <f>IFERROR(__xludf.DUMMYFUNCTION("""COMPUTED_VALUE"""),"")</f>
        <v/>
      </c>
      <c r="M481" s="116"/>
      <c r="N481" s="110"/>
      <c r="O481" s="110"/>
      <c r="P481" s="110"/>
      <c r="Q481" s="110"/>
      <c r="R481" s="110"/>
      <c r="S481" s="110"/>
      <c r="T481" s="110"/>
      <c r="U481" s="110"/>
      <c r="V481" s="110"/>
      <c r="W481" s="110"/>
      <c r="X481" s="110"/>
      <c r="Y481" s="110"/>
      <c r="Z481" s="110"/>
      <c r="AA481" s="110"/>
      <c r="AB481" s="110"/>
      <c r="AC481" s="110"/>
      <c r="AD481" s="110"/>
    </row>
    <row r="482">
      <c r="A482" s="118" t="s">
        <v>1050</v>
      </c>
      <c r="B482" s="112" t="s">
        <v>4762</v>
      </c>
      <c r="C482" s="112">
        <v>2.023971988E9</v>
      </c>
      <c r="D482" s="119" t="s">
        <v>4700</v>
      </c>
      <c r="E482" s="128"/>
      <c r="F482" s="113"/>
      <c r="G482" s="113"/>
      <c r="H482" s="113"/>
      <c r="I482" s="114"/>
      <c r="J482" s="132"/>
      <c r="K482" s="136" t="str">
        <f>IFERROR(__xludf.DUMMYFUNCTION("""COMPUTED_VALUE"""),"")</f>
        <v/>
      </c>
      <c r="L482" s="114" t="str">
        <f>IFERROR(__xludf.DUMMYFUNCTION("""COMPUTED_VALUE"""),"")</f>
        <v/>
      </c>
      <c r="M482" s="116"/>
      <c r="N482" s="110"/>
      <c r="O482" s="110"/>
      <c r="P482" s="110"/>
      <c r="Q482" s="110"/>
      <c r="R482" s="110"/>
      <c r="S482" s="110"/>
      <c r="T482" s="110"/>
      <c r="U482" s="110"/>
      <c r="V482" s="110"/>
      <c r="W482" s="110"/>
      <c r="X482" s="110"/>
      <c r="Y482" s="110"/>
      <c r="Z482" s="110"/>
      <c r="AA482" s="110"/>
      <c r="AB482" s="110"/>
      <c r="AC482" s="110"/>
      <c r="AD482" s="110"/>
    </row>
    <row r="483">
      <c r="A483" s="118" t="s">
        <v>1056</v>
      </c>
      <c r="B483" s="112" t="s">
        <v>4763</v>
      </c>
      <c r="C483" s="112" t="s">
        <v>1065</v>
      </c>
      <c r="D483" s="119" t="s">
        <v>4700</v>
      </c>
      <c r="E483" s="128"/>
      <c r="F483" s="113"/>
      <c r="G483" s="113" t="s">
        <v>4302</v>
      </c>
      <c r="H483" s="113"/>
      <c r="I483" s="114"/>
      <c r="J483" s="132"/>
      <c r="K483" s="136" t="str">
        <f>IFERROR(__xludf.DUMMYFUNCTION("""COMPUTED_VALUE"""),"")</f>
        <v/>
      </c>
      <c r="L483" s="114" t="str">
        <f>IFERROR(__xludf.DUMMYFUNCTION("""COMPUTED_VALUE"""),"")</f>
        <v/>
      </c>
      <c r="M483" s="116"/>
      <c r="N483" s="110"/>
      <c r="O483" s="110"/>
      <c r="P483" s="110"/>
      <c r="Q483" s="110"/>
      <c r="R483" s="110"/>
      <c r="S483" s="110"/>
      <c r="T483" s="110"/>
      <c r="U483" s="110"/>
      <c r="V483" s="110"/>
      <c r="W483" s="110"/>
      <c r="X483" s="110"/>
      <c r="Y483" s="110"/>
      <c r="Z483" s="110"/>
      <c r="AA483" s="110"/>
      <c r="AB483" s="110"/>
      <c r="AC483" s="110"/>
      <c r="AD483" s="110"/>
    </row>
    <row r="484">
      <c r="A484" s="118" t="s">
        <v>1069</v>
      </c>
      <c r="B484" s="112" t="s">
        <v>4764</v>
      </c>
      <c r="C484" s="112" t="s">
        <v>1078</v>
      </c>
      <c r="D484" s="119" t="s">
        <v>4700</v>
      </c>
      <c r="E484" s="128"/>
      <c r="F484" s="113"/>
      <c r="G484" s="113"/>
      <c r="H484" s="113"/>
      <c r="I484" s="114"/>
      <c r="J484" s="132"/>
      <c r="K484" s="136" t="str">
        <f>IFERROR(__xludf.DUMMYFUNCTION("""COMPUTED_VALUE"""),"")</f>
        <v/>
      </c>
      <c r="L484" s="114" t="str">
        <f>IFERROR(__xludf.DUMMYFUNCTION("""COMPUTED_VALUE"""),"")</f>
        <v/>
      </c>
      <c r="M484" s="116"/>
      <c r="N484" s="110"/>
      <c r="O484" s="110"/>
      <c r="P484" s="110"/>
      <c r="Q484" s="110"/>
      <c r="R484" s="110"/>
      <c r="S484" s="110"/>
      <c r="T484" s="110"/>
      <c r="U484" s="110"/>
      <c r="V484" s="110"/>
      <c r="W484" s="110"/>
      <c r="X484" s="110"/>
      <c r="Y484" s="110"/>
      <c r="Z484" s="110"/>
      <c r="AA484" s="110"/>
      <c r="AB484" s="110"/>
      <c r="AC484" s="110"/>
      <c r="AD484" s="110"/>
    </row>
    <row r="485">
      <c r="A485" s="118" t="s">
        <v>1211</v>
      </c>
      <c r="B485" s="112" t="s">
        <v>4765</v>
      </c>
      <c r="C485" s="112">
        <v>2.024225231E9</v>
      </c>
      <c r="D485" s="119" t="s">
        <v>4700</v>
      </c>
      <c r="E485" s="128"/>
      <c r="F485" s="113"/>
      <c r="G485" s="113"/>
      <c r="H485" s="113"/>
      <c r="I485" s="114"/>
      <c r="J485" s="132"/>
      <c r="K485" s="136" t="str">
        <f>IFERROR(__xludf.DUMMYFUNCTION("""COMPUTED_VALUE"""),"")</f>
        <v/>
      </c>
      <c r="L485" s="114" t="str">
        <f>IFERROR(__xludf.DUMMYFUNCTION("""COMPUTED_VALUE"""),"")</f>
        <v/>
      </c>
      <c r="M485" s="116"/>
      <c r="N485" s="110"/>
      <c r="O485" s="110"/>
      <c r="P485" s="110"/>
      <c r="Q485" s="110"/>
      <c r="R485" s="110"/>
      <c r="S485" s="110"/>
      <c r="T485" s="110"/>
      <c r="U485" s="110"/>
      <c r="V485" s="110"/>
      <c r="W485" s="110"/>
      <c r="X485" s="110"/>
      <c r="Y485" s="110"/>
      <c r="Z485" s="110"/>
      <c r="AA485" s="110"/>
      <c r="AB485" s="110"/>
      <c r="AC485" s="110"/>
      <c r="AD485" s="110"/>
    </row>
    <row r="486">
      <c r="A486" s="118" t="s">
        <v>1217</v>
      </c>
      <c r="B486" s="112" t="s">
        <v>4766</v>
      </c>
      <c r="C486" s="112">
        <v>2.024840177E9</v>
      </c>
      <c r="D486" s="119" t="s">
        <v>4700</v>
      </c>
      <c r="E486" s="128"/>
      <c r="F486" s="113"/>
      <c r="G486" s="113"/>
      <c r="H486" s="113"/>
      <c r="I486" s="114"/>
      <c r="J486" s="132"/>
      <c r="K486" s="136" t="str">
        <f>IFERROR(__xludf.DUMMYFUNCTION("""COMPUTED_VALUE"""),"")</f>
        <v/>
      </c>
      <c r="L486" s="114" t="str">
        <f>IFERROR(__xludf.DUMMYFUNCTION("""COMPUTED_VALUE"""),"")</f>
        <v/>
      </c>
      <c r="M486" s="116"/>
      <c r="N486" s="110"/>
      <c r="O486" s="110"/>
      <c r="P486" s="110"/>
      <c r="Q486" s="110"/>
      <c r="R486" s="110"/>
      <c r="S486" s="110"/>
      <c r="T486" s="110"/>
      <c r="U486" s="110"/>
      <c r="V486" s="110"/>
      <c r="W486" s="110"/>
      <c r="X486" s="110"/>
      <c r="Y486" s="110"/>
      <c r="Z486" s="110"/>
      <c r="AA486" s="110"/>
      <c r="AB486" s="110"/>
      <c r="AC486" s="110"/>
      <c r="AD486" s="110"/>
    </row>
    <row r="487">
      <c r="A487" s="118" t="s">
        <v>1234</v>
      </c>
      <c r="B487" s="112" t="s">
        <v>4767</v>
      </c>
      <c r="C487" s="112" t="s">
        <v>1244</v>
      </c>
      <c r="D487" s="119" t="s">
        <v>4700</v>
      </c>
      <c r="E487" s="128"/>
      <c r="F487" s="113"/>
      <c r="G487" s="113"/>
      <c r="H487" s="113"/>
      <c r="I487" s="114"/>
      <c r="J487" s="132"/>
      <c r="K487" s="136" t="str">
        <f>IFERROR(__xludf.DUMMYFUNCTION("""COMPUTED_VALUE"""),"")</f>
        <v/>
      </c>
      <c r="L487" s="114" t="str">
        <f>IFERROR(__xludf.DUMMYFUNCTION("""COMPUTED_VALUE"""),"")</f>
        <v/>
      </c>
      <c r="M487" s="116"/>
      <c r="N487" s="110"/>
      <c r="O487" s="110"/>
      <c r="P487" s="110"/>
      <c r="Q487" s="110"/>
      <c r="R487" s="110"/>
      <c r="S487" s="110"/>
      <c r="T487" s="110"/>
      <c r="U487" s="110"/>
      <c r="V487" s="110"/>
      <c r="W487" s="110"/>
      <c r="X487" s="110"/>
      <c r="Y487" s="110"/>
      <c r="Z487" s="110"/>
      <c r="AA487" s="110"/>
      <c r="AB487" s="110"/>
      <c r="AC487" s="110"/>
      <c r="AD487" s="110"/>
    </row>
    <row r="488">
      <c r="A488" s="118" t="s">
        <v>1294</v>
      </c>
      <c r="B488" s="112" t="s">
        <v>4768</v>
      </c>
      <c r="C488" s="112">
        <v>2.025367553E9</v>
      </c>
      <c r="D488" s="119" t="s">
        <v>4700</v>
      </c>
      <c r="E488" s="128"/>
      <c r="F488" s="113"/>
      <c r="G488" s="137"/>
      <c r="H488" s="113"/>
      <c r="I488" s="114"/>
      <c r="J488" s="132"/>
      <c r="K488" s="136" t="str">
        <f>IFERROR(__xludf.DUMMYFUNCTION("""COMPUTED_VALUE"""),"")</f>
        <v/>
      </c>
      <c r="L488" s="114" t="str">
        <f>IFERROR(__xludf.DUMMYFUNCTION("""COMPUTED_VALUE"""),"")</f>
        <v/>
      </c>
      <c r="M488" s="116"/>
      <c r="N488" s="110"/>
      <c r="O488" s="110"/>
      <c r="P488" s="110"/>
      <c r="Q488" s="110"/>
      <c r="R488" s="110"/>
      <c r="S488" s="110"/>
      <c r="T488" s="110"/>
      <c r="U488" s="110"/>
      <c r="V488" s="110"/>
      <c r="W488" s="110"/>
      <c r="X488" s="110"/>
      <c r="Y488" s="110"/>
      <c r="Z488" s="110"/>
      <c r="AA488" s="110"/>
      <c r="AB488" s="110"/>
      <c r="AC488" s="110"/>
      <c r="AD488" s="110"/>
    </row>
    <row r="489">
      <c r="A489" s="118" t="s">
        <v>1302</v>
      </c>
      <c r="B489" s="112" t="s">
        <v>4769</v>
      </c>
      <c r="C489" s="112" t="s">
        <v>1311</v>
      </c>
      <c r="D489" s="119" t="s">
        <v>4700</v>
      </c>
      <c r="E489" s="128"/>
      <c r="F489" s="113"/>
      <c r="G489" s="113" t="s">
        <v>4343</v>
      </c>
      <c r="H489" s="113"/>
      <c r="I489" s="114"/>
      <c r="J489" s="132"/>
      <c r="K489" s="136" t="str">
        <f>IFERROR(__xludf.DUMMYFUNCTION("""COMPUTED_VALUE"""),"")</f>
        <v/>
      </c>
      <c r="L489" s="114" t="str">
        <f>IFERROR(__xludf.DUMMYFUNCTION("""COMPUTED_VALUE"""),"")</f>
        <v/>
      </c>
      <c r="M489" s="116"/>
      <c r="N489" s="110"/>
      <c r="O489" s="110"/>
      <c r="P489" s="110"/>
      <c r="Q489" s="110"/>
      <c r="R489" s="110"/>
      <c r="S489" s="110"/>
      <c r="T489" s="110"/>
      <c r="U489" s="110"/>
      <c r="V489" s="110"/>
      <c r="W489" s="110"/>
      <c r="X489" s="110"/>
      <c r="Y489" s="110"/>
      <c r="Z489" s="110"/>
      <c r="AA489" s="110"/>
      <c r="AB489" s="110"/>
      <c r="AC489" s="110"/>
      <c r="AD489" s="110"/>
    </row>
    <row r="490">
      <c r="A490" s="118" t="s">
        <v>1331</v>
      </c>
      <c r="B490" s="112" t="s">
        <v>4770</v>
      </c>
      <c r="C490" s="112">
        <v>2.02820426E9</v>
      </c>
      <c r="D490" s="119" t="s">
        <v>4700</v>
      </c>
      <c r="E490" s="128"/>
      <c r="F490" s="113"/>
      <c r="G490" s="113"/>
      <c r="H490" s="113"/>
      <c r="I490" s="114"/>
      <c r="J490" s="132"/>
      <c r="K490" s="136" t="str">
        <f>IFERROR(__xludf.DUMMYFUNCTION("""COMPUTED_VALUE"""),"")</f>
        <v/>
      </c>
      <c r="L490" s="114" t="str">
        <f>IFERROR(__xludf.DUMMYFUNCTION("""COMPUTED_VALUE"""),"")</f>
        <v/>
      </c>
      <c r="M490" s="116"/>
      <c r="N490" s="110"/>
      <c r="O490" s="110"/>
      <c r="P490" s="110"/>
      <c r="Q490" s="110"/>
      <c r="R490" s="110"/>
      <c r="S490" s="110"/>
      <c r="T490" s="110"/>
      <c r="U490" s="110"/>
      <c r="V490" s="110"/>
      <c r="W490" s="110"/>
      <c r="X490" s="110"/>
      <c r="Y490" s="110"/>
      <c r="Z490" s="110"/>
      <c r="AA490" s="110"/>
      <c r="AB490" s="110"/>
      <c r="AC490" s="110"/>
      <c r="AD490" s="110"/>
    </row>
    <row r="491">
      <c r="A491" s="118" t="s">
        <v>1338</v>
      </c>
      <c r="B491" s="112" t="s">
        <v>4771</v>
      </c>
      <c r="C491" s="112" t="s">
        <v>1345</v>
      </c>
      <c r="D491" s="119" t="s">
        <v>4700</v>
      </c>
      <c r="E491" s="128"/>
      <c r="F491" s="113"/>
      <c r="G491" s="113"/>
      <c r="H491" s="113"/>
      <c r="I491" s="114"/>
      <c r="J491" s="132"/>
      <c r="K491" s="136" t="str">
        <f>IFERROR(__xludf.DUMMYFUNCTION("""COMPUTED_VALUE"""),"")</f>
        <v/>
      </c>
      <c r="L491" s="114" t="str">
        <f>IFERROR(__xludf.DUMMYFUNCTION("""COMPUTED_VALUE"""),"")</f>
        <v/>
      </c>
      <c r="M491" s="116"/>
      <c r="N491" s="110"/>
      <c r="O491" s="110"/>
      <c r="P491" s="110"/>
      <c r="Q491" s="110"/>
      <c r="R491" s="110"/>
      <c r="S491" s="110"/>
      <c r="T491" s="110"/>
      <c r="U491" s="110"/>
      <c r="V491" s="110"/>
      <c r="W491" s="110"/>
      <c r="X491" s="110"/>
      <c r="Y491" s="110"/>
      <c r="Z491" s="110"/>
      <c r="AA491" s="110"/>
      <c r="AB491" s="110"/>
      <c r="AC491" s="110"/>
      <c r="AD491" s="110"/>
    </row>
    <row r="492">
      <c r="A492" s="118" t="s">
        <v>1366</v>
      </c>
      <c r="B492" s="112" t="s">
        <v>4772</v>
      </c>
      <c r="C492" s="112">
        <v>2.028671827E9</v>
      </c>
      <c r="D492" s="119" t="s">
        <v>4700</v>
      </c>
      <c r="E492" s="128"/>
      <c r="F492" s="113"/>
      <c r="G492" s="113" t="s">
        <v>4603</v>
      </c>
      <c r="H492" s="113"/>
      <c r="I492" s="114"/>
      <c r="J492" s="132"/>
      <c r="K492" s="136" t="str">
        <f>IFERROR(__xludf.DUMMYFUNCTION("""COMPUTED_VALUE"""),"")</f>
        <v/>
      </c>
      <c r="L492" s="114" t="str">
        <f>IFERROR(__xludf.DUMMYFUNCTION("""COMPUTED_VALUE"""),"")</f>
        <v/>
      </c>
      <c r="M492" s="116"/>
      <c r="N492" s="110"/>
      <c r="O492" s="110"/>
      <c r="P492" s="110"/>
      <c r="Q492" s="110"/>
      <c r="R492" s="110"/>
      <c r="S492" s="110"/>
      <c r="T492" s="110"/>
      <c r="U492" s="110"/>
      <c r="V492" s="110"/>
      <c r="W492" s="110"/>
      <c r="X492" s="110"/>
      <c r="Y492" s="110"/>
      <c r="Z492" s="110"/>
      <c r="AA492" s="110"/>
      <c r="AB492" s="110"/>
      <c r="AC492" s="110"/>
      <c r="AD492" s="110"/>
    </row>
    <row r="493">
      <c r="A493" s="118" t="s">
        <v>1478</v>
      </c>
      <c r="B493" s="112" t="s">
        <v>4773</v>
      </c>
      <c r="C493" s="112">
        <v>2.027545137E9</v>
      </c>
      <c r="D493" s="119" t="s">
        <v>4700</v>
      </c>
      <c r="E493" s="128"/>
      <c r="F493" s="113"/>
      <c r="G493" s="113"/>
      <c r="H493" s="113"/>
      <c r="I493" s="114"/>
      <c r="J493" s="132"/>
      <c r="K493" s="136" t="str">
        <f>IFERROR(__xludf.DUMMYFUNCTION("""COMPUTED_VALUE"""),"")</f>
        <v/>
      </c>
      <c r="L493" s="114" t="str">
        <f>IFERROR(__xludf.DUMMYFUNCTION("""COMPUTED_VALUE"""),"")</f>
        <v/>
      </c>
      <c r="M493" s="116"/>
      <c r="N493" s="110"/>
      <c r="O493" s="110"/>
      <c r="P493" s="110"/>
      <c r="Q493" s="110"/>
      <c r="R493" s="110"/>
      <c r="S493" s="110"/>
      <c r="T493" s="110"/>
      <c r="U493" s="110"/>
      <c r="V493" s="110"/>
      <c r="W493" s="110"/>
      <c r="X493" s="110"/>
      <c r="Y493" s="110"/>
      <c r="Z493" s="110"/>
      <c r="AA493" s="110"/>
      <c r="AB493" s="110"/>
      <c r="AC493" s="110"/>
      <c r="AD493" s="110"/>
    </row>
    <row r="494">
      <c r="A494" s="118" t="s">
        <v>1500</v>
      </c>
      <c r="B494" s="112" t="s">
        <v>4774</v>
      </c>
      <c r="C494" s="112" t="s">
        <v>1505</v>
      </c>
      <c r="D494" s="119" t="s">
        <v>4700</v>
      </c>
      <c r="E494" s="128"/>
      <c r="F494" s="113"/>
      <c r="G494" s="113"/>
      <c r="H494" s="113"/>
      <c r="I494" s="114"/>
      <c r="J494" s="132"/>
      <c r="K494" s="136" t="str">
        <f>IFERROR(__xludf.DUMMYFUNCTION("""COMPUTED_VALUE"""),"")</f>
        <v/>
      </c>
      <c r="L494" s="114" t="str">
        <f>IFERROR(__xludf.DUMMYFUNCTION("""COMPUTED_VALUE"""),"")</f>
        <v/>
      </c>
      <c r="M494" s="116"/>
      <c r="N494" s="110"/>
      <c r="O494" s="110"/>
      <c r="P494" s="110"/>
      <c r="Q494" s="110"/>
      <c r="R494" s="110"/>
      <c r="S494" s="110"/>
      <c r="T494" s="110"/>
      <c r="U494" s="110"/>
      <c r="V494" s="110"/>
      <c r="W494" s="110"/>
      <c r="X494" s="110"/>
      <c r="Y494" s="110"/>
      <c r="Z494" s="110"/>
      <c r="AA494" s="110"/>
      <c r="AB494" s="110"/>
      <c r="AC494" s="110"/>
      <c r="AD494" s="110"/>
    </row>
    <row r="495">
      <c r="A495" s="118" t="s">
        <v>1522</v>
      </c>
      <c r="B495" s="112" t="s">
        <v>4775</v>
      </c>
      <c r="C495" s="112">
        <v>2.022005129E9</v>
      </c>
      <c r="D495" s="119" t="s">
        <v>4700</v>
      </c>
      <c r="E495" s="128"/>
      <c r="F495" s="113"/>
      <c r="G495" s="113"/>
      <c r="H495" s="113"/>
      <c r="I495" s="114"/>
      <c r="J495" s="132"/>
      <c r="K495" s="136" t="str">
        <f>IFERROR(__xludf.DUMMYFUNCTION("""COMPUTED_VALUE"""),"")</f>
        <v/>
      </c>
      <c r="L495" s="114" t="str">
        <f>IFERROR(__xludf.DUMMYFUNCTION("""COMPUTED_VALUE"""),"")</f>
        <v/>
      </c>
      <c r="M495" s="116"/>
      <c r="N495" s="110"/>
      <c r="O495" s="110"/>
      <c r="P495" s="110"/>
      <c r="Q495" s="110"/>
      <c r="R495" s="110"/>
      <c r="S495" s="110"/>
      <c r="T495" s="110"/>
      <c r="U495" s="110"/>
      <c r="V495" s="110"/>
      <c r="W495" s="110"/>
      <c r="X495" s="110"/>
      <c r="Y495" s="110"/>
      <c r="Z495" s="110"/>
      <c r="AA495" s="110"/>
      <c r="AB495" s="110"/>
      <c r="AC495" s="110"/>
      <c r="AD495" s="110"/>
    </row>
    <row r="496">
      <c r="A496" s="118" t="s">
        <v>1547</v>
      </c>
      <c r="B496" s="112" t="s">
        <v>4776</v>
      </c>
      <c r="C496" s="112">
        <v>2.028124656E9</v>
      </c>
      <c r="D496" s="119" t="s">
        <v>4700</v>
      </c>
      <c r="E496" s="128"/>
      <c r="F496" s="113"/>
      <c r="G496" s="113"/>
      <c r="H496" s="113"/>
      <c r="I496" s="114"/>
      <c r="J496" s="132"/>
      <c r="K496" s="136" t="str">
        <f>IFERROR(__xludf.DUMMYFUNCTION("""COMPUTED_VALUE"""),"")</f>
        <v/>
      </c>
      <c r="L496" s="114" t="str">
        <f>IFERROR(__xludf.DUMMYFUNCTION("""COMPUTED_VALUE"""),"")</f>
        <v/>
      </c>
      <c r="M496" s="116"/>
      <c r="N496" s="110"/>
      <c r="O496" s="110"/>
      <c r="P496" s="110"/>
      <c r="Q496" s="110"/>
      <c r="R496" s="110"/>
      <c r="S496" s="110"/>
      <c r="T496" s="110"/>
      <c r="U496" s="110"/>
      <c r="V496" s="110"/>
      <c r="W496" s="110"/>
      <c r="X496" s="110"/>
      <c r="Y496" s="110"/>
      <c r="Z496" s="110"/>
      <c r="AA496" s="110"/>
      <c r="AB496" s="110"/>
      <c r="AC496" s="110"/>
      <c r="AD496" s="110"/>
    </row>
    <row r="497">
      <c r="A497" s="118" t="s">
        <v>296</v>
      </c>
      <c r="B497" s="112" t="s">
        <v>4777</v>
      </c>
      <c r="C497" s="112">
        <v>2.026748286E9</v>
      </c>
      <c r="D497" s="119" t="s">
        <v>4700</v>
      </c>
      <c r="E497" s="128"/>
      <c r="F497" s="113"/>
      <c r="G497" s="113" t="s">
        <v>4343</v>
      </c>
      <c r="H497" s="113"/>
      <c r="I497" s="114"/>
      <c r="J497" s="132"/>
      <c r="K497" s="136" t="str">
        <f>IFERROR(__xludf.DUMMYFUNCTION("""COMPUTED_VALUE"""),"")</f>
        <v/>
      </c>
      <c r="L497" s="114" t="str">
        <f>IFERROR(__xludf.DUMMYFUNCTION("""COMPUTED_VALUE"""),"")</f>
        <v/>
      </c>
      <c r="M497" s="116"/>
      <c r="N497" s="110"/>
      <c r="O497" s="110"/>
      <c r="P497" s="110"/>
      <c r="Q497" s="110"/>
      <c r="R497" s="110"/>
      <c r="S497" s="110"/>
      <c r="T497" s="110"/>
      <c r="U497" s="110"/>
      <c r="V497" s="110"/>
      <c r="W497" s="110"/>
      <c r="X497" s="110"/>
      <c r="Y497" s="110"/>
      <c r="Z497" s="110"/>
      <c r="AA497" s="110"/>
      <c r="AB497" s="110"/>
      <c r="AC497" s="110"/>
      <c r="AD497" s="110"/>
    </row>
    <row r="498">
      <c r="A498" s="118" t="s">
        <v>1630</v>
      </c>
      <c r="B498" s="112" t="s">
        <v>4778</v>
      </c>
      <c r="C498" s="112">
        <v>2.024405716E9</v>
      </c>
      <c r="D498" s="119" t="s">
        <v>4700</v>
      </c>
      <c r="E498" s="128"/>
      <c r="F498" s="113"/>
      <c r="G498" s="113"/>
      <c r="H498" s="113"/>
      <c r="I498" s="114"/>
      <c r="J498" s="132"/>
      <c r="K498" s="136" t="str">
        <f>IFERROR(__xludf.DUMMYFUNCTION("""COMPUTED_VALUE"""),"")</f>
        <v/>
      </c>
      <c r="L498" s="114" t="str">
        <f>IFERROR(__xludf.DUMMYFUNCTION("""COMPUTED_VALUE"""),"")</f>
        <v/>
      </c>
      <c r="M498" s="116"/>
      <c r="N498" s="110"/>
      <c r="O498" s="110"/>
      <c r="P498" s="110"/>
      <c r="Q498" s="110"/>
      <c r="R498" s="110"/>
      <c r="S498" s="110"/>
      <c r="T498" s="110"/>
      <c r="U498" s="110"/>
      <c r="V498" s="110"/>
      <c r="W498" s="110"/>
      <c r="X498" s="110"/>
      <c r="Y498" s="110"/>
      <c r="Z498" s="110"/>
      <c r="AA498" s="110"/>
      <c r="AB498" s="110"/>
      <c r="AC498" s="110"/>
      <c r="AD498" s="110"/>
    </row>
    <row r="499">
      <c r="A499" s="118" t="s">
        <v>1636</v>
      </c>
      <c r="B499" s="112" t="s">
        <v>4779</v>
      </c>
      <c r="C499" s="112">
        <v>2.023082793E9</v>
      </c>
      <c r="D499" s="119" t="s">
        <v>4700</v>
      </c>
      <c r="E499" s="128"/>
      <c r="F499" s="113"/>
      <c r="G499" s="113"/>
      <c r="H499" s="113"/>
      <c r="I499" s="114"/>
      <c r="J499" s="132"/>
      <c r="K499" s="136" t="str">
        <f>IFERROR(__xludf.DUMMYFUNCTION("""COMPUTED_VALUE"""),"")</f>
        <v/>
      </c>
      <c r="L499" s="114" t="str">
        <f>IFERROR(__xludf.DUMMYFUNCTION("""COMPUTED_VALUE"""),"")</f>
        <v/>
      </c>
      <c r="M499" s="116"/>
      <c r="N499" s="110"/>
      <c r="O499" s="110"/>
      <c r="P499" s="110"/>
      <c r="Q499" s="110"/>
      <c r="R499" s="110"/>
      <c r="S499" s="110"/>
      <c r="T499" s="110"/>
      <c r="U499" s="110"/>
      <c r="V499" s="110"/>
      <c r="W499" s="110"/>
      <c r="X499" s="110"/>
      <c r="Y499" s="110"/>
      <c r="Z499" s="110"/>
      <c r="AA499" s="110"/>
      <c r="AB499" s="110"/>
      <c r="AC499" s="110"/>
      <c r="AD499" s="110"/>
    </row>
    <row r="500">
      <c r="A500" s="118" t="s">
        <v>1641</v>
      </c>
      <c r="B500" s="112" t="s">
        <v>4780</v>
      </c>
      <c r="C500" s="112">
        <v>2.028089657E9</v>
      </c>
      <c r="D500" s="119" t="s">
        <v>4700</v>
      </c>
      <c r="E500" s="128"/>
      <c r="F500" s="113"/>
      <c r="G500" s="137"/>
      <c r="H500" s="113"/>
      <c r="I500" s="114"/>
      <c r="J500" s="132"/>
      <c r="K500" s="136" t="str">
        <f>IFERROR(__xludf.DUMMYFUNCTION("""COMPUTED_VALUE"""),"")</f>
        <v/>
      </c>
      <c r="L500" s="114" t="str">
        <f>IFERROR(__xludf.DUMMYFUNCTION("""COMPUTED_VALUE"""),"")</f>
        <v/>
      </c>
      <c r="M500" s="116"/>
      <c r="N500" s="110"/>
      <c r="O500" s="110"/>
      <c r="P500" s="110"/>
      <c r="Q500" s="110"/>
      <c r="R500" s="110"/>
      <c r="S500" s="110"/>
      <c r="T500" s="110"/>
      <c r="U500" s="110"/>
      <c r="V500" s="110"/>
      <c r="W500" s="110"/>
      <c r="X500" s="110"/>
      <c r="Y500" s="110"/>
      <c r="Z500" s="110"/>
      <c r="AA500" s="110"/>
      <c r="AB500" s="110"/>
      <c r="AC500" s="110"/>
      <c r="AD500" s="110"/>
    </row>
    <row r="501">
      <c r="A501" s="118" t="s">
        <v>1647</v>
      </c>
      <c r="B501" s="112" t="s">
        <v>4781</v>
      </c>
      <c r="C501" s="112">
        <v>2.407225671E9</v>
      </c>
      <c r="D501" s="119" t="s">
        <v>4700</v>
      </c>
      <c r="E501" s="128"/>
      <c r="F501" s="113"/>
      <c r="G501" s="137"/>
      <c r="H501" s="113"/>
      <c r="I501" s="114"/>
      <c r="J501" s="132"/>
      <c r="K501" s="136" t="str">
        <f>IFERROR(__xludf.DUMMYFUNCTION("""COMPUTED_VALUE"""),"")</f>
        <v/>
      </c>
      <c r="L501" s="114" t="str">
        <f>IFERROR(__xludf.DUMMYFUNCTION("""COMPUTED_VALUE"""),"")</f>
        <v/>
      </c>
      <c r="M501" s="116"/>
      <c r="N501" s="110"/>
      <c r="O501" s="110"/>
      <c r="P501" s="110"/>
      <c r="Q501" s="110"/>
      <c r="R501" s="110"/>
      <c r="S501" s="110"/>
      <c r="T501" s="110"/>
      <c r="U501" s="110"/>
      <c r="V501" s="110"/>
      <c r="W501" s="110"/>
      <c r="X501" s="110"/>
      <c r="Y501" s="110"/>
      <c r="Z501" s="110"/>
      <c r="AA501" s="110"/>
      <c r="AB501" s="110"/>
      <c r="AC501" s="110"/>
      <c r="AD501" s="110"/>
    </row>
    <row r="502">
      <c r="A502" s="118" t="s">
        <v>1652</v>
      </c>
      <c r="B502" s="112" t="s">
        <v>4782</v>
      </c>
      <c r="C502" s="112">
        <v>2.026101008E9</v>
      </c>
      <c r="D502" s="119" t="s">
        <v>4700</v>
      </c>
      <c r="E502" s="128"/>
      <c r="F502" s="113"/>
      <c r="G502" s="137"/>
      <c r="H502" s="113"/>
      <c r="I502" s="114"/>
      <c r="J502" s="132"/>
      <c r="K502" s="136" t="str">
        <f>IFERROR(__xludf.DUMMYFUNCTION("""COMPUTED_VALUE"""),"")</f>
        <v/>
      </c>
      <c r="L502" s="114" t="str">
        <f>IFERROR(__xludf.DUMMYFUNCTION("""COMPUTED_VALUE"""),"")</f>
        <v/>
      </c>
      <c r="M502" s="116"/>
      <c r="N502" s="110"/>
      <c r="O502" s="110"/>
      <c r="P502" s="110"/>
      <c r="Q502" s="110"/>
      <c r="R502" s="110"/>
      <c r="S502" s="110"/>
      <c r="T502" s="110"/>
      <c r="U502" s="110"/>
      <c r="V502" s="110"/>
      <c r="W502" s="110"/>
      <c r="X502" s="110"/>
      <c r="Y502" s="110"/>
      <c r="Z502" s="110"/>
      <c r="AA502" s="110"/>
      <c r="AB502" s="110"/>
      <c r="AC502" s="110"/>
      <c r="AD502" s="110"/>
    </row>
    <row r="503">
      <c r="A503" s="118" t="s">
        <v>1658</v>
      </c>
      <c r="B503" s="112" t="s">
        <v>4783</v>
      </c>
      <c r="C503" s="112">
        <v>2.026441812E9</v>
      </c>
      <c r="D503" s="119" t="s">
        <v>4700</v>
      </c>
      <c r="E503" s="128"/>
      <c r="F503" s="113"/>
      <c r="G503" s="113"/>
      <c r="H503" s="113"/>
      <c r="I503" s="114"/>
      <c r="J503" s="132"/>
      <c r="K503" s="136" t="str">
        <f>IFERROR(__xludf.DUMMYFUNCTION("""COMPUTED_VALUE"""),"")</f>
        <v/>
      </c>
      <c r="L503" s="114" t="str">
        <f>IFERROR(__xludf.DUMMYFUNCTION("""COMPUTED_VALUE"""),"")</f>
        <v/>
      </c>
      <c r="M503" s="116"/>
      <c r="N503" s="110"/>
      <c r="O503" s="110"/>
      <c r="P503" s="110"/>
      <c r="Q503" s="110"/>
      <c r="R503" s="110"/>
      <c r="S503" s="110"/>
      <c r="T503" s="110"/>
      <c r="U503" s="110"/>
      <c r="V503" s="110"/>
      <c r="W503" s="110"/>
      <c r="X503" s="110"/>
      <c r="Y503" s="110"/>
      <c r="Z503" s="110"/>
      <c r="AA503" s="110"/>
      <c r="AB503" s="110"/>
      <c r="AC503" s="110"/>
      <c r="AD503" s="110"/>
    </row>
    <row r="504">
      <c r="A504" s="118" t="s">
        <v>1675</v>
      </c>
      <c r="B504" s="112" t="s">
        <v>4784</v>
      </c>
      <c r="C504" s="112">
        <v>2.028639373E9</v>
      </c>
      <c r="D504" s="119" t="s">
        <v>4700</v>
      </c>
      <c r="E504" s="128"/>
      <c r="F504" s="113"/>
      <c r="G504" s="113"/>
      <c r="H504" s="113"/>
      <c r="I504" s="114"/>
      <c r="J504" s="132"/>
      <c r="K504" s="136" t="str">
        <f>IFERROR(__xludf.DUMMYFUNCTION("""COMPUTED_VALUE"""),"")</f>
        <v/>
      </c>
      <c r="L504" s="114" t="str">
        <f>IFERROR(__xludf.DUMMYFUNCTION("""COMPUTED_VALUE"""),"")</f>
        <v/>
      </c>
      <c r="M504" s="116"/>
      <c r="N504" s="110"/>
      <c r="O504" s="110"/>
      <c r="P504" s="110"/>
      <c r="Q504" s="110"/>
      <c r="R504" s="110"/>
      <c r="S504" s="110"/>
      <c r="T504" s="110"/>
      <c r="U504" s="110"/>
      <c r="V504" s="110"/>
      <c r="W504" s="110"/>
      <c r="X504" s="110"/>
      <c r="Y504" s="110"/>
      <c r="Z504" s="110"/>
      <c r="AA504" s="110"/>
      <c r="AB504" s="110"/>
      <c r="AC504" s="110"/>
      <c r="AD504" s="110"/>
    </row>
    <row r="505">
      <c r="A505" s="118" t="s">
        <v>1680</v>
      </c>
      <c r="B505" s="112" t="s">
        <v>4785</v>
      </c>
      <c r="C505" s="112">
        <v>2.027101487E9</v>
      </c>
      <c r="D505" s="119" t="s">
        <v>4700</v>
      </c>
      <c r="E505" s="128"/>
      <c r="F505" s="113"/>
      <c r="G505" s="137"/>
      <c r="H505" s="113"/>
      <c r="I505" s="114"/>
      <c r="J505" s="132"/>
      <c r="K505" s="136" t="str">
        <f>IFERROR(__xludf.DUMMYFUNCTION("""COMPUTED_VALUE"""),"")</f>
        <v/>
      </c>
      <c r="L505" s="114" t="str">
        <f>IFERROR(__xludf.DUMMYFUNCTION("""COMPUTED_VALUE"""),"")</f>
        <v/>
      </c>
      <c r="M505" s="116"/>
      <c r="N505" s="110"/>
      <c r="O505" s="110"/>
      <c r="P505" s="110"/>
      <c r="Q505" s="110"/>
      <c r="R505" s="110"/>
      <c r="S505" s="110"/>
      <c r="T505" s="110"/>
      <c r="U505" s="110"/>
      <c r="V505" s="110"/>
      <c r="W505" s="110"/>
      <c r="X505" s="110"/>
      <c r="Y505" s="110"/>
      <c r="Z505" s="110"/>
      <c r="AA505" s="110"/>
      <c r="AB505" s="110"/>
      <c r="AC505" s="110"/>
      <c r="AD505" s="110"/>
    </row>
    <row r="506">
      <c r="A506" s="118" t="s">
        <v>1686</v>
      </c>
      <c r="B506" s="112" t="s">
        <v>4786</v>
      </c>
      <c r="C506" s="112">
        <v>2.026214345E9</v>
      </c>
      <c r="D506" s="119" t="s">
        <v>4700</v>
      </c>
      <c r="E506" s="128"/>
      <c r="F506" s="113"/>
      <c r="G506" s="137"/>
      <c r="H506" s="113"/>
      <c r="I506" s="114"/>
      <c r="J506" s="132"/>
      <c r="K506" s="136" t="str">
        <f>IFERROR(__xludf.DUMMYFUNCTION("""COMPUTED_VALUE"""),"")</f>
        <v/>
      </c>
      <c r="L506" s="114" t="str">
        <f>IFERROR(__xludf.DUMMYFUNCTION("""COMPUTED_VALUE"""),"")</f>
        <v/>
      </c>
      <c r="M506" s="116"/>
      <c r="N506" s="110"/>
      <c r="O506" s="110"/>
      <c r="P506" s="110"/>
      <c r="Q506" s="110"/>
      <c r="R506" s="110"/>
      <c r="S506" s="110"/>
      <c r="T506" s="110"/>
      <c r="U506" s="110"/>
      <c r="V506" s="110"/>
      <c r="W506" s="110"/>
      <c r="X506" s="110"/>
      <c r="Y506" s="110"/>
      <c r="Z506" s="110"/>
      <c r="AA506" s="110"/>
      <c r="AB506" s="110"/>
      <c r="AC506" s="110"/>
      <c r="AD506" s="110"/>
    </row>
    <row r="507">
      <c r="A507" s="118" t="s">
        <v>1697</v>
      </c>
      <c r="B507" s="112" t="s">
        <v>4787</v>
      </c>
      <c r="C507" s="112">
        <v>2.023842879E9</v>
      </c>
      <c r="D507" s="119" t="s">
        <v>4700</v>
      </c>
      <c r="E507" s="128"/>
      <c r="F507" s="113"/>
      <c r="G507" s="137"/>
      <c r="H507" s="113"/>
      <c r="I507" s="114"/>
      <c r="J507" s="132"/>
      <c r="K507" s="136" t="str">
        <f>IFERROR(__xludf.DUMMYFUNCTION("""COMPUTED_VALUE"""),"")</f>
        <v/>
      </c>
      <c r="L507" s="114" t="str">
        <f>IFERROR(__xludf.DUMMYFUNCTION("""COMPUTED_VALUE"""),"")</f>
        <v/>
      </c>
      <c r="M507" s="116"/>
      <c r="N507" s="110"/>
      <c r="O507" s="110"/>
      <c r="P507" s="110"/>
      <c r="Q507" s="110"/>
      <c r="R507" s="110"/>
      <c r="S507" s="110"/>
      <c r="T507" s="110"/>
      <c r="U507" s="110"/>
      <c r="V507" s="110"/>
      <c r="W507" s="110"/>
      <c r="X507" s="110"/>
      <c r="Y507" s="110"/>
      <c r="Z507" s="110"/>
      <c r="AA507" s="110"/>
      <c r="AB507" s="110"/>
      <c r="AC507" s="110"/>
      <c r="AD507" s="110"/>
    </row>
    <row r="508">
      <c r="A508" s="118" t="s">
        <v>1848</v>
      </c>
      <c r="B508" s="112" t="s">
        <v>4788</v>
      </c>
      <c r="C508" s="112">
        <v>2.404928404E9</v>
      </c>
      <c r="D508" s="119" t="s">
        <v>4700</v>
      </c>
      <c r="E508" s="128"/>
      <c r="F508" s="113"/>
      <c r="G508" s="137"/>
      <c r="H508" s="113"/>
      <c r="I508" s="114"/>
      <c r="J508" s="132"/>
      <c r="K508" s="136" t="str">
        <f>IFERROR(__xludf.DUMMYFUNCTION("""COMPUTED_VALUE"""),"")</f>
        <v/>
      </c>
      <c r="L508" s="114" t="str">
        <f>IFERROR(__xludf.DUMMYFUNCTION("""COMPUTED_VALUE"""),"")</f>
        <v/>
      </c>
      <c r="M508" s="116"/>
      <c r="N508" s="110"/>
      <c r="O508" s="110"/>
      <c r="P508" s="110"/>
      <c r="Q508" s="110"/>
      <c r="R508" s="110"/>
      <c r="S508" s="110"/>
      <c r="T508" s="110"/>
      <c r="U508" s="110"/>
      <c r="V508" s="110"/>
      <c r="W508" s="110"/>
      <c r="X508" s="110"/>
      <c r="Y508" s="110"/>
      <c r="Z508" s="110"/>
      <c r="AA508" s="110"/>
      <c r="AB508" s="110"/>
      <c r="AC508" s="110"/>
      <c r="AD508" s="110"/>
    </row>
    <row r="509">
      <c r="A509" s="118" t="s">
        <v>1884</v>
      </c>
      <c r="B509" s="112" t="s">
        <v>4789</v>
      </c>
      <c r="C509" s="112" t="s">
        <v>1889</v>
      </c>
      <c r="D509" s="119" t="s">
        <v>4700</v>
      </c>
      <c r="E509" s="128"/>
      <c r="F509" s="113"/>
      <c r="G509" s="137"/>
      <c r="H509" s="113"/>
      <c r="I509" s="114"/>
      <c r="J509" s="132"/>
      <c r="K509" s="136" t="str">
        <f>IFERROR(__xludf.DUMMYFUNCTION("""COMPUTED_VALUE"""),"")</f>
        <v/>
      </c>
      <c r="L509" s="114" t="str">
        <f>IFERROR(__xludf.DUMMYFUNCTION("""COMPUTED_VALUE"""),"")</f>
        <v/>
      </c>
      <c r="M509" s="116"/>
      <c r="N509" s="110"/>
      <c r="O509" s="110"/>
      <c r="P509" s="110"/>
      <c r="Q509" s="110"/>
      <c r="R509" s="110"/>
      <c r="S509" s="110"/>
      <c r="T509" s="110"/>
      <c r="U509" s="110"/>
      <c r="V509" s="110"/>
      <c r="W509" s="110"/>
      <c r="X509" s="110"/>
      <c r="Y509" s="110"/>
      <c r="Z509" s="110"/>
      <c r="AA509" s="110"/>
      <c r="AB509" s="110"/>
      <c r="AC509" s="110"/>
      <c r="AD509" s="110"/>
    </row>
    <row r="510">
      <c r="A510" s="118" t="s">
        <v>1522</v>
      </c>
      <c r="B510" s="112" t="s">
        <v>4790</v>
      </c>
      <c r="C510" s="112" t="s">
        <v>1899</v>
      </c>
      <c r="D510" s="119" t="s">
        <v>4700</v>
      </c>
      <c r="E510" s="128"/>
      <c r="F510" s="113"/>
      <c r="G510" s="137"/>
      <c r="H510" s="113"/>
      <c r="I510" s="114"/>
      <c r="J510" s="132"/>
      <c r="K510" s="136" t="str">
        <f>IFERROR(__xludf.DUMMYFUNCTION("""COMPUTED_VALUE"""),"")</f>
        <v/>
      </c>
      <c r="L510" s="114" t="str">
        <f>IFERROR(__xludf.DUMMYFUNCTION("""COMPUTED_VALUE"""),"")</f>
        <v/>
      </c>
      <c r="M510" s="116"/>
      <c r="N510" s="110"/>
      <c r="O510" s="110"/>
      <c r="P510" s="110"/>
      <c r="Q510" s="110"/>
      <c r="R510" s="110"/>
      <c r="S510" s="110"/>
      <c r="T510" s="110"/>
      <c r="U510" s="110"/>
      <c r="V510" s="110"/>
      <c r="W510" s="110"/>
      <c r="X510" s="110"/>
      <c r="Y510" s="110"/>
      <c r="Z510" s="110"/>
      <c r="AA510" s="110"/>
      <c r="AB510" s="110"/>
      <c r="AC510" s="110"/>
      <c r="AD510" s="110"/>
    </row>
    <row r="511">
      <c r="A511" s="118" t="s">
        <v>1903</v>
      </c>
      <c r="B511" s="112" t="s">
        <v>4791</v>
      </c>
      <c r="C511" s="112" t="s">
        <v>1910</v>
      </c>
      <c r="D511" s="119" t="s">
        <v>4700</v>
      </c>
      <c r="E511" s="128"/>
      <c r="F511" s="113"/>
      <c r="G511" s="113"/>
      <c r="H511" s="113"/>
      <c r="I511" s="114"/>
      <c r="J511" s="132"/>
      <c r="K511" s="136" t="str">
        <f>IFERROR(__xludf.DUMMYFUNCTION("""COMPUTED_VALUE"""),"")</f>
        <v/>
      </c>
      <c r="L511" s="114" t="str">
        <f>IFERROR(__xludf.DUMMYFUNCTION("""COMPUTED_VALUE"""),"")</f>
        <v/>
      </c>
      <c r="M511" s="116"/>
      <c r="N511" s="110"/>
      <c r="O511" s="110"/>
      <c r="P511" s="110"/>
      <c r="Q511" s="110"/>
      <c r="R511" s="110"/>
      <c r="S511" s="110"/>
      <c r="T511" s="110"/>
      <c r="U511" s="110"/>
      <c r="V511" s="110"/>
      <c r="W511" s="110"/>
      <c r="X511" s="110"/>
      <c r="Y511" s="110"/>
      <c r="Z511" s="110"/>
      <c r="AA511" s="110"/>
      <c r="AB511" s="110"/>
      <c r="AC511" s="110"/>
      <c r="AD511" s="110"/>
    </row>
    <row r="512">
      <c r="A512" s="118" t="s">
        <v>1945</v>
      </c>
      <c r="B512" s="112" t="s">
        <v>4792</v>
      </c>
      <c r="C512" s="112">
        <v>2.026573765E9</v>
      </c>
      <c r="D512" s="119" t="s">
        <v>4700</v>
      </c>
      <c r="E512" s="128"/>
      <c r="F512" s="113" t="s">
        <v>327</v>
      </c>
      <c r="G512" s="113" t="s">
        <v>4343</v>
      </c>
      <c r="H512" s="113"/>
      <c r="I512" s="114"/>
      <c r="J512" s="132"/>
      <c r="K512" s="136" t="str">
        <f>IFERROR(__xludf.DUMMYFUNCTION("""COMPUTED_VALUE"""),"")</f>
        <v/>
      </c>
      <c r="L512" s="114" t="str">
        <f>IFERROR(__xludf.DUMMYFUNCTION("""COMPUTED_VALUE"""),"")</f>
        <v/>
      </c>
      <c r="M512" s="116"/>
      <c r="N512" s="110"/>
      <c r="O512" s="110"/>
      <c r="P512" s="110"/>
      <c r="Q512" s="110"/>
      <c r="R512" s="110"/>
      <c r="S512" s="110"/>
      <c r="T512" s="110"/>
      <c r="U512" s="110"/>
      <c r="V512" s="110"/>
      <c r="W512" s="110"/>
      <c r="X512" s="110"/>
      <c r="Y512" s="110"/>
      <c r="Z512" s="110"/>
      <c r="AA512" s="110"/>
      <c r="AB512" s="110"/>
      <c r="AC512" s="110"/>
      <c r="AD512" s="110"/>
    </row>
    <row r="513">
      <c r="A513" s="118" t="s">
        <v>2017</v>
      </c>
      <c r="B513" s="112" t="s">
        <v>4793</v>
      </c>
      <c r="C513" s="112">
        <v>2.028892323E9</v>
      </c>
      <c r="D513" s="119" t="s">
        <v>4700</v>
      </c>
      <c r="E513" s="128"/>
      <c r="F513" s="113"/>
      <c r="G513" s="113" t="s">
        <v>4603</v>
      </c>
      <c r="H513" s="113"/>
      <c r="I513" s="114"/>
      <c r="J513" s="132"/>
      <c r="K513" s="136" t="str">
        <f>IFERROR(__xludf.DUMMYFUNCTION("""COMPUTED_VALUE"""),"")</f>
        <v/>
      </c>
      <c r="L513" s="114" t="str">
        <f>IFERROR(__xludf.DUMMYFUNCTION("""COMPUTED_VALUE"""),"")</f>
        <v/>
      </c>
      <c r="M513" s="116"/>
      <c r="N513" s="110"/>
      <c r="O513" s="110"/>
      <c r="P513" s="110"/>
      <c r="Q513" s="110"/>
      <c r="R513" s="110"/>
      <c r="S513" s="110"/>
      <c r="T513" s="110"/>
      <c r="U513" s="110"/>
      <c r="V513" s="110"/>
      <c r="W513" s="110"/>
      <c r="X513" s="110"/>
      <c r="Y513" s="110"/>
      <c r="Z513" s="110"/>
      <c r="AA513" s="110"/>
      <c r="AB513" s="110"/>
      <c r="AC513" s="110"/>
      <c r="AD513" s="110"/>
    </row>
    <row r="514">
      <c r="A514" s="118" t="s">
        <v>2293</v>
      </c>
      <c r="B514" s="112" t="s">
        <v>4794</v>
      </c>
      <c r="C514" s="112" t="s">
        <v>2297</v>
      </c>
      <c r="D514" s="119" t="s">
        <v>4700</v>
      </c>
      <c r="E514" s="128"/>
      <c r="F514" s="113"/>
      <c r="G514" s="113"/>
      <c r="H514" s="113"/>
      <c r="I514" s="114"/>
      <c r="J514" s="132"/>
      <c r="K514" s="136" t="str">
        <f>IFERROR(__xludf.DUMMYFUNCTION("""COMPUTED_VALUE"""),"")</f>
        <v/>
      </c>
      <c r="L514" s="114" t="str">
        <f>IFERROR(__xludf.DUMMYFUNCTION("""COMPUTED_VALUE"""),"")</f>
        <v/>
      </c>
      <c r="M514" s="116"/>
      <c r="N514" s="110"/>
      <c r="O514" s="110"/>
      <c r="P514" s="110"/>
      <c r="Q514" s="110"/>
      <c r="R514" s="110"/>
      <c r="S514" s="110"/>
      <c r="T514" s="110"/>
      <c r="U514" s="110"/>
      <c r="V514" s="110"/>
      <c r="W514" s="110"/>
      <c r="X514" s="110"/>
      <c r="Y514" s="110"/>
      <c r="Z514" s="110"/>
      <c r="AA514" s="110"/>
      <c r="AB514" s="110"/>
      <c r="AC514" s="110"/>
      <c r="AD514" s="110"/>
    </row>
    <row r="515">
      <c r="A515" s="118" t="s">
        <v>2496</v>
      </c>
      <c r="B515" s="112" t="s">
        <v>4795</v>
      </c>
      <c r="C515" s="112" t="s">
        <v>2502</v>
      </c>
      <c r="D515" s="119" t="s">
        <v>4700</v>
      </c>
      <c r="E515" s="128"/>
      <c r="F515" s="113"/>
      <c r="G515" s="113"/>
      <c r="H515" s="113"/>
      <c r="I515" s="114"/>
      <c r="J515" s="132"/>
      <c r="K515" s="136" t="str">
        <f>IFERROR(__xludf.DUMMYFUNCTION("""COMPUTED_VALUE"""),"")</f>
        <v/>
      </c>
      <c r="L515" s="114" t="str">
        <f>IFERROR(__xludf.DUMMYFUNCTION("""COMPUTED_VALUE"""),"")</f>
        <v/>
      </c>
      <c r="M515" s="116"/>
      <c r="N515" s="110"/>
      <c r="O515" s="110"/>
      <c r="P515" s="110"/>
      <c r="Q515" s="110"/>
      <c r="R515" s="110"/>
      <c r="S515" s="110"/>
      <c r="T515" s="110"/>
      <c r="U515" s="110"/>
      <c r="V515" s="110"/>
      <c r="W515" s="110"/>
      <c r="X515" s="110"/>
      <c r="Y515" s="110"/>
      <c r="Z515" s="110"/>
      <c r="AA515" s="110"/>
      <c r="AB515" s="110"/>
      <c r="AC515" s="110"/>
      <c r="AD515" s="110"/>
    </row>
    <row r="516">
      <c r="A516" s="118" t="s">
        <v>2608</v>
      </c>
      <c r="B516" s="112" t="s">
        <v>4796</v>
      </c>
      <c r="C516" s="112" t="s">
        <v>2618</v>
      </c>
      <c r="D516" s="119" t="s">
        <v>4700</v>
      </c>
      <c r="E516" s="128"/>
      <c r="F516" s="113" t="s">
        <v>31</v>
      </c>
      <c r="G516" s="137"/>
      <c r="H516" s="113" t="s">
        <v>4797</v>
      </c>
      <c r="I516" s="114"/>
      <c r="J516" s="132"/>
      <c r="K516" s="136" t="str">
        <f>IFERROR(__xludf.DUMMYFUNCTION("""COMPUTED_VALUE"""),"")</f>
        <v/>
      </c>
      <c r="L516" s="114" t="str">
        <f>IFERROR(__xludf.DUMMYFUNCTION("""COMPUTED_VALUE"""),"")</f>
        <v/>
      </c>
      <c r="M516" s="116"/>
      <c r="N516" s="110"/>
      <c r="O516" s="110"/>
      <c r="P516" s="110"/>
      <c r="Q516" s="110"/>
      <c r="R516" s="110"/>
      <c r="S516" s="110"/>
      <c r="T516" s="110"/>
      <c r="U516" s="110"/>
      <c r="V516" s="110"/>
      <c r="W516" s="110"/>
      <c r="X516" s="110"/>
      <c r="Y516" s="110"/>
      <c r="Z516" s="110"/>
      <c r="AA516" s="110"/>
      <c r="AB516" s="110"/>
      <c r="AC516" s="110"/>
      <c r="AD516" s="110"/>
    </row>
    <row r="517">
      <c r="A517" s="118" t="s">
        <v>2664</v>
      </c>
      <c r="B517" s="112" t="s">
        <v>4798</v>
      </c>
      <c r="C517" s="112" t="s">
        <v>2672</v>
      </c>
      <c r="D517" s="119" t="s">
        <v>4700</v>
      </c>
      <c r="E517" s="128"/>
      <c r="F517" s="113"/>
      <c r="G517" s="113" t="s">
        <v>4343</v>
      </c>
      <c r="H517" s="113"/>
      <c r="I517" s="114"/>
      <c r="J517" s="132"/>
      <c r="K517" s="136" t="str">
        <f>IFERROR(__xludf.DUMMYFUNCTION("""COMPUTED_VALUE"""),"")</f>
        <v/>
      </c>
      <c r="L517" s="114" t="str">
        <f>IFERROR(__xludf.DUMMYFUNCTION("""COMPUTED_VALUE"""),"")</f>
        <v/>
      </c>
      <c r="M517" s="116"/>
      <c r="N517" s="110"/>
      <c r="O517" s="110"/>
      <c r="P517" s="110"/>
      <c r="Q517" s="110"/>
      <c r="R517" s="110"/>
      <c r="S517" s="110"/>
      <c r="T517" s="110"/>
      <c r="U517" s="110"/>
      <c r="V517" s="110"/>
      <c r="W517" s="110"/>
      <c r="X517" s="110"/>
      <c r="Y517" s="110"/>
      <c r="Z517" s="110"/>
      <c r="AA517" s="110"/>
      <c r="AB517" s="110"/>
      <c r="AC517" s="110"/>
      <c r="AD517" s="110"/>
    </row>
    <row r="518">
      <c r="A518" s="118" t="s">
        <v>2740</v>
      </c>
      <c r="B518" s="112" t="s">
        <v>4799</v>
      </c>
      <c r="C518" s="112" t="s">
        <v>2749</v>
      </c>
      <c r="D518" s="119" t="s">
        <v>4700</v>
      </c>
      <c r="E518" s="128"/>
      <c r="F518" s="113"/>
      <c r="G518" s="113"/>
      <c r="H518" s="113"/>
      <c r="I518" s="114"/>
      <c r="J518" s="132"/>
      <c r="K518" s="136" t="str">
        <f>IFERROR(__xludf.DUMMYFUNCTION("""COMPUTED_VALUE"""),"")</f>
        <v/>
      </c>
      <c r="L518" s="114" t="str">
        <f>IFERROR(__xludf.DUMMYFUNCTION("""COMPUTED_VALUE"""),"")</f>
        <v/>
      </c>
      <c r="M518" s="116"/>
      <c r="N518" s="110"/>
      <c r="O518" s="110"/>
      <c r="P518" s="110"/>
      <c r="Q518" s="110"/>
      <c r="R518" s="110"/>
      <c r="S518" s="110"/>
      <c r="T518" s="110"/>
      <c r="U518" s="110"/>
      <c r="V518" s="110"/>
      <c r="W518" s="110"/>
      <c r="X518" s="110"/>
      <c r="Y518" s="110"/>
      <c r="Z518" s="110"/>
      <c r="AA518" s="110"/>
      <c r="AB518" s="110"/>
      <c r="AC518" s="110"/>
      <c r="AD518" s="110"/>
    </row>
    <row r="519">
      <c r="A519" s="138" t="s">
        <v>2775</v>
      </c>
      <c r="B519" s="112" t="s">
        <v>4800</v>
      </c>
      <c r="C519" s="112" t="s">
        <v>2781</v>
      </c>
      <c r="D519" s="119" t="s">
        <v>4700</v>
      </c>
      <c r="E519" s="128"/>
      <c r="F519" s="113"/>
      <c r="G519" s="113"/>
      <c r="H519" s="113"/>
      <c r="I519" s="114"/>
      <c r="J519" s="132"/>
      <c r="K519" s="136" t="str">
        <f>IFERROR(__xludf.DUMMYFUNCTION("""COMPUTED_VALUE"""),"")</f>
        <v/>
      </c>
      <c r="L519" s="114" t="str">
        <f>IFERROR(__xludf.DUMMYFUNCTION("""COMPUTED_VALUE"""),"")</f>
        <v/>
      </c>
      <c r="M519" s="116"/>
      <c r="N519" s="110"/>
      <c r="O519" s="110"/>
      <c r="P519" s="110"/>
      <c r="Q519" s="110"/>
      <c r="R519" s="110"/>
      <c r="S519" s="110"/>
      <c r="T519" s="110"/>
      <c r="U519" s="110"/>
      <c r="V519" s="110"/>
      <c r="W519" s="110"/>
      <c r="X519" s="110"/>
      <c r="Y519" s="110"/>
      <c r="Z519" s="110"/>
      <c r="AA519" s="110"/>
      <c r="AB519" s="110"/>
      <c r="AC519" s="110"/>
      <c r="AD519" s="110"/>
    </row>
    <row r="520">
      <c r="A520" s="138" t="s">
        <v>2740</v>
      </c>
      <c r="B520" s="112" t="s">
        <v>4801</v>
      </c>
      <c r="C520" s="112" t="s">
        <v>2789</v>
      </c>
      <c r="D520" s="119" t="s">
        <v>4700</v>
      </c>
      <c r="E520" s="128"/>
      <c r="F520" s="113"/>
      <c r="G520" s="113"/>
      <c r="H520" s="113"/>
      <c r="I520" s="114"/>
      <c r="J520" s="132"/>
      <c r="K520" s="136" t="str">
        <f>IFERROR(__xludf.DUMMYFUNCTION("""COMPUTED_VALUE"""),"")</f>
        <v/>
      </c>
      <c r="L520" s="114" t="str">
        <f>IFERROR(__xludf.DUMMYFUNCTION("""COMPUTED_VALUE"""),"")</f>
        <v/>
      </c>
      <c r="M520" s="116"/>
      <c r="N520" s="110"/>
      <c r="O520" s="110"/>
      <c r="P520" s="110"/>
      <c r="Q520" s="110"/>
      <c r="R520" s="110"/>
      <c r="S520" s="110"/>
      <c r="T520" s="110"/>
      <c r="U520" s="110"/>
      <c r="V520" s="110"/>
      <c r="W520" s="110"/>
      <c r="X520" s="110"/>
      <c r="Y520" s="110"/>
      <c r="Z520" s="110"/>
      <c r="AA520" s="110"/>
      <c r="AB520" s="110"/>
      <c r="AC520" s="110"/>
      <c r="AD520" s="110"/>
    </row>
    <row r="521">
      <c r="A521" s="138" t="s">
        <v>2819</v>
      </c>
      <c r="B521" s="112" t="s">
        <v>4802</v>
      </c>
      <c r="C521" s="112" t="s">
        <v>2824</v>
      </c>
      <c r="D521" s="119" t="s">
        <v>4700</v>
      </c>
      <c r="E521" s="128"/>
      <c r="F521" s="113"/>
      <c r="G521" s="113" t="s">
        <v>4603</v>
      </c>
      <c r="H521" s="113"/>
      <c r="I521" s="114"/>
      <c r="J521" s="132"/>
      <c r="K521" s="136" t="str">
        <f>IFERROR(__xludf.DUMMYFUNCTION("""COMPUTED_VALUE"""),"")</f>
        <v/>
      </c>
      <c r="L521" s="114" t="str">
        <f>IFERROR(__xludf.DUMMYFUNCTION("""COMPUTED_VALUE"""),"")</f>
        <v/>
      </c>
      <c r="M521" s="116"/>
      <c r="N521" s="110"/>
      <c r="O521" s="110"/>
      <c r="P521" s="110"/>
      <c r="Q521" s="110"/>
      <c r="R521" s="110"/>
      <c r="S521" s="110"/>
      <c r="T521" s="110"/>
      <c r="U521" s="110"/>
      <c r="V521" s="110"/>
      <c r="W521" s="110"/>
      <c r="X521" s="110"/>
      <c r="Y521" s="110"/>
      <c r="Z521" s="110"/>
      <c r="AA521" s="110"/>
      <c r="AB521" s="110"/>
      <c r="AC521" s="110"/>
      <c r="AD521" s="110"/>
    </row>
    <row r="522">
      <c r="A522" s="138" t="s">
        <v>2826</v>
      </c>
      <c r="B522" s="112" t="s">
        <v>4803</v>
      </c>
      <c r="C522" s="112" t="s">
        <v>2831</v>
      </c>
      <c r="D522" s="119" t="s">
        <v>4700</v>
      </c>
      <c r="E522" s="128"/>
      <c r="F522" s="113"/>
      <c r="G522" s="113"/>
      <c r="H522" s="113"/>
      <c r="I522" s="114"/>
      <c r="J522" s="132"/>
      <c r="K522" s="136" t="str">
        <f>IFERROR(__xludf.DUMMYFUNCTION("""COMPUTED_VALUE"""),"")</f>
        <v/>
      </c>
      <c r="L522" s="114" t="str">
        <f>IFERROR(__xludf.DUMMYFUNCTION("""COMPUTED_VALUE"""),"")</f>
        <v/>
      </c>
      <c r="M522" s="116"/>
      <c r="N522" s="110"/>
      <c r="O522" s="110"/>
      <c r="P522" s="110"/>
      <c r="Q522" s="110"/>
      <c r="R522" s="110"/>
      <c r="S522" s="110"/>
      <c r="T522" s="110"/>
      <c r="U522" s="110"/>
      <c r="V522" s="110"/>
      <c r="W522" s="110"/>
      <c r="X522" s="110"/>
      <c r="Y522" s="110"/>
      <c r="Z522" s="110"/>
      <c r="AA522" s="110"/>
      <c r="AB522" s="110"/>
      <c r="AC522" s="110"/>
      <c r="AD522" s="110"/>
    </row>
    <row r="523">
      <c r="A523" s="138" t="s">
        <v>2881</v>
      </c>
      <c r="B523" s="112" t="s">
        <v>4804</v>
      </c>
      <c r="C523" s="112" t="s">
        <v>2887</v>
      </c>
      <c r="D523" s="119" t="s">
        <v>4700</v>
      </c>
      <c r="E523" s="128"/>
      <c r="F523" s="113"/>
      <c r="G523" s="113"/>
      <c r="H523" s="113"/>
      <c r="I523" s="114"/>
      <c r="J523" s="132"/>
      <c r="K523" s="136" t="str">
        <f>IFERROR(__xludf.DUMMYFUNCTION("""COMPUTED_VALUE"""),"")</f>
        <v/>
      </c>
      <c r="L523" s="114" t="str">
        <f>IFERROR(__xludf.DUMMYFUNCTION("""COMPUTED_VALUE"""),"")</f>
        <v/>
      </c>
      <c r="M523" s="116"/>
      <c r="N523" s="110"/>
      <c r="O523" s="110"/>
      <c r="P523" s="110"/>
      <c r="Q523" s="110"/>
      <c r="R523" s="110"/>
      <c r="S523" s="110"/>
      <c r="T523" s="110"/>
      <c r="U523" s="110"/>
      <c r="V523" s="110"/>
      <c r="W523" s="110"/>
      <c r="X523" s="110"/>
      <c r="Y523" s="110"/>
      <c r="Z523" s="110"/>
      <c r="AA523" s="110"/>
      <c r="AB523" s="110"/>
      <c r="AC523" s="110"/>
      <c r="AD523" s="110"/>
    </row>
    <row r="524">
      <c r="A524" s="138" t="s">
        <v>3040</v>
      </c>
      <c r="B524" s="112" t="s">
        <v>4805</v>
      </c>
      <c r="C524" s="112" t="s">
        <v>3045</v>
      </c>
      <c r="D524" s="119" t="s">
        <v>4700</v>
      </c>
      <c r="E524" s="128"/>
      <c r="F524" s="113"/>
      <c r="G524" s="137"/>
      <c r="H524" s="113"/>
      <c r="I524" s="114"/>
      <c r="J524" s="132"/>
      <c r="K524" s="136" t="str">
        <f>IFERROR(__xludf.DUMMYFUNCTION("""COMPUTED_VALUE"""),"")</f>
        <v/>
      </c>
      <c r="L524" s="114" t="str">
        <f>IFERROR(__xludf.DUMMYFUNCTION("""COMPUTED_VALUE"""),"")</f>
        <v/>
      </c>
      <c r="M524" s="116"/>
      <c r="N524" s="110"/>
      <c r="O524" s="110"/>
      <c r="P524" s="110"/>
      <c r="Q524" s="110"/>
      <c r="R524" s="110"/>
      <c r="S524" s="110"/>
      <c r="T524" s="110"/>
      <c r="U524" s="110"/>
      <c r="V524" s="110"/>
      <c r="W524" s="110"/>
      <c r="X524" s="110"/>
      <c r="Y524" s="110"/>
      <c r="Z524" s="110"/>
      <c r="AA524" s="110"/>
      <c r="AB524" s="110"/>
      <c r="AC524" s="110"/>
      <c r="AD524" s="110"/>
    </row>
    <row r="525">
      <c r="A525" s="138" t="s">
        <v>3058</v>
      </c>
      <c r="B525" s="112" t="s">
        <v>4806</v>
      </c>
      <c r="C525" s="112" t="s">
        <v>3067</v>
      </c>
      <c r="D525" s="119" t="s">
        <v>4700</v>
      </c>
      <c r="E525" s="128"/>
      <c r="F525" s="113"/>
      <c r="G525" s="137"/>
      <c r="H525" s="113"/>
      <c r="I525" s="114"/>
      <c r="J525" s="132"/>
      <c r="K525" s="136" t="str">
        <f>IFERROR(__xludf.DUMMYFUNCTION("""COMPUTED_VALUE"""),"")</f>
        <v/>
      </c>
      <c r="L525" s="114" t="str">
        <f>IFERROR(__xludf.DUMMYFUNCTION("""COMPUTED_VALUE"""),"")</f>
        <v/>
      </c>
      <c r="M525" s="116"/>
      <c r="N525" s="110"/>
      <c r="O525" s="110"/>
      <c r="P525" s="110"/>
      <c r="Q525" s="110"/>
      <c r="R525" s="110"/>
      <c r="S525" s="110"/>
      <c r="T525" s="110"/>
      <c r="U525" s="110"/>
      <c r="V525" s="110"/>
      <c r="W525" s="110"/>
      <c r="X525" s="110"/>
      <c r="Y525" s="110"/>
      <c r="Z525" s="110"/>
      <c r="AA525" s="110"/>
      <c r="AB525" s="110"/>
      <c r="AC525" s="110"/>
      <c r="AD525" s="110"/>
    </row>
    <row r="526">
      <c r="A526" s="138" t="s">
        <v>564</v>
      </c>
      <c r="B526" s="112" t="s">
        <v>4807</v>
      </c>
      <c r="C526" s="112" t="s">
        <v>3154</v>
      </c>
      <c r="D526" s="119" t="s">
        <v>4700</v>
      </c>
      <c r="E526" s="128"/>
      <c r="F526" s="113"/>
      <c r="G526" s="113"/>
      <c r="H526" s="113"/>
      <c r="I526" s="114"/>
      <c r="J526" s="132"/>
      <c r="K526" s="136" t="str">
        <f>IFERROR(__xludf.DUMMYFUNCTION("""COMPUTED_VALUE"""),"")</f>
        <v/>
      </c>
      <c r="L526" s="114" t="str">
        <f>IFERROR(__xludf.DUMMYFUNCTION("""COMPUTED_VALUE"""),"")</f>
        <v/>
      </c>
      <c r="M526" s="116"/>
      <c r="N526" s="110"/>
      <c r="O526" s="110"/>
      <c r="P526" s="110"/>
      <c r="Q526" s="110"/>
      <c r="R526" s="110"/>
      <c r="S526" s="110"/>
      <c r="T526" s="110"/>
      <c r="U526" s="110"/>
      <c r="V526" s="110"/>
      <c r="W526" s="110"/>
      <c r="X526" s="110"/>
      <c r="Y526" s="110"/>
      <c r="Z526" s="110"/>
      <c r="AA526" s="110"/>
      <c r="AB526" s="110"/>
      <c r="AC526" s="110"/>
      <c r="AD526" s="110"/>
    </row>
    <row r="527">
      <c r="A527" s="138" t="s">
        <v>1848</v>
      </c>
      <c r="B527" s="112" t="s">
        <v>4808</v>
      </c>
      <c r="C527" s="112" t="s">
        <v>3172</v>
      </c>
      <c r="D527" s="119" t="s">
        <v>4700</v>
      </c>
      <c r="E527" s="128"/>
      <c r="F527" s="113"/>
      <c r="G527" s="113"/>
      <c r="H527" s="134"/>
      <c r="I527" s="114"/>
      <c r="J527" s="132"/>
      <c r="K527" s="136" t="str">
        <f>IFERROR(__xludf.DUMMYFUNCTION("""COMPUTED_VALUE"""),"")</f>
        <v/>
      </c>
      <c r="L527" s="114" t="str">
        <f>IFERROR(__xludf.DUMMYFUNCTION("""COMPUTED_VALUE"""),"")</f>
        <v/>
      </c>
      <c r="M527" s="116"/>
      <c r="N527" s="110"/>
      <c r="O527" s="110"/>
      <c r="P527" s="110"/>
      <c r="Q527" s="110"/>
      <c r="R527" s="110"/>
      <c r="S527" s="110"/>
      <c r="T527" s="110"/>
      <c r="U527" s="110"/>
      <c r="V527" s="110"/>
      <c r="W527" s="110"/>
      <c r="X527" s="110"/>
      <c r="Y527" s="110"/>
      <c r="Z527" s="110"/>
      <c r="AA527" s="110"/>
      <c r="AB527" s="110"/>
      <c r="AC527" s="110"/>
      <c r="AD527" s="110"/>
    </row>
    <row r="528">
      <c r="A528" s="138" t="s">
        <v>548</v>
      </c>
      <c r="B528" s="112" t="s">
        <v>4809</v>
      </c>
      <c r="C528" s="112" t="s">
        <v>3202</v>
      </c>
      <c r="D528" s="119" t="s">
        <v>4700</v>
      </c>
      <c r="E528" s="128"/>
      <c r="F528" s="113"/>
      <c r="G528" s="113" t="s">
        <v>4603</v>
      </c>
      <c r="H528" s="113"/>
      <c r="I528" s="114"/>
      <c r="J528" s="132"/>
      <c r="K528" s="120" t="str">
        <f>IFERROR(__xludf.DUMMYFUNCTION("""COMPUTED_VALUE"""),"")</f>
        <v/>
      </c>
      <c r="L528" s="114" t="str">
        <f>IFERROR(__xludf.DUMMYFUNCTION("""COMPUTED_VALUE"""),"")</f>
        <v/>
      </c>
      <c r="M528" s="116">
        <v>0.0</v>
      </c>
      <c r="N528" s="110"/>
      <c r="O528" s="110"/>
      <c r="P528" s="110"/>
      <c r="Q528" s="110"/>
      <c r="R528" s="110"/>
      <c r="S528" s="110"/>
      <c r="T528" s="110"/>
      <c r="U528" s="110"/>
      <c r="V528" s="110"/>
      <c r="W528" s="110"/>
      <c r="X528" s="110"/>
      <c r="Y528" s="110"/>
      <c r="Z528" s="110"/>
      <c r="AA528" s="110"/>
      <c r="AB528" s="110"/>
      <c r="AC528" s="110"/>
      <c r="AD528" s="110"/>
    </row>
    <row r="529">
      <c r="A529" s="138" t="s">
        <v>3278</v>
      </c>
      <c r="B529" s="112" t="s">
        <v>4810</v>
      </c>
      <c r="C529" s="112" t="s">
        <v>3283</v>
      </c>
      <c r="D529" s="119" t="s">
        <v>4700</v>
      </c>
      <c r="E529" s="128"/>
      <c r="F529" s="113"/>
      <c r="G529" s="113"/>
      <c r="H529" s="113"/>
      <c r="I529" s="114"/>
      <c r="J529" s="132"/>
      <c r="K529" s="120" t="str">
        <f>IFERROR(__xludf.DUMMYFUNCTION("""COMPUTED_VALUE"""),"")</f>
        <v/>
      </c>
      <c r="L529" s="114" t="str">
        <f>IFERROR(__xludf.DUMMYFUNCTION("""COMPUTED_VALUE"""),"")</f>
        <v/>
      </c>
      <c r="M529" s="116">
        <v>1.0</v>
      </c>
      <c r="N529" s="110"/>
      <c r="O529" s="110"/>
      <c r="P529" s="110"/>
      <c r="Q529" s="110"/>
      <c r="R529" s="110"/>
      <c r="S529" s="110"/>
      <c r="T529" s="110"/>
      <c r="U529" s="110"/>
      <c r="V529" s="110"/>
      <c r="W529" s="110"/>
      <c r="X529" s="110"/>
      <c r="Y529" s="110"/>
      <c r="Z529" s="110"/>
      <c r="AA529" s="110"/>
      <c r="AB529" s="110"/>
      <c r="AC529" s="110"/>
      <c r="AD529" s="110"/>
    </row>
    <row r="530">
      <c r="A530" s="138" t="s">
        <v>1945</v>
      </c>
      <c r="B530" s="112" t="s">
        <v>4811</v>
      </c>
      <c r="C530" s="112" t="s">
        <v>3321</v>
      </c>
      <c r="D530" s="119" t="s">
        <v>4700</v>
      </c>
      <c r="E530" s="128"/>
      <c r="F530" s="113" t="s">
        <v>327</v>
      </c>
      <c r="G530" s="113" t="s">
        <v>4343</v>
      </c>
      <c r="H530" s="113"/>
      <c r="I530" s="114"/>
      <c r="J530" s="132"/>
      <c r="K530" s="120" t="str">
        <f>IFERROR(__xludf.DUMMYFUNCTION("""COMPUTED_VALUE"""),"")</f>
        <v/>
      </c>
      <c r="L530" s="114" t="str">
        <f>IFERROR(__xludf.DUMMYFUNCTION("""COMPUTED_VALUE"""),"")</f>
        <v/>
      </c>
      <c r="M530" s="116">
        <v>1.0</v>
      </c>
      <c r="N530" s="110"/>
      <c r="O530" s="110"/>
      <c r="P530" s="110"/>
      <c r="Q530" s="110"/>
      <c r="R530" s="110"/>
      <c r="S530" s="110"/>
      <c r="T530" s="110"/>
      <c r="U530" s="110"/>
      <c r="V530" s="110"/>
      <c r="W530" s="110"/>
      <c r="X530" s="110"/>
      <c r="Y530" s="110"/>
      <c r="Z530" s="110"/>
      <c r="AA530" s="110"/>
      <c r="AB530" s="110"/>
      <c r="AC530" s="110"/>
      <c r="AD530" s="110"/>
    </row>
    <row r="531">
      <c r="A531" s="138" t="s">
        <v>3350</v>
      </c>
      <c r="B531" s="112" t="s">
        <v>4812</v>
      </c>
      <c r="C531" s="112" t="s">
        <v>3358</v>
      </c>
      <c r="D531" s="119" t="s">
        <v>4700</v>
      </c>
      <c r="E531" s="128"/>
      <c r="F531" s="113"/>
      <c r="G531" s="113"/>
      <c r="H531" s="113"/>
      <c r="I531" s="114"/>
      <c r="J531" s="132"/>
      <c r="K531" s="120" t="str">
        <f>IFERROR(__xludf.DUMMYFUNCTION("""COMPUTED_VALUE"""),"")</f>
        <v/>
      </c>
      <c r="L531" s="114" t="str">
        <f>IFERROR(__xludf.DUMMYFUNCTION("""COMPUTED_VALUE"""),"")</f>
        <v/>
      </c>
      <c r="M531" s="116">
        <v>1.0</v>
      </c>
      <c r="N531" s="110"/>
      <c r="O531" s="110"/>
      <c r="P531" s="110"/>
      <c r="Q531" s="110"/>
      <c r="R531" s="110"/>
      <c r="S531" s="110"/>
      <c r="T531" s="110"/>
      <c r="U531" s="110"/>
      <c r="V531" s="110"/>
      <c r="W531" s="110"/>
      <c r="X531" s="110"/>
      <c r="Y531" s="110"/>
      <c r="Z531" s="110"/>
      <c r="AA531" s="110"/>
      <c r="AB531" s="110"/>
      <c r="AC531" s="110"/>
      <c r="AD531" s="110"/>
    </row>
    <row r="532">
      <c r="A532" s="138" t="s">
        <v>3392</v>
      </c>
      <c r="B532" s="112" t="s">
        <v>4813</v>
      </c>
      <c r="C532" s="112" t="s">
        <v>3397</v>
      </c>
      <c r="D532" s="119" t="s">
        <v>4700</v>
      </c>
      <c r="E532" s="128"/>
      <c r="F532" s="113" t="s">
        <v>31</v>
      </c>
      <c r="G532" s="113" t="s">
        <v>4343</v>
      </c>
      <c r="H532" s="113"/>
      <c r="I532" s="114"/>
      <c r="J532" s="132"/>
      <c r="K532" s="120" t="str">
        <f>IFERROR(__xludf.DUMMYFUNCTION("""COMPUTED_VALUE"""),"")</f>
        <v/>
      </c>
      <c r="L532" s="114" t="str">
        <f>IFERROR(__xludf.DUMMYFUNCTION("""COMPUTED_VALUE"""),"")</f>
        <v/>
      </c>
      <c r="M532" s="116">
        <v>1.0</v>
      </c>
      <c r="N532" s="110"/>
      <c r="O532" s="110"/>
      <c r="P532" s="110"/>
      <c r="Q532" s="110"/>
      <c r="R532" s="110"/>
      <c r="S532" s="110"/>
      <c r="T532" s="110"/>
      <c r="U532" s="110"/>
      <c r="V532" s="110"/>
      <c r="W532" s="110"/>
      <c r="X532" s="110"/>
      <c r="Y532" s="110"/>
      <c r="Z532" s="110"/>
      <c r="AA532" s="110"/>
      <c r="AB532" s="110"/>
      <c r="AC532" s="110"/>
      <c r="AD532" s="110"/>
    </row>
    <row r="533">
      <c r="A533" s="138" t="s">
        <v>3591</v>
      </c>
      <c r="B533" s="112" t="s">
        <v>4814</v>
      </c>
      <c r="C533" s="112" t="s">
        <v>3597</v>
      </c>
      <c r="D533" s="119" t="s">
        <v>4700</v>
      </c>
      <c r="E533" s="128"/>
      <c r="F533" s="113"/>
      <c r="G533" s="113"/>
      <c r="H533" s="113"/>
      <c r="I533" s="114"/>
      <c r="J533" s="132"/>
      <c r="K533" s="120" t="str">
        <f>IFERROR(__xludf.DUMMYFUNCTION("""COMPUTED_VALUE"""),"")</f>
        <v/>
      </c>
      <c r="L533" s="114" t="str">
        <f>IFERROR(__xludf.DUMMYFUNCTION("""COMPUTED_VALUE"""),"")</f>
        <v/>
      </c>
      <c r="M533" s="116">
        <v>1.0</v>
      </c>
      <c r="N533" s="110"/>
      <c r="O533" s="110"/>
      <c r="P533" s="110"/>
      <c r="Q533" s="110"/>
      <c r="R533" s="110"/>
      <c r="S533" s="110"/>
      <c r="T533" s="110"/>
      <c r="U533" s="110"/>
      <c r="V533" s="110"/>
      <c r="W533" s="110"/>
      <c r="X533" s="110"/>
      <c r="Y533" s="110"/>
      <c r="Z533" s="110"/>
      <c r="AA533" s="110"/>
      <c r="AB533" s="110"/>
      <c r="AC533" s="110"/>
      <c r="AD533" s="110"/>
    </row>
    <row r="534">
      <c r="A534" s="138" t="s">
        <v>1697</v>
      </c>
      <c r="B534" s="112" t="s">
        <v>4815</v>
      </c>
      <c r="C534" s="112" t="s">
        <v>3644</v>
      </c>
      <c r="D534" s="119" t="s">
        <v>4700</v>
      </c>
      <c r="E534" s="128"/>
      <c r="F534" s="113"/>
      <c r="G534" s="113"/>
      <c r="H534" s="134"/>
      <c r="I534" s="114"/>
      <c r="J534" s="132"/>
      <c r="K534" s="120" t="str">
        <f>IFERROR(__xludf.DUMMYFUNCTION("""COMPUTED_VALUE"""),"")</f>
        <v/>
      </c>
      <c r="L534" s="114" t="str">
        <f>IFERROR(__xludf.DUMMYFUNCTION("""COMPUTED_VALUE"""),"")</f>
        <v/>
      </c>
      <c r="M534" s="116">
        <v>1.0</v>
      </c>
      <c r="N534" s="110"/>
      <c r="O534" s="110"/>
      <c r="P534" s="110"/>
      <c r="Q534" s="110"/>
      <c r="R534" s="110"/>
      <c r="S534" s="110"/>
      <c r="T534" s="110"/>
      <c r="U534" s="110"/>
      <c r="V534" s="110"/>
      <c r="W534" s="110"/>
      <c r="X534" s="110"/>
      <c r="Y534" s="110"/>
      <c r="Z534" s="110"/>
      <c r="AA534" s="110"/>
      <c r="AB534" s="110"/>
      <c r="AC534" s="110"/>
      <c r="AD534" s="110"/>
    </row>
    <row r="535">
      <c r="A535" s="138" t="s">
        <v>1945</v>
      </c>
      <c r="B535" s="112" t="s">
        <v>4811</v>
      </c>
      <c r="C535" s="112" t="s">
        <v>3321</v>
      </c>
      <c r="D535" s="119" t="s">
        <v>4700</v>
      </c>
      <c r="E535" s="128"/>
      <c r="F535" s="113" t="s">
        <v>327</v>
      </c>
      <c r="G535" s="113" t="s">
        <v>4343</v>
      </c>
      <c r="H535" s="134"/>
      <c r="I535" s="114"/>
      <c r="J535" s="132"/>
      <c r="K535" s="120" t="str">
        <f>IFERROR(__xludf.DUMMYFUNCTION("""COMPUTED_VALUE"""),"")</f>
        <v/>
      </c>
      <c r="L535" s="114" t="str">
        <f>IFERROR(__xludf.DUMMYFUNCTION("""COMPUTED_VALUE"""),"")</f>
        <v/>
      </c>
      <c r="M535" s="116">
        <v>1.0</v>
      </c>
      <c r="N535" s="110"/>
      <c r="O535" s="110"/>
      <c r="P535" s="110"/>
      <c r="Q535" s="110"/>
      <c r="R535" s="110"/>
      <c r="S535" s="110"/>
      <c r="T535" s="110"/>
      <c r="U535" s="110"/>
      <c r="V535" s="110"/>
      <c r="W535" s="110"/>
      <c r="X535" s="110"/>
      <c r="Y535" s="110"/>
      <c r="Z535" s="110"/>
      <c r="AA535" s="110"/>
      <c r="AB535" s="110"/>
      <c r="AC535" s="110"/>
      <c r="AD535" s="110"/>
    </row>
    <row r="536">
      <c r="A536" s="138" t="s">
        <v>2608</v>
      </c>
      <c r="B536" s="112" t="s">
        <v>4816</v>
      </c>
      <c r="C536" s="112" t="s">
        <v>4130</v>
      </c>
      <c r="D536" s="119" t="s">
        <v>4700</v>
      </c>
      <c r="E536" s="128"/>
      <c r="F536" s="113" t="s">
        <v>31</v>
      </c>
      <c r="G536" s="113"/>
      <c r="H536" s="113" t="s">
        <v>4797</v>
      </c>
      <c r="I536" s="114"/>
      <c r="J536" s="132"/>
      <c r="K536" s="120" t="str">
        <f>IFERROR(__xludf.DUMMYFUNCTION("""COMPUTED_VALUE"""),"")</f>
        <v/>
      </c>
      <c r="L536" s="114" t="str">
        <f>IFERROR(__xludf.DUMMYFUNCTION("""COMPUTED_VALUE"""),"")</f>
        <v/>
      </c>
      <c r="M536" s="116">
        <v>1.0</v>
      </c>
      <c r="N536" s="110"/>
      <c r="O536" s="110"/>
      <c r="P536" s="110"/>
      <c r="Q536" s="110"/>
      <c r="R536" s="110"/>
      <c r="S536" s="110"/>
      <c r="T536" s="110"/>
      <c r="U536" s="110"/>
      <c r="V536" s="110"/>
      <c r="W536" s="110"/>
      <c r="X536" s="110"/>
      <c r="Y536" s="110"/>
      <c r="Z536" s="110"/>
      <c r="AA536" s="110"/>
      <c r="AB536" s="110"/>
      <c r="AC536" s="110"/>
      <c r="AD536" s="110"/>
    </row>
    <row r="537">
      <c r="A537" s="138" t="s">
        <v>2740</v>
      </c>
      <c r="B537" s="112" t="s">
        <v>4817</v>
      </c>
      <c r="C537" s="112"/>
      <c r="D537" s="119" t="s">
        <v>4700</v>
      </c>
      <c r="E537" s="128"/>
      <c r="F537" s="113"/>
      <c r="G537" s="113"/>
      <c r="H537" s="113"/>
      <c r="I537" s="114"/>
      <c r="J537" s="132"/>
      <c r="K537" s="120" t="str">
        <f>IFERROR(__xludf.DUMMYFUNCTION("""COMPUTED_VALUE"""),"")</f>
        <v/>
      </c>
      <c r="L537" s="114" t="str">
        <f>IFERROR(__xludf.DUMMYFUNCTION("""COMPUTED_VALUE"""),"")</f>
        <v/>
      </c>
      <c r="M537" s="116">
        <v>1.0</v>
      </c>
      <c r="N537" s="110"/>
      <c r="O537" s="110"/>
      <c r="P537" s="110"/>
      <c r="Q537" s="110"/>
      <c r="R537" s="110"/>
      <c r="S537" s="110"/>
      <c r="T537" s="110"/>
      <c r="U537" s="110"/>
      <c r="V537" s="110"/>
      <c r="W537" s="110"/>
      <c r="X537" s="110"/>
      <c r="Y537" s="110"/>
      <c r="Z537" s="110"/>
      <c r="AA537" s="110"/>
      <c r="AB537" s="110"/>
      <c r="AC537" s="110"/>
      <c r="AD537" s="110"/>
    </row>
  </sheetData>
  <conditionalFormatting sqref="A2:L537">
    <cfRule type="expression" dxfId="0" priority="1" stopIfTrue="1">
      <formula>$K2="ESCALATE"</formula>
    </cfRule>
  </conditionalFormatting>
  <conditionalFormatting sqref="A2:L537">
    <cfRule type="expression" dxfId="1" priority="2" stopIfTrue="1">
      <formula>AND($D2&lt;&gt;"Inactive",$L2&lt;TODAY())</formula>
    </cfRule>
  </conditionalFormatting>
  <conditionalFormatting sqref="A2:L537">
    <cfRule type="expression" dxfId="2" priority="3" stopIfTrue="1">
      <formula>AND($D2&lt;&gt;"Inactive",$L2&gt;=TODAY(),$L2&lt;=TODAY()+7)</formula>
    </cfRule>
  </conditionalFormatting>
  <dataValidations>
    <dataValidation type="list" allowBlank="1" sqref="F2:F537">
      <formula1>"Gillian,Tarek,Ashley,Nathalie,Elizabeth,Peter,Angie,Elena,Carolyn,Other,Janelle,Claire"</formula1>
    </dataValidation>
    <dataValidation type="list" allowBlank="1" sqref="G2:G537">
      <formula1>"Scheduled,Reached - Call Back Requested,Voicemail ,Can't Reach ,Need Spanish Speeker,Needs New Delivery"</formula1>
    </dataValidation>
    <dataValidation type="list" allowBlank="1" showErrorMessage="1" sqref="D2:D537">
      <formula1>"ACTIVE CLIENT,WAITLISTED,INACTIVE,RECERTIFYING"</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9.13"/>
    <col customWidth="1" min="2" max="2" width="14.0"/>
    <col customWidth="1" min="3" max="3" width="18.63"/>
    <col customWidth="1" min="4" max="4" width="15.5"/>
    <col customWidth="1" min="5" max="5" width="33.5"/>
    <col customWidth="1" min="6" max="6" width="20.63"/>
    <col customWidth="1" min="7" max="7" width="16.0"/>
    <col customWidth="1" min="8" max="8" width="17.63"/>
    <col customWidth="1" min="9" max="10" width="25.0"/>
    <col customWidth="1" min="11" max="11" width="16.38"/>
    <col customWidth="1" min="12" max="12" width="29.75"/>
    <col customWidth="1" min="13" max="13" width="21.0"/>
    <col customWidth="1" min="14" max="14" width="22.63"/>
    <col customWidth="1" min="15" max="15" width="12.5"/>
    <col customWidth="1" min="16" max="16" width="14.0"/>
    <col customWidth="1" min="17" max="17" width="16.5"/>
    <col customWidth="1" min="18" max="18" width="75.0"/>
  </cols>
  <sheetData>
    <row r="1" ht="75.0" customHeight="1">
      <c r="A1" s="139" t="s">
        <v>4818</v>
      </c>
      <c r="B1" s="139" t="s">
        <v>4819</v>
      </c>
      <c r="C1" s="139" t="s">
        <v>4820</v>
      </c>
      <c r="D1" s="139" t="s">
        <v>4821</v>
      </c>
      <c r="E1" s="140" t="s">
        <v>4822</v>
      </c>
      <c r="F1" s="141" t="s">
        <v>4823</v>
      </c>
      <c r="G1" s="141" t="s">
        <v>4824</v>
      </c>
      <c r="H1" s="141" t="s">
        <v>4825</v>
      </c>
      <c r="I1" s="141" t="s">
        <v>4826</v>
      </c>
      <c r="J1" s="141" t="s">
        <v>4827</v>
      </c>
      <c r="K1" s="141" t="s">
        <v>4828</v>
      </c>
      <c r="L1" s="141"/>
      <c r="M1" s="141" t="s">
        <v>4829</v>
      </c>
      <c r="N1" s="141" t="s">
        <v>4830</v>
      </c>
      <c r="O1" s="141" t="s">
        <v>4831</v>
      </c>
      <c r="P1" s="141" t="s">
        <v>4832</v>
      </c>
      <c r="Q1" s="141" t="s">
        <v>4833</v>
      </c>
      <c r="R1" s="142" t="s">
        <v>4834</v>
      </c>
    </row>
    <row r="2">
      <c r="A2" s="143" t="s">
        <v>4835</v>
      </c>
      <c r="B2" s="144" t="s">
        <v>4836</v>
      </c>
      <c r="C2" s="144" t="s">
        <v>4837</v>
      </c>
      <c r="D2" s="143" t="s">
        <v>4838</v>
      </c>
      <c r="E2" s="144" t="s">
        <v>4839</v>
      </c>
      <c r="F2" s="61" t="s">
        <v>31</v>
      </c>
      <c r="G2" s="145">
        <v>45869.0</v>
      </c>
      <c r="H2" s="61" t="s">
        <v>85</v>
      </c>
      <c r="I2" s="146" t="s">
        <v>4840</v>
      </c>
      <c r="J2" s="146" t="s">
        <v>85</v>
      </c>
      <c r="K2" s="61" t="s">
        <v>4841</v>
      </c>
      <c r="L2" s="147" t="str">
        <f t="shared" ref="L2:L5" si="1">IF(LOWER(TRIM(K2))="not yet", "Send Reminder", IF(LOWER(TRIM(K2))="yes", "Not needed", ""))
</f>
        <v>Send Reminder</v>
      </c>
      <c r="M2" s="148">
        <f>IFERROR(__xludf.DUMMYFUNCTION("IF(ISDATE(G2), G2 + 21, """")"),45890.0)</f>
        <v>45890</v>
      </c>
      <c r="O2" s="61" t="s">
        <v>47</v>
      </c>
      <c r="P2" s="145"/>
      <c r="Q2" s="148">
        <f t="shared" ref="Q2:Q52" si="2">IF(G2="", "", G2 + 49)</f>
        <v>45918</v>
      </c>
      <c r="R2" s="61" t="s">
        <v>4842</v>
      </c>
    </row>
    <row r="3">
      <c r="A3" s="143" t="s">
        <v>4843</v>
      </c>
      <c r="B3" s="144" t="s">
        <v>4844</v>
      </c>
      <c r="C3" s="144" t="s">
        <v>4845</v>
      </c>
      <c r="D3" s="143" t="s">
        <v>4846</v>
      </c>
      <c r="E3" s="144" t="s">
        <v>4839</v>
      </c>
      <c r="F3" s="61" t="s">
        <v>31</v>
      </c>
      <c r="G3" s="145">
        <v>45869.0</v>
      </c>
      <c r="H3" s="61" t="s">
        <v>85</v>
      </c>
      <c r="I3" s="149" t="s">
        <v>4847</v>
      </c>
      <c r="J3" s="146" t="s">
        <v>85</v>
      </c>
      <c r="K3" s="61" t="s">
        <v>4841</v>
      </c>
      <c r="L3" s="147" t="str">
        <f t="shared" si="1"/>
        <v>Send Reminder</v>
      </c>
      <c r="M3" s="148">
        <f>IFERROR(__xludf.DUMMYFUNCTION("IF(ISDATE(G3), G3 + 21, """")"),45890.0)</f>
        <v>45890</v>
      </c>
      <c r="O3" s="61" t="s">
        <v>47</v>
      </c>
      <c r="P3" s="148"/>
      <c r="Q3" s="148">
        <f t="shared" si="2"/>
        <v>45918</v>
      </c>
      <c r="R3" s="61" t="s">
        <v>4842</v>
      </c>
    </row>
    <row r="4">
      <c r="A4" s="143" t="s">
        <v>4848</v>
      </c>
      <c r="B4" s="144" t="s">
        <v>4849</v>
      </c>
      <c r="C4" s="144" t="s">
        <v>4850</v>
      </c>
      <c r="D4" s="143" t="s">
        <v>4851</v>
      </c>
      <c r="E4" s="144" t="s">
        <v>4839</v>
      </c>
      <c r="F4" s="61" t="s">
        <v>31</v>
      </c>
      <c r="G4" s="145">
        <v>45869.0</v>
      </c>
      <c r="H4" s="61" t="s">
        <v>4852</v>
      </c>
      <c r="I4" s="150"/>
      <c r="J4" s="146" t="s">
        <v>4853</v>
      </c>
      <c r="K4" s="61" t="s">
        <v>4841</v>
      </c>
      <c r="L4" s="147" t="str">
        <f t="shared" si="1"/>
        <v>Send Reminder</v>
      </c>
      <c r="M4" s="148">
        <f>IFERROR(__xludf.DUMMYFUNCTION("IF(ISDATE(G4), G4 + 21, """")"),45890.0)</f>
        <v>45890</v>
      </c>
      <c r="O4" s="61" t="s">
        <v>47</v>
      </c>
      <c r="P4" s="148"/>
      <c r="Q4" s="148">
        <f t="shared" si="2"/>
        <v>45918</v>
      </c>
      <c r="R4" s="61" t="s">
        <v>4854</v>
      </c>
    </row>
    <row r="5">
      <c r="A5" s="143" t="s">
        <v>4855</v>
      </c>
      <c r="B5" s="143" t="s">
        <v>4856</v>
      </c>
      <c r="C5" s="143" t="s">
        <v>2965</v>
      </c>
      <c r="D5" s="143" t="s">
        <v>4857</v>
      </c>
      <c r="E5" s="144" t="s">
        <v>4839</v>
      </c>
      <c r="F5" s="61" t="s">
        <v>31</v>
      </c>
      <c r="G5" s="145">
        <v>45869.0</v>
      </c>
      <c r="H5" s="61" t="s">
        <v>85</v>
      </c>
      <c r="I5" s="146" t="s">
        <v>4840</v>
      </c>
      <c r="J5" s="146" t="s">
        <v>85</v>
      </c>
      <c r="K5" s="61" t="s">
        <v>4841</v>
      </c>
      <c r="L5" s="147" t="str">
        <f t="shared" si="1"/>
        <v>Send Reminder</v>
      </c>
      <c r="M5" s="148">
        <f>IFERROR(__xludf.DUMMYFUNCTION("IF(ISDATE(G5), G5 + 21, """")"),45890.0)</f>
        <v>45890</v>
      </c>
      <c r="O5" s="77"/>
      <c r="P5" s="148"/>
      <c r="Q5" s="148">
        <f t="shared" si="2"/>
        <v>45918</v>
      </c>
      <c r="R5" s="61"/>
    </row>
    <row r="6">
      <c r="A6" s="143" t="s">
        <v>4858</v>
      </c>
      <c r="B6" s="144" t="s">
        <v>4859</v>
      </c>
      <c r="C6" s="144" t="s">
        <v>4860</v>
      </c>
      <c r="D6" s="143" t="s">
        <v>4861</v>
      </c>
      <c r="E6" s="144" t="s">
        <v>376</v>
      </c>
      <c r="F6" s="61" t="s">
        <v>282</v>
      </c>
      <c r="G6" s="145">
        <v>45874.0</v>
      </c>
      <c r="H6" s="61" t="s">
        <v>85</v>
      </c>
      <c r="I6" s="150"/>
      <c r="J6" s="146" t="s">
        <v>4853</v>
      </c>
      <c r="K6" s="61" t="s">
        <v>85</v>
      </c>
      <c r="L6" s="147"/>
      <c r="M6" s="148">
        <f>IFERROR(__xludf.DUMMYFUNCTION("IF(ISDATE(G6), G6 + 21, """")"),45895.0)</f>
        <v>45895</v>
      </c>
      <c r="O6" s="77"/>
      <c r="P6" s="148"/>
      <c r="Q6" s="148">
        <f t="shared" si="2"/>
        <v>45923</v>
      </c>
      <c r="R6" s="61" t="s">
        <v>4862</v>
      </c>
    </row>
    <row r="7">
      <c r="A7" s="143" t="s">
        <v>4863</v>
      </c>
      <c r="B7" s="144" t="s">
        <v>2510</v>
      </c>
      <c r="C7" s="144" t="s">
        <v>4864</v>
      </c>
      <c r="D7" s="143" t="s">
        <v>4865</v>
      </c>
      <c r="E7" s="144" t="s">
        <v>4839</v>
      </c>
      <c r="F7" s="61" t="s">
        <v>4305</v>
      </c>
      <c r="G7" s="145">
        <v>45881.0</v>
      </c>
      <c r="H7" s="61" t="s">
        <v>85</v>
      </c>
      <c r="I7" s="146" t="s">
        <v>4866</v>
      </c>
      <c r="J7" s="146" t="s">
        <v>85</v>
      </c>
      <c r="K7" s="61" t="s">
        <v>4841</v>
      </c>
      <c r="L7" s="147" t="str">
        <f t="shared" ref="L7:L23" si="3">IF(LOWER(TRIM(K7))="not yet", "Send Reminder", IF(LOWER(TRIM(K7))="yes", "Not needed", ""))
</f>
        <v>Send Reminder</v>
      </c>
      <c r="M7" s="148">
        <f>IFERROR(__xludf.DUMMYFUNCTION("IF(ISDATE(G7), G7 + 21, """")"),45902.0)</f>
        <v>45902</v>
      </c>
      <c r="O7" s="77"/>
      <c r="P7" s="148"/>
      <c r="Q7" s="148">
        <f t="shared" si="2"/>
        <v>45930</v>
      </c>
      <c r="R7" s="61"/>
    </row>
    <row r="8">
      <c r="A8" s="143" t="s">
        <v>4867</v>
      </c>
      <c r="B8" s="144" t="s">
        <v>4868</v>
      </c>
      <c r="C8" s="144" t="s">
        <v>4869</v>
      </c>
      <c r="D8" s="151"/>
      <c r="E8" s="152"/>
      <c r="G8" s="145">
        <v>45947.0</v>
      </c>
      <c r="H8" s="61" t="s">
        <v>85</v>
      </c>
      <c r="I8" s="150"/>
      <c r="J8" s="146" t="s">
        <v>85</v>
      </c>
      <c r="K8" s="61" t="s">
        <v>4841</v>
      </c>
      <c r="L8" s="147" t="str">
        <f t="shared" si="3"/>
        <v>Send Reminder</v>
      </c>
      <c r="M8" s="148">
        <f>IFERROR(__xludf.DUMMYFUNCTION("IF(ISDATE(G8), G8 + 21, """")"),45968.0)</f>
        <v>45968</v>
      </c>
      <c r="O8" s="61" t="s">
        <v>4870</v>
      </c>
      <c r="P8" s="148"/>
      <c r="Q8" s="148">
        <f t="shared" si="2"/>
        <v>45996</v>
      </c>
      <c r="R8" s="61" t="s">
        <v>4871</v>
      </c>
    </row>
    <row r="9">
      <c r="A9" s="143" t="s">
        <v>4872</v>
      </c>
      <c r="B9" s="144" t="s">
        <v>4873</v>
      </c>
      <c r="C9" s="144" t="s">
        <v>2875</v>
      </c>
      <c r="D9" s="143" t="s">
        <v>4874</v>
      </c>
      <c r="E9" s="144" t="s">
        <v>4839</v>
      </c>
      <c r="F9" s="61" t="s">
        <v>4305</v>
      </c>
      <c r="G9" s="145">
        <v>45904.0</v>
      </c>
      <c r="H9" s="61" t="s">
        <v>85</v>
      </c>
      <c r="I9" s="146" t="s">
        <v>4875</v>
      </c>
      <c r="J9" s="146" t="s">
        <v>85</v>
      </c>
      <c r="K9" s="61" t="s">
        <v>4841</v>
      </c>
      <c r="L9" s="147" t="str">
        <f t="shared" si="3"/>
        <v>Send Reminder</v>
      </c>
      <c r="M9" s="148">
        <f>IFERROR(__xludf.DUMMYFUNCTION("IF(ISDATE(G9), G9 + 21, """")"),45925.0)</f>
        <v>45925</v>
      </c>
      <c r="O9" s="77"/>
      <c r="P9" s="148"/>
      <c r="Q9" s="148">
        <f t="shared" si="2"/>
        <v>45953</v>
      </c>
      <c r="R9" s="61" t="s">
        <v>4876</v>
      </c>
    </row>
    <row r="10">
      <c r="A10" s="143" t="s">
        <v>4877</v>
      </c>
      <c r="B10" s="144" t="s">
        <v>4878</v>
      </c>
      <c r="C10" s="144" t="s">
        <v>4879</v>
      </c>
      <c r="D10" s="143" t="s">
        <v>4880</v>
      </c>
      <c r="E10" s="144" t="s">
        <v>4839</v>
      </c>
      <c r="F10" s="61" t="s">
        <v>282</v>
      </c>
      <c r="G10" s="145">
        <v>45874.0</v>
      </c>
      <c r="H10" s="61" t="s">
        <v>85</v>
      </c>
      <c r="I10" s="146" t="s">
        <v>4881</v>
      </c>
      <c r="J10" s="146" t="s">
        <v>85</v>
      </c>
      <c r="K10" s="61" t="s">
        <v>4841</v>
      </c>
      <c r="L10" s="147" t="str">
        <f t="shared" si="3"/>
        <v>Send Reminder</v>
      </c>
      <c r="M10" s="148">
        <f>IFERROR(__xludf.DUMMYFUNCTION("IF(ISDATE(G10), G10 + 21, """")"),45895.0)</f>
        <v>45895</v>
      </c>
      <c r="O10" s="77"/>
      <c r="P10" s="148"/>
      <c r="Q10" s="148">
        <f t="shared" si="2"/>
        <v>45923</v>
      </c>
      <c r="R10" s="61"/>
    </row>
    <row r="11">
      <c r="A11" s="153" t="s">
        <v>4882</v>
      </c>
      <c r="B11" s="143" t="s">
        <v>4883</v>
      </c>
      <c r="C11" s="153" t="s">
        <v>4884</v>
      </c>
      <c r="D11" s="143" t="s">
        <v>4885</v>
      </c>
      <c r="E11" s="144" t="s">
        <v>4839</v>
      </c>
      <c r="G11" s="148"/>
      <c r="H11" s="77"/>
      <c r="I11" s="150"/>
      <c r="J11" s="146" t="s">
        <v>85</v>
      </c>
      <c r="K11" s="61" t="s">
        <v>4841</v>
      </c>
      <c r="L11" s="147" t="str">
        <f t="shared" si="3"/>
        <v>Send Reminder</v>
      </c>
      <c r="M11" s="77" t="str">
        <f>IFERROR(__xludf.DUMMYFUNCTION("IF(ISDATE(G11), G11 + 21, """")"),"")</f>
        <v/>
      </c>
      <c r="O11" s="77"/>
      <c r="P11" s="148"/>
      <c r="Q11" s="77" t="str">
        <f t="shared" si="2"/>
        <v/>
      </c>
      <c r="R11" s="61"/>
    </row>
    <row r="12">
      <c r="A12" s="153" t="s">
        <v>4886</v>
      </c>
      <c r="B12" s="153" t="s">
        <v>2012</v>
      </c>
      <c r="C12" s="154" t="s">
        <v>2013</v>
      </c>
      <c r="D12" s="143" t="s">
        <v>4887</v>
      </c>
      <c r="E12" s="144" t="s">
        <v>1689</v>
      </c>
      <c r="F12" s="61" t="s">
        <v>4888</v>
      </c>
      <c r="G12" s="145">
        <v>45894.0</v>
      </c>
      <c r="H12" s="61" t="s">
        <v>85</v>
      </c>
      <c r="I12" s="150"/>
      <c r="J12" s="146" t="s">
        <v>4853</v>
      </c>
      <c r="K12" s="61" t="s">
        <v>85</v>
      </c>
      <c r="L12" s="147" t="str">
        <f t="shared" si="3"/>
        <v>Not needed</v>
      </c>
      <c r="M12" s="148">
        <f>IFERROR(__xludf.DUMMYFUNCTION("IF(ISDATE(G12), G12 + 21, """")"),45915.0)</f>
        <v>45915</v>
      </c>
      <c r="O12" s="77"/>
      <c r="P12" s="148"/>
      <c r="Q12" s="148">
        <f t="shared" si="2"/>
        <v>45943</v>
      </c>
      <c r="R12" s="61" t="s">
        <v>4862</v>
      </c>
    </row>
    <row r="13">
      <c r="A13" s="143" t="s">
        <v>4889</v>
      </c>
      <c r="B13" s="151" t="s">
        <v>411</v>
      </c>
      <c r="C13" s="151" t="s">
        <v>4890</v>
      </c>
      <c r="D13" s="151"/>
      <c r="E13" s="152"/>
      <c r="G13" s="148"/>
      <c r="H13" s="77"/>
      <c r="I13" s="150"/>
      <c r="J13" s="146" t="s">
        <v>85</v>
      </c>
      <c r="K13" s="61" t="s">
        <v>4841</v>
      </c>
      <c r="L13" s="147" t="str">
        <f t="shared" si="3"/>
        <v>Send Reminder</v>
      </c>
      <c r="M13" s="77" t="str">
        <f>IFERROR(__xludf.DUMMYFUNCTION("IF(ISDATE(G13), G13 + 21, """")"),"")</f>
        <v/>
      </c>
      <c r="O13" s="77"/>
      <c r="P13" s="148"/>
      <c r="Q13" s="77" t="str">
        <f t="shared" si="2"/>
        <v/>
      </c>
      <c r="R13" s="61"/>
    </row>
    <row r="14">
      <c r="A14" s="143" t="s">
        <v>3361</v>
      </c>
      <c r="B14" s="151" t="s">
        <v>2295</v>
      </c>
      <c r="C14" s="151" t="s">
        <v>709</v>
      </c>
      <c r="D14" s="151"/>
      <c r="E14" s="152"/>
      <c r="G14" s="148"/>
      <c r="H14" s="77"/>
      <c r="I14" s="150"/>
      <c r="J14" s="146" t="s">
        <v>85</v>
      </c>
      <c r="K14" s="61" t="s">
        <v>4841</v>
      </c>
      <c r="L14" s="147" t="str">
        <f t="shared" si="3"/>
        <v>Send Reminder</v>
      </c>
      <c r="M14" s="77" t="str">
        <f>IFERROR(__xludf.DUMMYFUNCTION("IF(ISDATE(G14), G14 + 21, """")"),"")</f>
        <v/>
      </c>
      <c r="O14" s="77"/>
      <c r="P14" s="148"/>
      <c r="Q14" s="77" t="str">
        <f t="shared" si="2"/>
        <v/>
      </c>
      <c r="R14" s="61"/>
    </row>
    <row r="15">
      <c r="A15" s="153" t="s">
        <v>4891</v>
      </c>
      <c r="B15" s="144" t="s">
        <v>4892</v>
      </c>
      <c r="C15" s="152" t="s">
        <v>3368</v>
      </c>
      <c r="D15" s="155">
        <v>2.27238982E9</v>
      </c>
      <c r="E15" s="144" t="s">
        <v>4893</v>
      </c>
      <c r="F15" s="61" t="s">
        <v>282</v>
      </c>
      <c r="G15" s="145">
        <v>45925.0</v>
      </c>
      <c r="H15" s="61" t="s">
        <v>85</v>
      </c>
      <c r="I15" s="146" t="s">
        <v>4894</v>
      </c>
      <c r="J15" s="146" t="s">
        <v>85</v>
      </c>
      <c r="K15" s="61" t="s">
        <v>85</v>
      </c>
      <c r="L15" s="147" t="str">
        <f t="shared" si="3"/>
        <v>Not needed</v>
      </c>
      <c r="M15" s="148">
        <f>IFERROR(__xludf.DUMMYFUNCTION("IF(ISDATE(G15), G15 + 21, """")"),45946.0)</f>
        <v>45946</v>
      </c>
      <c r="O15" s="61" t="s">
        <v>4870</v>
      </c>
      <c r="P15" s="148"/>
      <c r="Q15" s="148">
        <f t="shared" si="2"/>
        <v>45974</v>
      </c>
      <c r="R15" s="61" t="s">
        <v>4862</v>
      </c>
    </row>
    <row r="16">
      <c r="A16" s="143" t="s">
        <v>4895</v>
      </c>
      <c r="B16" s="143" t="s">
        <v>4896</v>
      </c>
      <c r="C16" s="143" t="s">
        <v>4897</v>
      </c>
      <c r="D16" s="143" t="s">
        <v>4898</v>
      </c>
      <c r="E16" s="144" t="s">
        <v>4899</v>
      </c>
      <c r="G16" s="148"/>
      <c r="H16" s="77"/>
      <c r="I16" s="150"/>
      <c r="J16" s="146" t="s">
        <v>85</v>
      </c>
      <c r="K16" s="61" t="s">
        <v>4841</v>
      </c>
      <c r="L16" s="147" t="str">
        <f t="shared" si="3"/>
        <v>Send Reminder</v>
      </c>
      <c r="M16" s="77" t="str">
        <f>IFERROR(__xludf.DUMMYFUNCTION("IF(ISDATE(G16), G16 + 21, """")"),"")</f>
        <v/>
      </c>
      <c r="O16" s="77"/>
      <c r="P16" s="148"/>
      <c r="Q16" s="77" t="str">
        <f t="shared" si="2"/>
        <v/>
      </c>
      <c r="R16" s="61"/>
    </row>
    <row r="17">
      <c r="A17" s="143" t="s">
        <v>4900</v>
      </c>
      <c r="B17" s="144" t="s">
        <v>4901</v>
      </c>
      <c r="C17" s="144" t="s">
        <v>4902</v>
      </c>
      <c r="D17" s="143" t="s">
        <v>4903</v>
      </c>
      <c r="E17" s="144" t="s">
        <v>4904</v>
      </c>
      <c r="F17" s="61" t="s">
        <v>282</v>
      </c>
      <c r="G17" s="148"/>
      <c r="H17" s="61" t="s">
        <v>85</v>
      </c>
      <c r="I17" s="146" t="s">
        <v>4905</v>
      </c>
      <c r="J17" s="146" t="s">
        <v>4853</v>
      </c>
      <c r="K17" s="61" t="s">
        <v>85</v>
      </c>
      <c r="L17" s="147" t="str">
        <f t="shared" si="3"/>
        <v>Not needed</v>
      </c>
      <c r="M17" s="77" t="str">
        <f>IFERROR(__xludf.DUMMYFUNCTION("IF(ISDATE(G17), G17 + 21, """")"),"")</f>
        <v/>
      </c>
      <c r="O17" s="77"/>
      <c r="P17" s="148"/>
      <c r="Q17" s="77" t="str">
        <f t="shared" si="2"/>
        <v/>
      </c>
      <c r="R17" s="61" t="s">
        <v>4862</v>
      </c>
    </row>
    <row r="18">
      <c r="A18" s="143" t="s">
        <v>4906</v>
      </c>
      <c r="B18" s="143" t="s">
        <v>4907</v>
      </c>
      <c r="C18" s="143" t="s">
        <v>4908</v>
      </c>
      <c r="D18" s="143" t="s">
        <v>4909</v>
      </c>
      <c r="E18" s="144" t="s">
        <v>4899</v>
      </c>
      <c r="G18" s="148"/>
      <c r="H18" s="77"/>
      <c r="I18" s="150"/>
      <c r="J18" s="146" t="s">
        <v>85</v>
      </c>
      <c r="K18" s="61" t="s">
        <v>4841</v>
      </c>
      <c r="L18" s="147" t="str">
        <f t="shared" si="3"/>
        <v>Send Reminder</v>
      </c>
      <c r="M18" s="77" t="str">
        <f>IFERROR(__xludf.DUMMYFUNCTION("IF(ISDATE(G18), G18 + 21, """")"),"")</f>
        <v/>
      </c>
      <c r="O18" s="77"/>
      <c r="P18" s="148"/>
      <c r="Q18" s="77" t="str">
        <f t="shared" si="2"/>
        <v/>
      </c>
      <c r="R18" s="61"/>
    </row>
    <row r="19">
      <c r="A19" s="143" t="s">
        <v>4910</v>
      </c>
      <c r="B19" s="143" t="s">
        <v>4911</v>
      </c>
      <c r="C19" s="143" t="s">
        <v>610</v>
      </c>
      <c r="D19" s="143" t="s">
        <v>4912</v>
      </c>
      <c r="E19" s="144" t="s">
        <v>4899</v>
      </c>
      <c r="G19" s="148"/>
      <c r="H19" s="77"/>
      <c r="I19" s="150"/>
      <c r="J19" s="146" t="s">
        <v>85</v>
      </c>
      <c r="K19" s="61" t="s">
        <v>4841</v>
      </c>
      <c r="L19" s="147" t="str">
        <f t="shared" si="3"/>
        <v>Send Reminder</v>
      </c>
      <c r="M19" s="77" t="str">
        <f>IFERROR(__xludf.DUMMYFUNCTION("IF(ISDATE(G19), G19 + 21, """")"),"")</f>
        <v/>
      </c>
      <c r="O19" s="77"/>
      <c r="P19" s="148"/>
      <c r="Q19" s="77" t="str">
        <f t="shared" si="2"/>
        <v/>
      </c>
      <c r="R19" s="61"/>
    </row>
    <row r="20">
      <c r="A20" s="143" t="s">
        <v>4913</v>
      </c>
      <c r="B20" s="143" t="s">
        <v>4914</v>
      </c>
      <c r="C20" s="143" t="s">
        <v>4915</v>
      </c>
      <c r="D20" s="143" t="s">
        <v>4916</v>
      </c>
      <c r="E20" s="144" t="s">
        <v>4899</v>
      </c>
      <c r="G20" s="148"/>
      <c r="H20" s="77"/>
      <c r="I20" s="150"/>
      <c r="J20" s="146" t="s">
        <v>85</v>
      </c>
      <c r="K20" s="61" t="s">
        <v>4841</v>
      </c>
      <c r="L20" s="147" t="str">
        <f t="shared" si="3"/>
        <v>Send Reminder</v>
      </c>
      <c r="M20" s="77" t="str">
        <f>IFERROR(__xludf.DUMMYFUNCTION("IF(ISDATE(G20), G20 + 21, """")"),"")</f>
        <v/>
      </c>
      <c r="O20" s="77"/>
      <c r="P20" s="148"/>
      <c r="Q20" s="77" t="str">
        <f t="shared" si="2"/>
        <v/>
      </c>
      <c r="R20" s="61"/>
    </row>
    <row r="21">
      <c r="A21" s="151"/>
      <c r="B21" s="143" t="s">
        <v>4917</v>
      </c>
      <c r="C21" s="143" t="s">
        <v>610</v>
      </c>
      <c r="D21" s="143" t="s">
        <v>4918</v>
      </c>
      <c r="E21" s="144" t="s">
        <v>4899</v>
      </c>
      <c r="G21" s="148"/>
      <c r="H21" s="77"/>
      <c r="I21" s="150"/>
      <c r="J21" s="146"/>
      <c r="K21" s="61" t="s">
        <v>4841</v>
      </c>
      <c r="L21" s="147" t="str">
        <f t="shared" si="3"/>
        <v>Send Reminder</v>
      </c>
      <c r="M21" s="77" t="str">
        <f>IFERROR(__xludf.DUMMYFUNCTION("IF(ISDATE(G21), G21 + 21, """")"),"")</f>
        <v/>
      </c>
      <c r="O21" s="77"/>
      <c r="P21" s="148"/>
      <c r="Q21" s="77" t="str">
        <f t="shared" si="2"/>
        <v/>
      </c>
      <c r="R21" s="61"/>
    </row>
    <row r="22">
      <c r="A22" s="143" t="s">
        <v>4919</v>
      </c>
      <c r="B22" s="143" t="s">
        <v>4920</v>
      </c>
      <c r="C22" s="143" t="s">
        <v>4921</v>
      </c>
      <c r="D22" s="143" t="s">
        <v>4922</v>
      </c>
      <c r="E22" s="144" t="s">
        <v>4899</v>
      </c>
      <c r="G22" s="148"/>
      <c r="H22" s="77"/>
      <c r="I22" s="150"/>
      <c r="J22" s="146" t="s">
        <v>85</v>
      </c>
      <c r="K22" s="61" t="s">
        <v>4841</v>
      </c>
      <c r="L22" s="147" t="str">
        <f t="shared" si="3"/>
        <v>Send Reminder</v>
      </c>
      <c r="M22" s="77" t="str">
        <f>IFERROR(__xludf.DUMMYFUNCTION("IF(ISDATE(G22), G22 + 21, """")"),"")</f>
        <v/>
      </c>
      <c r="O22" s="77"/>
      <c r="P22" s="148"/>
      <c r="Q22" s="77" t="str">
        <f t="shared" si="2"/>
        <v/>
      </c>
      <c r="R22" s="61"/>
    </row>
    <row r="23">
      <c r="A23" s="143" t="s">
        <v>4923</v>
      </c>
      <c r="B23" s="143" t="s">
        <v>1643</v>
      </c>
      <c r="C23" s="143" t="s">
        <v>3052</v>
      </c>
      <c r="D23" s="143" t="s">
        <v>4924</v>
      </c>
      <c r="E23" s="144" t="s">
        <v>4899</v>
      </c>
      <c r="F23" s="61" t="s">
        <v>31</v>
      </c>
      <c r="G23" s="145">
        <v>45981.0</v>
      </c>
      <c r="H23" s="61" t="s">
        <v>85</v>
      </c>
      <c r="I23" s="146" t="s">
        <v>4925</v>
      </c>
      <c r="J23" s="146" t="s">
        <v>85</v>
      </c>
      <c r="K23" s="61" t="s">
        <v>4841</v>
      </c>
      <c r="L23" s="147" t="str">
        <f t="shared" si="3"/>
        <v>Send Reminder</v>
      </c>
      <c r="M23" s="148">
        <f>IFERROR(__xludf.DUMMYFUNCTION("IF(ISDATE(G23), G23 + 21, """")"),46002.0)</f>
        <v>46002</v>
      </c>
      <c r="O23" s="77"/>
      <c r="P23" s="148"/>
      <c r="Q23" s="148">
        <f t="shared" si="2"/>
        <v>46030</v>
      </c>
      <c r="R23" s="61" t="s">
        <v>4842</v>
      </c>
    </row>
    <row r="24">
      <c r="A24" s="143" t="s">
        <v>4926</v>
      </c>
      <c r="B24" s="144" t="s">
        <v>2875</v>
      </c>
      <c r="C24" s="144" t="s">
        <v>4927</v>
      </c>
      <c r="D24" s="143" t="s">
        <v>4928</v>
      </c>
      <c r="E24" s="144" t="s">
        <v>4929</v>
      </c>
      <c r="F24" s="61" t="s">
        <v>4930</v>
      </c>
      <c r="G24" s="145">
        <v>45888.0</v>
      </c>
      <c r="H24" s="61" t="s">
        <v>85</v>
      </c>
      <c r="I24" s="146" t="s">
        <v>4931</v>
      </c>
      <c r="J24" s="146" t="s">
        <v>4853</v>
      </c>
      <c r="K24" s="61" t="s">
        <v>4841</v>
      </c>
      <c r="L24" s="61" t="s">
        <v>85</v>
      </c>
      <c r="M24" s="148">
        <f>IFERROR(__xludf.DUMMYFUNCTION("IF(ISDATE(G24), G24 + 21, """")"),45909.0)</f>
        <v>45909</v>
      </c>
      <c r="O24" s="77"/>
      <c r="P24" s="148"/>
      <c r="Q24" s="148">
        <f t="shared" si="2"/>
        <v>45937</v>
      </c>
      <c r="R24" s="61" t="s">
        <v>4862</v>
      </c>
    </row>
    <row r="25">
      <c r="A25" s="143" t="s">
        <v>4932</v>
      </c>
      <c r="B25" s="143" t="s">
        <v>227</v>
      </c>
      <c r="C25" s="143" t="s">
        <v>4933</v>
      </c>
      <c r="D25" s="143" t="s">
        <v>4934</v>
      </c>
      <c r="E25" s="144" t="s">
        <v>4935</v>
      </c>
      <c r="F25" s="61" t="s">
        <v>282</v>
      </c>
      <c r="G25" s="148"/>
      <c r="H25" s="61" t="s">
        <v>85</v>
      </c>
      <c r="I25" s="146" t="s">
        <v>4936</v>
      </c>
      <c r="J25" s="146" t="s">
        <v>85</v>
      </c>
      <c r="K25" s="61" t="s">
        <v>4841</v>
      </c>
      <c r="L25" s="147" t="str">
        <f t="shared" ref="L25:L110" si="4">IF(LOWER(TRIM(K25))="not yet", "Send Reminder", IF(LOWER(TRIM(K25))="yes", "Not needed", ""))
</f>
        <v>Send Reminder</v>
      </c>
      <c r="M25" s="77" t="str">
        <f>IFERROR(__xludf.DUMMYFUNCTION("IF(ISDATE(G25), G25 + 21, """")"),"")</f>
        <v/>
      </c>
      <c r="O25" s="77"/>
      <c r="P25" s="148"/>
      <c r="Q25" s="77" t="str">
        <f t="shared" si="2"/>
        <v/>
      </c>
      <c r="R25" s="61"/>
    </row>
    <row r="26">
      <c r="A26" s="143" t="s">
        <v>4937</v>
      </c>
      <c r="B26" s="144" t="s">
        <v>1174</v>
      </c>
      <c r="C26" s="144" t="s">
        <v>1862</v>
      </c>
      <c r="D26" s="143" t="s">
        <v>4938</v>
      </c>
      <c r="E26" s="144" t="s">
        <v>4839</v>
      </c>
      <c r="F26" s="61" t="s">
        <v>4305</v>
      </c>
      <c r="G26" s="145">
        <v>45885.0</v>
      </c>
      <c r="H26" s="61" t="s">
        <v>85</v>
      </c>
      <c r="I26" s="146" t="s">
        <v>4939</v>
      </c>
      <c r="J26" s="146" t="s">
        <v>85</v>
      </c>
      <c r="K26" s="61" t="s">
        <v>4841</v>
      </c>
      <c r="L26" s="147" t="str">
        <f t="shared" si="4"/>
        <v>Send Reminder</v>
      </c>
      <c r="M26" s="148">
        <f>IFERROR(__xludf.DUMMYFUNCTION("IF(ISDATE(G26), G26 + 21, """")"),45906.0)</f>
        <v>45906</v>
      </c>
      <c r="O26" s="77"/>
      <c r="P26" s="148"/>
      <c r="Q26" s="148">
        <f t="shared" si="2"/>
        <v>45934</v>
      </c>
      <c r="R26" s="61"/>
    </row>
    <row r="27">
      <c r="A27" s="143" t="s">
        <v>4940</v>
      </c>
      <c r="B27" s="144" t="s">
        <v>4941</v>
      </c>
      <c r="C27" s="144" t="s">
        <v>610</v>
      </c>
      <c r="D27" s="143" t="s">
        <v>4942</v>
      </c>
      <c r="E27" s="144" t="s">
        <v>4839</v>
      </c>
      <c r="F27" s="61" t="s">
        <v>4305</v>
      </c>
      <c r="G27" s="145">
        <v>45885.0</v>
      </c>
      <c r="H27" s="61" t="s">
        <v>85</v>
      </c>
      <c r="I27" s="146" t="s">
        <v>4943</v>
      </c>
      <c r="J27" s="146" t="s">
        <v>85</v>
      </c>
      <c r="K27" s="61" t="s">
        <v>4841</v>
      </c>
      <c r="L27" s="147" t="str">
        <f t="shared" si="4"/>
        <v>Send Reminder</v>
      </c>
      <c r="M27" s="148">
        <f>IFERROR(__xludf.DUMMYFUNCTION("IF(ISDATE(G27), G27 + 21, """")"),45906.0)</f>
        <v>45906</v>
      </c>
      <c r="O27" s="77"/>
      <c r="P27" s="148"/>
      <c r="Q27" s="148">
        <f t="shared" si="2"/>
        <v>45934</v>
      </c>
      <c r="R27" s="61"/>
    </row>
    <row r="28">
      <c r="A28" s="143" t="s">
        <v>3953</v>
      </c>
      <c r="B28" s="144" t="s">
        <v>4944</v>
      </c>
      <c r="C28" s="144" t="s">
        <v>4945</v>
      </c>
      <c r="D28" s="143" t="s">
        <v>4946</v>
      </c>
      <c r="E28" s="144" t="s">
        <v>4839</v>
      </c>
      <c r="F28" s="61" t="s">
        <v>4305</v>
      </c>
      <c r="G28" s="145">
        <v>45885.0</v>
      </c>
      <c r="H28" s="61" t="s">
        <v>85</v>
      </c>
      <c r="I28" s="146" t="s">
        <v>4947</v>
      </c>
      <c r="J28" s="146" t="s">
        <v>85</v>
      </c>
      <c r="K28" s="61" t="s">
        <v>4841</v>
      </c>
      <c r="L28" s="147" t="str">
        <f t="shared" si="4"/>
        <v>Send Reminder</v>
      </c>
      <c r="M28" s="148">
        <f>IFERROR(__xludf.DUMMYFUNCTION("IF(ISDATE(G28), G28 + 21, """")"),45906.0)</f>
        <v>45906</v>
      </c>
      <c r="O28" s="77"/>
      <c r="P28" s="148"/>
      <c r="Q28" s="148">
        <f t="shared" si="2"/>
        <v>45934</v>
      </c>
      <c r="R28" s="61"/>
    </row>
    <row r="29">
      <c r="A29" s="143" t="s">
        <v>4948</v>
      </c>
      <c r="B29" s="144" t="s">
        <v>453</v>
      </c>
      <c r="C29" s="144" t="s">
        <v>127</v>
      </c>
      <c r="D29" s="143" t="s">
        <v>4949</v>
      </c>
      <c r="E29" s="144" t="s">
        <v>4839</v>
      </c>
      <c r="F29" s="61" t="s">
        <v>4305</v>
      </c>
      <c r="G29" s="156">
        <v>45885.0</v>
      </c>
      <c r="H29" s="61" t="s">
        <v>85</v>
      </c>
      <c r="I29" s="146" t="s">
        <v>4950</v>
      </c>
      <c r="J29" s="146" t="s">
        <v>85</v>
      </c>
      <c r="K29" s="61" t="s">
        <v>4841</v>
      </c>
      <c r="L29" s="147" t="str">
        <f t="shared" si="4"/>
        <v>Send Reminder</v>
      </c>
      <c r="M29" s="157">
        <f>IFERROR(__xludf.DUMMYFUNCTION("IF(ISDATE(G29), G29 + 21, """")"),45906.0)</f>
        <v>45906</v>
      </c>
      <c r="O29" s="77"/>
      <c r="P29" s="148"/>
      <c r="Q29" s="157">
        <f t="shared" si="2"/>
        <v>45934</v>
      </c>
      <c r="R29" s="61"/>
    </row>
    <row r="30">
      <c r="A30" s="143" t="s">
        <v>4951</v>
      </c>
      <c r="B30" s="144" t="s">
        <v>241</v>
      </c>
      <c r="C30" s="144" t="s">
        <v>4952</v>
      </c>
      <c r="D30" s="143" t="s">
        <v>4953</v>
      </c>
      <c r="E30" s="144" t="s">
        <v>4954</v>
      </c>
      <c r="F30" s="61" t="s">
        <v>4305</v>
      </c>
      <c r="G30" s="145">
        <v>45887.0</v>
      </c>
      <c r="H30" s="61" t="s">
        <v>85</v>
      </c>
      <c r="I30" s="146" t="s">
        <v>4955</v>
      </c>
      <c r="J30" s="146" t="s">
        <v>4853</v>
      </c>
      <c r="K30" s="61" t="s">
        <v>85</v>
      </c>
      <c r="L30" s="147" t="str">
        <f t="shared" si="4"/>
        <v>Not needed</v>
      </c>
      <c r="M30" s="148">
        <f>IFERROR(__xludf.DUMMYFUNCTION("IF(ISDATE(G30), G30 + 21, """")"),45908.0)</f>
        <v>45908</v>
      </c>
      <c r="O30" s="77"/>
      <c r="P30" s="148"/>
      <c r="Q30" s="148">
        <f t="shared" si="2"/>
        <v>45936</v>
      </c>
      <c r="R30" s="61" t="s">
        <v>4862</v>
      </c>
    </row>
    <row r="31">
      <c r="A31" s="143" t="s">
        <v>4956</v>
      </c>
      <c r="B31" s="144" t="s">
        <v>553</v>
      </c>
      <c r="C31" s="144" t="s">
        <v>4957</v>
      </c>
      <c r="D31" s="143" t="s">
        <v>4958</v>
      </c>
      <c r="E31" s="144" t="s">
        <v>4839</v>
      </c>
      <c r="F31" s="61" t="s">
        <v>4305</v>
      </c>
      <c r="G31" s="145">
        <v>45887.0</v>
      </c>
      <c r="H31" s="61" t="s">
        <v>85</v>
      </c>
      <c r="I31" s="149" t="s">
        <v>4959</v>
      </c>
      <c r="J31" s="146" t="s">
        <v>85</v>
      </c>
      <c r="K31" s="61" t="s">
        <v>4841</v>
      </c>
      <c r="L31" s="147" t="str">
        <f t="shared" si="4"/>
        <v>Send Reminder</v>
      </c>
      <c r="M31" s="148">
        <f>IFERROR(__xludf.DUMMYFUNCTION("IF(ISDATE(G31), G31 + 21, """")"),45908.0)</f>
        <v>45908</v>
      </c>
      <c r="O31" s="77"/>
      <c r="P31" s="148"/>
      <c r="Q31" s="148">
        <f t="shared" si="2"/>
        <v>45936</v>
      </c>
      <c r="R31" s="61"/>
    </row>
    <row r="32">
      <c r="A32" s="143" t="s">
        <v>4960</v>
      </c>
      <c r="B32" s="144" t="s">
        <v>4961</v>
      </c>
      <c r="C32" s="144" t="s">
        <v>4962</v>
      </c>
      <c r="D32" s="143" t="s">
        <v>4963</v>
      </c>
      <c r="E32" s="144" t="s">
        <v>4964</v>
      </c>
      <c r="F32" s="61" t="s">
        <v>4305</v>
      </c>
      <c r="G32" s="145">
        <v>45888.0</v>
      </c>
      <c r="H32" s="61" t="s">
        <v>85</v>
      </c>
      <c r="I32" s="146" t="s">
        <v>4965</v>
      </c>
      <c r="J32" s="146" t="s">
        <v>85</v>
      </c>
      <c r="K32" s="61" t="s">
        <v>4841</v>
      </c>
      <c r="L32" s="147" t="str">
        <f t="shared" si="4"/>
        <v>Send Reminder</v>
      </c>
      <c r="M32" s="148">
        <f>IFERROR(__xludf.DUMMYFUNCTION("IF(ISDATE(G32), G32 + 21, """")"),45909.0)</f>
        <v>45909</v>
      </c>
      <c r="O32" s="77"/>
      <c r="P32" s="148"/>
      <c r="Q32" s="148">
        <f t="shared" si="2"/>
        <v>45937</v>
      </c>
      <c r="R32" s="61"/>
    </row>
    <row r="33">
      <c r="A33" s="143" t="s">
        <v>4966</v>
      </c>
      <c r="B33" s="144" t="s">
        <v>4967</v>
      </c>
      <c r="C33" s="144" t="s">
        <v>4968</v>
      </c>
      <c r="D33" s="143" t="s">
        <v>4969</v>
      </c>
      <c r="E33" s="144" t="s">
        <v>4970</v>
      </c>
      <c r="F33" s="61" t="s">
        <v>4305</v>
      </c>
      <c r="G33" s="145">
        <v>45888.0</v>
      </c>
      <c r="H33" s="61" t="s">
        <v>4311</v>
      </c>
      <c r="I33" s="146" t="s">
        <v>4971</v>
      </c>
      <c r="J33" s="146" t="s">
        <v>85</v>
      </c>
      <c r="K33" s="77"/>
      <c r="L33" s="147" t="str">
        <f t="shared" si="4"/>
        <v/>
      </c>
      <c r="M33" s="148">
        <f>IFERROR(__xludf.DUMMYFUNCTION("IF(ISDATE(G33), G33 + 21, """")"),45909.0)</f>
        <v>45909</v>
      </c>
      <c r="O33" s="77"/>
      <c r="P33" s="148"/>
      <c r="Q33" s="148">
        <f t="shared" si="2"/>
        <v>45937</v>
      </c>
      <c r="R33" s="61"/>
    </row>
    <row r="34">
      <c r="A34" s="143" t="s">
        <v>4972</v>
      </c>
      <c r="B34" s="144" t="s">
        <v>4973</v>
      </c>
      <c r="C34" s="144" t="s">
        <v>4974</v>
      </c>
      <c r="D34" s="143" t="s">
        <v>4975</v>
      </c>
      <c r="E34" s="144" t="s">
        <v>4929</v>
      </c>
      <c r="F34" s="61" t="s">
        <v>282</v>
      </c>
      <c r="G34" s="145">
        <v>45889.0</v>
      </c>
      <c r="H34" s="61" t="s">
        <v>85</v>
      </c>
      <c r="I34" s="146" t="s">
        <v>4971</v>
      </c>
      <c r="J34" s="146" t="s">
        <v>85</v>
      </c>
      <c r="K34" s="61" t="s">
        <v>4841</v>
      </c>
      <c r="L34" s="147" t="str">
        <f t="shared" si="4"/>
        <v>Send Reminder</v>
      </c>
      <c r="M34" s="148">
        <f>IFERROR(__xludf.DUMMYFUNCTION("IF(ISDATE(G34), G34 + 21, """")"),45910.0)</f>
        <v>45910</v>
      </c>
      <c r="O34" s="61" t="s">
        <v>4870</v>
      </c>
      <c r="P34" s="148"/>
      <c r="Q34" s="148">
        <f t="shared" si="2"/>
        <v>45938</v>
      </c>
      <c r="R34" s="61"/>
    </row>
    <row r="35">
      <c r="A35" s="143" t="s">
        <v>4976</v>
      </c>
      <c r="B35" s="144" t="s">
        <v>1925</v>
      </c>
      <c r="C35" s="144" t="s">
        <v>4977</v>
      </c>
      <c r="D35" s="143" t="s">
        <v>4978</v>
      </c>
      <c r="E35" s="144" t="s">
        <v>4929</v>
      </c>
      <c r="F35" s="61" t="s">
        <v>282</v>
      </c>
      <c r="G35" s="145">
        <v>45890.0</v>
      </c>
      <c r="H35" s="61" t="s">
        <v>85</v>
      </c>
      <c r="I35" s="146" t="s">
        <v>4971</v>
      </c>
      <c r="J35" s="146" t="s">
        <v>85</v>
      </c>
      <c r="K35" s="61" t="s">
        <v>4841</v>
      </c>
      <c r="L35" s="147" t="str">
        <f t="shared" si="4"/>
        <v>Send Reminder</v>
      </c>
      <c r="M35" s="148">
        <f>IFERROR(__xludf.DUMMYFUNCTION("IF(ISDATE(G35), G35 + 21, """")"),45911.0)</f>
        <v>45911</v>
      </c>
      <c r="O35" s="77"/>
      <c r="P35" s="148"/>
      <c r="Q35" s="148">
        <f t="shared" si="2"/>
        <v>45939</v>
      </c>
      <c r="R35" s="61"/>
    </row>
    <row r="36">
      <c r="A36" s="143" t="s">
        <v>4979</v>
      </c>
      <c r="B36" s="144" t="s">
        <v>1274</v>
      </c>
      <c r="C36" s="144" t="s">
        <v>2358</v>
      </c>
      <c r="D36" s="143" t="s">
        <v>4980</v>
      </c>
      <c r="E36" s="144" t="s">
        <v>4929</v>
      </c>
      <c r="F36" s="61" t="s">
        <v>282</v>
      </c>
      <c r="G36" s="145">
        <v>45890.0</v>
      </c>
      <c r="H36" s="61" t="s">
        <v>85</v>
      </c>
      <c r="I36" s="146" t="s">
        <v>4971</v>
      </c>
      <c r="J36" s="146" t="s">
        <v>85</v>
      </c>
      <c r="K36" s="61" t="s">
        <v>4841</v>
      </c>
      <c r="L36" s="147" t="str">
        <f t="shared" si="4"/>
        <v>Send Reminder</v>
      </c>
      <c r="M36" s="148">
        <f>IFERROR(__xludf.DUMMYFUNCTION("IF(ISDATE(G36), G36 + 21, """")"),45911.0)</f>
        <v>45911</v>
      </c>
      <c r="O36" s="77"/>
      <c r="P36" s="148"/>
      <c r="Q36" s="148">
        <f t="shared" si="2"/>
        <v>45939</v>
      </c>
      <c r="R36" s="61"/>
    </row>
    <row r="37">
      <c r="A37" s="143" t="s">
        <v>674</v>
      </c>
      <c r="B37" s="144" t="s">
        <v>4981</v>
      </c>
      <c r="C37" s="144" t="s">
        <v>241</v>
      </c>
      <c r="D37" s="143">
        <v>2.024557268E9</v>
      </c>
      <c r="E37" s="144" t="s">
        <v>4929</v>
      </c>
      <c r="F37" s="61" t="s">
        <v>282</v>
      </c>
      <c r="G37" s="145">
        <v>45891.0</v>
      </c>
      <c r="H37" s="61" t="s">
        <v>85</v>
      </c>
      <c r="I37" s="146" t="s">
        <v>4971</v>
      </c>
      <c r="J37" s="146" t="s">
        <v>85</v>
      </c>
      <c r="K37" s="61" t="s">
        <v>4841</v>
      </c>
      <c r="L37" s="147" t="str">
        <f t="shared" si="4"/>
        <v>Send Reminder</v>
      </c>
      <c r="M37" s="148">
        <f>IFERROR(__xludf.DUMMYFUNCTION("IF(ISDATE(G37), G37 + 21, """")"),45912.0)</f>
        <v>45912</v>
      </c>
      <c r="O37" s="77"/>
      <c r="P37" s="148"/>
      <c r="Q37" s="148">
        <f t="shared" si="2"/>
        <v>45940</v>
      </c>
      <c r="R37" s="61"/>
    </row>
    <row r="38">
      <c r="A38" s="143" t="s">
        <v>4982</v>
      </c>
      <c r="B38" s="144" t="s">
        <v>2901</v>
      </c>
      <c r="C38" s="144" t="s">
        <v>610</v>
      </c>
      <c r="D38" s="143" t="s">
        <v>4983</v>
      </c>
      <c r="E38" s="144" t="s">
        <v>4929</v>
      </c>
      <c r="F38" s="61" t="s">
        <v>4305</v>
      </c>
      <c r="G38" s="145">
        <v>45892.0</v>
      </c>
      <c r="H38" s="61" t="s">
        <v>85</v>
      </c>
      <c r="I38" s="146" t="s">
        <v>4984</v>
      </c>
      <c r="J38" s="146" t="s">
        <v>85</v>
      </c>
      <c r="K38" s="61" t="s">
        <v>4841</v>
      </c>
      <c r="L38" s="147" t="str">
        <f t="shared" si="4"/>
        <v>Send Reminder</v>
      </c>
      <c r="M38" s="148">
        <f>IFERROR(__xludf.DUMMYFUNCTION("IF(ISDATE(G38), G38 + 21, """")"),45913.0)</f>
        <v>45913</v>
      </c>
      <c r="O38" s="77"/>
      <c r="P38" s="148"/>
      <c r="Q38" s="148">
        <f t="shared" si="2"/>
        <v>45941</v>
      </c>
      <c r="R38" s="61" t="s">
        <v>4871</v>
      </c>
    </row>
    <row r="39">
      <c r="A39" s="143" t="s">
        <v>4985</v>
      </c>
      <c r="B39" s="144" t="s">
        <v>4986</v>
      </c>
      <c r="C39" s="144" t="s">
        <v>4987</v>
      </c>
      <c r="D39" s="143" t="s">
        <v>4988</v>
      </c>
      <c r="E39" s="144" t="s">
        <v>4929</v>
      </c>
      <c r="F39" s="61" t="s">
        <v>4305</v>
      </c>
      <c r="G39" s="145">
        <v>45892.0</v>
      </c>
      <c r="H39" s="61" t="s">
        <v>85</v>
      </c>
      <c r="I39" s="146" t="s">
        <v>4989</v>
      </c>
      <c r="J39" s="146" t="s">
        <v>85</v>
      </c>
      <c r="K39" s="61" t="s">
        <v>4841</v>
      </c>
      <c r="L39" s="147" t="str">
        <f t="shared" si="4"/>
        <v>Send Reminder</v>
      </c>
      <c r="M39" s="148">
        <f>IFERROR(__xludf.DUMMYFUNCTION("IF(ISDATE(G39), G39 + 21, """")"),45913.0)</f>
        <v>45913</v>
      </c>
      <c r="O39" s="77"/>
      <c r="P39" s="148"/>
      <c r="Q39" s="148">
        <f t="shared" si="2"/>
        <v>45941</v>
      </c>
      <c r="R39" s="61"/>
    </row>
    <row r="40">
      <c r="A40" s="143" t="s">
        <v>4990</v>
      </c>
      <c r="B40" s="144" t="s">
        <v>4991</v>
      </c>
      <c r="C40" s="144" t="s">
        <v>1472</v>
      </c>
      <c r="D40" s="143" t="s">
        <v>4992</v>
      </c>
      <c r="E40" s="144" t="s">
        <v>4993</v>
      </c>
      <c r="F40" s="61" t="s">
        <v>4305</v>
      </c>
      <c r="G40" s="145">
        <v>45894.0</v>
      </c>
      <c r="H40" s="61" t="s">
        <v>4311</v>
      </c>
      <c r="I40" s="146" t="s">
        <v>4994</v>
      </c>
      <c r="J40" s="146" t="s">
        <v>4853</v>
      </c>
      <c r="K40" s="61" t="s">
        <v>85</v>
      </c>
      <c r="L40" s="147" t="str">
        <f t="shared" si="4"/>
        <v>Not needed</v>
      </c>
      <c r="M40" s="148">
        <f>IFERROR(__xludf.DUMMYFUNCTION("IF(ISDATE(G40), G40 + 21, """")"),45915.0)</f>
        <v>45915</v>
      </c>
      <c r="O40" s="77"/>
      <c r="P40" s="148"/>
      <c r="Q40" s="148">
        <f t="shared" si="2"/>
        <v>45943</v>
      </c>
      <c r="R40" s="61" t="s">
        <v>4862</v>
      </c>
    </row>
    <row r="41">
      <c r="A41" s="143" t="s">
        <v>4995</v>
      </c>
      <c r="B41" s="144" t="s">
        <v>4996</v>
      </c>
      <c r="C41" s="144" t="s">
        <v>537</v>
      </c>
      <c r="D41" s="143" t="s">
        <v>4997</v>
      </c>
      <c r="E41" s="144" t="s">
        <v>4929</v>
      </c>
      <c r="F41" s="61" t="s">
        <v>4305</v>
      </c>
      <c r="G41" s="145">
        <v>45894.0</v>
      </c>
      <c r="H41" s="61" t="s">
        <v>85</v>
      </c>
      <c r="I41" s="146" t="s">
        <v>4998</v>
      </c>
      <c r="J41" s="146" t="s">
        <v>85</v>
      </c>
      <c r="K41" s="61" t="s">
        <v>4841</v>
      </c>
      <c r="L41" s="147" t="str">
        <f t="shared" si="4"/>
        <v>Send Reminder</v>
      </c>
      <c r="M41" s="148">
        <f>IFERROR(__xludf.DUMMYFUNCTION("IF(ISDATE(G41), G41 + 21, """")"),45915.0)</f>
        <v>45915</v>
      </c>
      <c r="O41" s="77"/>
      <c r="P41" s="148"/>
      <c r="Q41" s="148">
        <f t="shared" si="2"/>
        <v>45943</v>
      </c>
      <c r="R41" s="61"/>
    </row>
    <row r="42">
      <c r="A42" s="143" t="s">
        <v>4999</v>
      </c>
      <c r="B42" s="144" t="s">
        <v>5000</v>
      </c>
      <c r="C42" s="144" t="s">
        <v>5001</v>
      </c>
      <c r="D42" s="143" t="s">
        <v>5002</v>
      </c>
      <c r="E42" s="144" t="s">
        <v>4929</v>
      </c>
      <c r="F42" s="61" t="s">
        <v>5003</v>
      </c>
      <c r="G42" s="145">
        <v>45894.0</v>
      </c>
      <c r="H42" s="61" t="s">
        <v>85</v>
      </c>
      <c r="I42" s="146" t="s">
        <v>5004</v>
      </c>
      <c r="J42" s="146" t="s">
        <v>85</v>
      </c>
      <c r="K42" s="61" t="s">
        <v>4841</v>
      </c>
      <c r="L42" s="147" t="str">
        <f t="shared" si="4"/>
        <v>Send Reminder</v>
      </c>
      <c r="M42" s="148">
        <f>IFERROR(__xludf.DUMMYFUNCTION("IF(ISDATE(G42), G42 + 21, """")"),45915.0)</f>
        <v>45915</v>
      </c>
      <c r="O42" s="77"/>
      <c r="P42" s="148"/>
      <c r="Q42" s="148">
        <f t="shared" si="2"/>
        <v>45943</v>
      </c>
      <c r="R42" s="61"/>
    </row>
    <row r="43">
      <c r="A43" s="143" t="s">
        <v>5005</v>
      </c>
      <c r="B43" s="144" t="s">
        <v>368</v>
      </c>
      <c r="C43" s="144" t="s">
        <v>5006</v>
      </c>
      <c r="D43" s="143" t="s">
        <v>5007</v>
      </c>
      <c r="E43" s="144" t="s">
        <v>5008</v>
      </c>
      <c r="F43" s="61" t="s">
        <v>4305</v>
      </c>
      <c r="G43" s="145">
        <v>45894.0</v>
      </c>
      <c r="H43" s="61" t="s">
        <v>85</v>
      </c>
      <c r="I43" s="146" t="s">
        <v>5009</v>
      </c>
      <c r="J43" s="146" t="s">
        <v>85</v>
      </c>
      <c r="K43" s="61" t="s">
        <v>4841</v>
      </c>
      <c r="L43" s="147" t="str">
        <f t="shared" si="4"/>
        <v>Send Reminder</v>
      </c>
      <c r="M43" s="148">
        <f>IFERROR(__xludf.DUMMYFUNCTION("IF(ISDATE(G43), G43 + 21, """")"),45915.0)</f>
        <v>45915</v>
      </c>
      <c r="O43" s="77"/>
      <c r="P43" s="148"/>
      <c r="Q43" s="148">
        <f t="shared" si="2"/>
        <v>45943</v>
      </c>
      <c r="R43" s="61"/>
    </row>
    <row r="44">
      <c r="A44" s="143" t="s">
        <v>5010</v>
      </c>
      <c r="B44" s="144" t="s">
        <v>5011</v>
      </c>
      <c r="C44" s="144" t="s">
        <v>5012</v>
      </c>
      <c r="D44" s="143" t="s">
        <v>5013</v>
      </c>
      <c r="E44" s="144" t="s">
        <v>4929</v>
      </c>
      <c r="F44" s="61" t="s">
        <v>4305</v>
      </c>
      <c r="G44" s="145">
        <v>45894.0</v>
      </c>
      <c r="H44" s="61" t="s">
        <v>85</v>
      </c>
      <c r="I44" s="146" t="s">
        <v>4989</v>
      </c>
      <c r="J44" s="146" t="s">
        <v>85</v>
      </c>
      <c r="K44" s="61" t="s">
        <v>4841</v>
      </c>
      <c r="L44" s="147" t="str">
        <f t="shared" si="4"/>
        <v>Send Reminder</v>
      </c>
      <c r="M44" s="148">
        <f>IFERROR(__xludf.DUMMYFUNCTION("IF(ISDATE(G44), G44 + 21, """")"),45915.0)</f>
        <v>45915</v>
      </c>
      <c r="O44" s="77"/>
      <c r="P44" s="148"/>
      <c r="Q44" s="148">
        <f t="shared" si="2"/>
        <v>45943</v>
      </c>
      <c r="R44" s="61"/>
    </row>
    <row r="45">
      <c r="A45" s="143" t="s">
        <v>78</v>
      </c>
      <c r="B45" s="144" t="s">
        <v>5014</v>
      </c>
      <c r="C45" s="144" t="s">
        <v>4921</v>
      </c>
      <c r="D45" s="143" t="s">
        <v>5015</v>
      </c>
      <c r="E45" s="144" t="s">
        <v>4929</v>
      </c>
      <c r="F45" s="61" t="s">
        <v>4305</v>
      </c>
      <c r="G45" s="145">
        <v>45895.0</v>
      </c>
      <c r="H45" s="61" t="s">
        <v>85</v>
      </c>
      <c r="I45" s="146" t="s">
        <v>5016</v>
      </c>
      <c r="J45" s="146" t="s">
        <v>85</v>
      </c>
      <c r="K45" s="61" t="s">
        <v>4841</v>
      </c>
      <c r="L45" s="147" t="str">
        <f t="shared" si="4"/>
        <v>Send Reminder</v>
      </c>
      <c r="M45" s="148">
        <f>IFERROR(__xludf.DUMMYFUNCTION("IF(ISDATE(G45), G45 + 21, """")"),45916.0)</f>
        <v>45916</v>
      </c>
      <c r="O45" s="77"/>
      <c r="P45" s="148"/>
      <c r="Q45" s="148">
        <f t="shared" si="2"/>
        <v>45944</v>
      </c>
      <c r="R45" s="61"/>
    </row>
    <row r="46">
      <c r="A46" s="143" t="s">
        <v>5017</v>
      </c>
      <c r="B46" s="144" t="s">
        <v>5018</v>
      </c>
      <c r="C46" s="144" t="s">
        <v>1806</v>
      </c>
      <c r="D46" s="143" t="s">
        <v>5019</v>
      </c>
      <c r="E46" s="144" t="s">
        <v>4929</v>
      </c>
      <c r="F46" s="61" t="s">
        <v>4305</v>
      </c>
      <c r="G46" s="145">
        <v>45895.0</v>
      </c>
      <c r="H46" s="61" t="s">
        <v>85</v>
      </c>
      <c r="I46" s="146" t="s">
        <v>5020</v>
      </c>
      <c r="J46" s="146" t="s">
        <v>4853</v>
      </c>
      <c r="K46" s="61" t="s">
        <v>85</v>
      </c>
      <c r="L46" s="147" t="str">
        <f t="shared" si="4"/>
        <v>Not needed</v>
      </c>
      <c r="M46" s="148">
        <f>IFERROR(__xludf.DUMMYFUNCTION("IF(ISDATE(G46), G46 + 21, """")"),45916.0)</f>
        <v>45916</v>
      </c>
      <c r="O46" s="77"/>
      <c r="P46" s="148"/>
      <c r="Q46" s="148">
        <f t="shared" si="2"/>
        <v>45944</v>
      </c>
      <c r="R46" s="61" t="s">
        <v>4862</v>
      </c>
    </row>
    <row r="47">
      <c r="A47" s="143" t="s">
        <v>5021</v>
      </c>
      <c r="B47" s="144" t="s">
        <v>5022</v>
      </c>
      <c r="C47" s="144" t="s">
        <v>5023</v>
      </c>
      <c r="D47" s="143" t="s">
        <v>5024</v>
      </c>
      <c r="E47" s="144" t="s">
        <v>4929</v>
      </c>
      <c r="F47" s="61" t="s">
        <v>5003</v>
      </c>
      <c r="G47" s="145">
        <v>45895.0</v>
      </c>
      <c r="H47" s="61" t="s">
        <v>85</v>
      </c>
      <c r="I47" s="146" t="s">
        <v>5025</v>
      </c>
      <c r="J47" s="146" t="s">
        <v>85</v>
      </c>
      <c r="K47" s="61" t="s">
        <v>4841</v>
      </c>
      <c r="L47" s="147" t="str">
        <f t="shared" si="4"/>
        <v>Send Reminder</v>
      </c>
      <c r="M47" s="148">
        <f>IFERROR(__xludf.DUMMYFUNCTION("IF(ISDATE(G47), G47 + 21, """")"),45916.0)</f>
        <v>45916</v>
      </c>
      <c r="O47" s="77"/>
      <c r="P47" s="148"/>
      <c r="Q47" s="148">
        <f t="shared" si="2"/>
        <v>45944</v>
      </c>
      <c r="R47" s="61"/>
    </row>
    <row r="48">
      <c r="A48" s="153" t="s">
        <v>5026</v>
      </c>
      <c r="B48" s="144" t="s">
        <v>5027</v>
      </c>
      <c r="C48" s="144" t="s">
        <v>5028</v>
      </c>
      <c r="D48" s="143" t="s">
        <v>5029</v>
      </c>
      <c r="E48" s="144" t="s">
        <v>4929</v>
      </c>
      <c r="F48" s="61" t="s">
        <v>4305</v>
      </c>
      <c r="G48" s="145">
        <v>45895.0</v>
      </c>
      <c r="H48" s="61" t="s">
        <v>85</v>
      </c>
      <c r="I48" s="146" t="s">
        <v>4943</v>
      </c>
      <c r="J48" s="146" t="s">
        <v>85</v>
      </c>
      <c r="K48" s="61" t="s">
        <v>4841</v>
      </c>
      <c r="L48" s="147" t="str">
        <f t="shared" si="4"/>
        <v>Send Reminder</v>
      </c>
      <c r="M48" s="148">
        <f>IFERROR(__xludf.DUMMYFUNCTION("IF(ISDATE(G48), G48 + 21, """")"),45916.0)</f>
        <v>45916</v>
      </c>
      <c r="O48" s="61" t="s">
        <v>4870</v>
      </c>
      <c r="P48" s="145">
        <v>45977.0</v>
      </c>
      <c r="Q48" s="148">
        <f t="shared" si="2"/>
        <v>45944</v>
      </c>
      <c r="R48" s="61"/>
    </row>
    <row r="49">
      <c r="A49" s="143" t="s">
        <v>5030</v>
      </c>
      <c r="B49" s="144" t="s">
        <v>5031</v>
      </c>
      <c r="C49" s="144" t="s">
        <v>5032</v>
      </c>
      <c r="D49" s="143" t="s">
        <v>5033</v>
      </c>
      <c r="E49" s="144" t="s">
        <v>4929</v>
      </c>
      <c r="F49" s="61" t="s">
        <v>4305</v>
      </c>
      <c r="G49" s="145">
        <v>45900.0</v>
      </c>
      <c r="H49" s="61" t="s">
        <v>85</v>
      </c>
      <c r="I49" s="146" t="s">
        <v>5034</v>
      </c>
      <c r="J49" s="146" t="s">
        <v>4853</v>
      </c>
      <c r="K49" s="61" t="s">
        <v>85</v>
      </c>
      <c r="L49" s="147" t="str">
        <f t="shared" si="4"/>
        <v>Not needed</v>
      </c>
      <c r="M49" s="148">
        <f>IFERROR(__xludf.DUMMYFUNCTION("IF(ISDATE(G49), G49 + 21, """")"),45921.0)</f>
        <v>45921</v>
      </c>
      <c r="O49" s="77"/>
      <c r="P49" s="148"/>
      <c r="Q49" s="148">
        <f t="shared" si="2"/>
        <v>45949</v>
      </c>
      <c r="R49" s="61" t="s">
        <v>4862</v>
      </c>
    </row>
    <row r="50">
      <c r="A50" s="143" t="s">
        <v>5035</v>
      </c>
      <c r="B50" s="144" t="s">
        <v>5036</v>
      </c>
      <c r="C50" s="144" t="s">
        <v>624</v>
      </c>
      <c r="D50" s="143" t="s">
        <v>5037</v>
      </c>
      <c r="E50" s="144" t="s">
        <v>4929</v>
      </c>
      <c r="F50" s="61" t="s">
        <v>4305</v>
      </c>
      <c r="G50" s="145">
        <v>45900.0</v>
      </c>
      <c r="H50" s="61" t="s">
        <v>85</v>
      </c>
      <c r="I50" s="146" t="s">
        <v>5038</v>
      </c>
      <c r="J50" s="146" t="s">
        <v>85</v>
      </c>
      <c r="K50" s="77"/>
      <c r="L50" s="147" t="str">
        <f t="shared" si="4"/>
        <v/>
      </c>
      <c r="M50" s="148">
        <f>IFERROR(__xludf.DUMMYFUNCTION("IF(ISDATE(G50), G50 + 21, """")"),45921.0)</f>
        <v>45921</v>
      </c>
      <c r="O50" s="77"/>
      <c r="P50" s="148"/>
      <c r="Q50" s="148">
        <f t="shared" si="2"/>
        <v>45949</v>
      </c>
      <c r="R50" s="61"/>
    </row>
    <row r="51">
      <c r="A51" s="143" t="s">
        <v>5039</v>
      </c>
      <c r="B51" s="144" t="s">
        <v>5040</v>
      </c>
      <c r="C51" s="144" t="s">
        <v>5041</v>
      </c>
      <c r="D51" s="143" t="s">
        <v>5042</v>
      </c>
      <c r="E51" s="144" t="s">
        <v>5043</v>
      </c>
      <c r="F51" s="61" t="s">
        <v>4305</v>
      </c>
      <c r="G51" s="145">
        <v>45901.0</v>
      </c>
      <c r="H51" s="61" t="s">
        <v>85</v>
      </c>
      <c r="I51" s="146" t="s">
        <v>5044</v>
      </c>
      <c r="J51" s="146" t="s">
        <v>4853</v>
      </c>
      <c r="K51" s="61" t="s">
        <v>85</v>
      </c>
      <c r="L51" s="147" t="str">
        <f t="shared" si="4"/>
        <v>Not needed</v>
      </c>
      <c r="M51" s="148">
        <f>IFERROR(__xludf.DUMMYFUNCTION("IF(ISDATE(G51), G51 + 21, """")"),45922.0)</f>
        <v>45922</v>
      </c>
      <c r="O51" s="77"/>
      <c r="P51" s="148"/>
      <c r="Q51" s="148">
        <f t="shared" si="2"/>
        <v>45950</v>
      </c>
      <c r="R51" s="61" t="s">
        <v>4862</v>
      </c>
    </row>
    <row r="52">
      <c r="A52" s="143" t="s">
        <v>539</v>
      </c>
      <c r="B52" s="144" t="s">
        <v>2295</v>
      </c>
      <c r="C52" s="144" t="s">
        <v>610</v>
      </c>
      <c r="D52" s="143" t="s">
        <v>5045</v>
      </c>
      <c r="E52" s="144" t="s">
        <v>4929</v>
      </c>
      <c r="F52" s="61" t="s">
        <v>4305</v>
      </c>
      <c r="G52" s="145">
        <v>45902.0</v>
      </c>
      <c r="H52" s="61" t="s">
        <v>85</v>
      </c>
      <c r="I52" s="146" t="s">
        <v>5046</v>
      </c>
      <c r="J52" s="146" t="s">
        <v>85</v>
      </c>
      <c r="K52" s="77"/>
      <c r="L52" s="147" t="str">
        <f t="shared" si="4"/>
        <v/>
      </c>
      <c r="M52" s="148">
        <f>IFERROR(__xludf.DUMMYFUNCTION("IF(ISDATE(G52), G52 + 21, """")"),45923.0)</f>
        <v>45923</v>
      </c>
      <c r="O52" s="77"/>
      <c r="P52" s="148"/>
      <c r="Q52" s="148">
        <f t="shared" si="2"/>
        <v>45951</v>
      </c>
      <c r="R52" s="61"/>
    </row>
    <row r="53">
      <c r="A53" s="143" t="s">
        <v>5047</v>
      </c>
      <c r="B53" s="144" t="s">
        <v>254</v>
      </c>
      <c r="C53" s="144" t="s">
        <v>709</v>
      </c>
      <c r="D53" s="143" t="s">
        <v>5048</v>
      </c>
      <c r="E53" s="144" t="s">
        <v>5049</v>
      </c>
      <c r="F53" s="61" t="s">
        <v>4305</v>
      </c>
      <c r="G53" s="145">
        <v>45902.0</v>
      </c>
      <c r="H53" s="61" t="s">
        <v>85</v>
      </c>
      <c r="I53" s="146" t="s">
        <v>5050</v>
      </c>
      <c r="J53" s="146" t="s">
        <v>4853</v>
      </c>
      <c r="K53" s="61" t="s">
        <v>85</v>
      </c>
      <c r="L53" s="147" t="str">
        <f t="shared" si="4"/>
        <v>Not needed</v>
      </c>
      <c r="M53" s="148">
        <f>IFERROR(__xludf.DUMMYFUNCTION("IF(ISDATE(G53), G53 + 21, """")"),45923.0)</f>
        <v>45923</v>
      </c>
      <c r="O53" s="77"/>
      <c r="P53" s="148"/>
      <c r="R53" s="61" t="s">
        <v>4862</v>
      </c>
    </row>
    <row r="54">
      <c r="A54" s="143" t="s">
        <v>5051</v>
      </c>
      <c r="B54" s="144" t="s">
        <v>5052</v>
      </c>
      <c r="C54" s="144" t="s">
        <v>1087</v>
      </c>
      <c r="D54" s="143" t="s">
        <v>5053</v>
      </c>
      <c r="E54" s="144" t="s">
        <v>4929</v>
      </c>
      <c r="F54" s="61" t="s">
        <v>4305</v>
      </c>
      <c r="G54" s="145">
        <v>45902.0</v>
      </c>
      <c r="H54" s="61" t="s">
        <v>85</v>
      </c>
      <c r="I54" s="146" t="s">
        <v>4998</v>
      </c>
      <c r="J54" s="146" t="s">
        <v>4853</v>
      </c>
      <c r="K54" s="61" t="s">
        <v>85</v>
      </c>
      <c r="L54" s="147" t="str">
        <f t="shared" si="4"/>
        <v>Not needed</v>
      </c>
      <c r="M54" s="148">
        <f>IFERROR(__xludf.DUMMYFUNCTION("IF(ISDATE(G54), G54 + 21, """")"),45923.0)</f>
        <v>45923</v>
      </c>
      <c r="O54" s="77"/>
      <c r="P54" s="148"/>
      <c r="R54" s="61" t="s">
        <v>4862</v>
      </c>
    </row>
    <row r="55">
      <c r="A55" s="143" t="s">
        <v>3158</v>
      </c>
      <c r="B55" s="144" t="s">
        <v>4878</v>
      </c>
      <c r="C55" s="144" t="s">
        <v>610</v>
      </c>
      <c r="D55" s="143" t="s">
        <v>5054</v>
      </c>
      <c r="E55" s="144" t="s">
        <v>4929</v>
      </c>
      <c r="F55" s="61" t="s">
        <v>4305</v>
      </c>
      <c r="G55" s="145">
        <v>45908.0</v>
      </c>
      <c r="H55" s="61" t="s">
        <v>85</v>
      </c>
      <c r="I55" s="146" t="s">
        <v>5055</v>
      </c>
      <c r="J55" s="146" t="s">
        <v>85</v>
      </c>
      <c r="K55" s="61" t="s">
        <v>4841</v>
      </c>
      <c r="L55" s="147" t="str">
        <f t="shared" si="4"/>
        <v>Send Reminder</v>
      </c>
      <c r="M55" s="148">
        <f>IFERROR(__xludf.DUMMYFUNCTION("IF(ISDATE(G55), G55 + 21, """")"),45929.0)</f>
        <v>45929</v>
      </c>
      <c r="O55" s="77"/>
      <c r="P55" s="148"/>
      <c r="R55" s="61"/>
    </row>
    <row r="56">
      <c r="A56" s="143" t="s">
        <v>4910</v>
      </c>
      <c r="B56" s="144" t="s">
        <v>4911</v>
      </c>
      <c r="C56" s="144" t="s">
        <v>610</v>
      </c>
      <c r="D56" s="143" t="s">
        <v>4912</v>
      </c>
      <c r="E56" s="144" t="s">
        <v>4929</v>
      </c>
      <c r="F56" s="61" t="s">
        <v>4305</v>
      </c>
      <c r="G56" s="145">
        <v>45908.0</v>
      </c>
      <c r="H56" s="61" t="s">
        <v>85</v>
      </c>
      <c r="I56" s="146" t="s">
        <v>5056</v>
      </c>
      <c r="J56" s="146" t="s">
        <v>85</v>
      </c>
      <c r="K56" s="61" t="s">
        <v>4841</v>
      </c>
      <c r="L56" s="147" t="str">
        <f t="shared" si="4"/>
        <v>Send Reminder</v>
      </c>
      <c r="M56" s="148">
        <f>IFERROR(__xludf.DUMMYFUNCTION("IF(ISDATE(G56), G56 + 21, """")"),45929.0)</f>
        <v>45929</v>
      </c>
      <c r="O56" s="77"/>
      <c r="P56" s="148"/>
      <c r="R56" s="61"/>
    </row>
    <row r="57">
      <c r="A57" s="143" t="s">
        <v>5057</v>
      </c>
      <c r="B57" s="144" t="s">
        <v>4153</v>
      </c>
      <c r="C57" s="144" t="s">
        <v>5058</v>
      </c>
      <c r="D57" s="143" t="s">
        <v>5059</v>
      </c>
      <c r="E57" s="144" t="s">
        <v>4929</v>
      </c>
      <c r="F57" s="61" t="s">
        <v>4305</v>
      </c>
      <c r="G57" s="145">
        <v>45908.0</v>
      </c>
      <c r="H57" s="61" t="s">
        <v>85</v>
      </c>
      <c r="I57" s="146" t="s">
        <v>5060</v>
      </c>
      <c r="J57" s="146" t="s">
        <v>85</v>
      </c>
      <c r="K57" s="77"/>
      <c r="L57" s="147" t="str">
        <f t="shared" si="4"/>
        <v/>
      </c>
      <c r="M57" s="148">
        <f>IFERROR(__xludf.DUMMYFUNCTION("IF(ISDATE(G57), G57 + 21, """")"),45929.0)</f>
        <v>45929</v>
      </c>
      <c r="O57" s="77"/>
      <c r="P57" s="148"/>
      <c r="R57" s="61"/>
    </row>
    <row r="58">
      <c r="A58" s="143" t="s">
        <v>5061</v>
      </c>
      <c r="B58" s="144" t="s">
        <v>5062</v>
      </c>
      <c r="C58" s="144" t="s">
        <v>5063</v>
      </c>
      <c r="D58" s="143" t="s">
        <v>5064</v>
      </c>
      <c r="E58" s="144" t="s">
        <v>5065</v>
      </c>
      <c r="F58" s="61" t="s">
        <v>4305</v>
      </c>
      <c r="G58" s="145">
        <v>45908.0</v>
      </c>
      <c r="H58" s="61" t="s">
        <v>85</v>
      </c>
      <c r="I58" s="146" t="s">
        <v>4998</v>
      </c>
      <c r="J58" s="146" t="s">
        <v>4853</v>
      </c>
      <c r="K58" s="61" t="s">
        <v>85</v>
      </c>
      <c r="L58" s="147" t="str">
        <f t="shared" si="4"/>
        <v>Not needed</v>
      </c>
      <c r="M58" s="148">
        <f>IFERROR(__xludf.DUMMYFUNCTION("IF(ISDATE(G58), G58 + 21, """")"),45929.0)</f>
        <v>45929</v>
      </c>
      <c r="O58" s="77"/>
      <c r="P58" s="148"/>
      <c r="R58" s="61" t="s">
        <v>4862</v>
      </c>
    </row>
    <row r="59">
      <c r="A59" s="143" t="s">
        <v>5066</v>
      </c>
      <c r="B59" s="144" t="s">
        <v>5067</v>
      </c>
      <c r="C59" s="144" t="s">
        <v>5068</v>
      </c>
      <c r="D59" s="143" t="s">
        <v>5069</v>
      </c>
      <c r="E59" s="144" t="s">
        <v>4929</v>
      </c>
      <c r="F59" s="61" t="s">
        <v>4305</v>
      </c>
      <c r="G59" s="145">
        <v>45908.0</v>
      </c>
      <c r="H59" s="61" t="s">
        <v>85</v>
      </c>
      <c r="I59" s="146" t="s">
        <v>5070</v>
      </c>
      <c r="J59" s="146" t="s">
        <v>85</v>
      </c>
      <c r="K59" s="77"/>
      <c r="L59" s="147" t="str">
        <f t="shared" si="4"/>
        <v/>
      </c>
      <c r="M59" s="148">
        <f>IFERROR(__xludf.DUMMYFUNCTION("IF(ISDATE(G59), G59 + 21, """")"),45929.0)</f>
        <v>45929</v>
      </c>
      <c r="O59" s="77"/>
      <c r="P59" s="148"/>
      <c r="R59" s="61"/>
    </row>
    <row r="60">
      <c r="A60" s="143" t="s">
        <v>5071</v>
      </c>
      <c r="B60" s="144" t="s">
        <v>5072</v>
      </c>
      <c r="C60" s="144" t="s">
        <v>5073</v>
      </c>
      <c r="D60" s="143" t="s">
        <v>5074</v>
      </c>
      <c r="E60" s="144" t="s">
        <v>4929</v>
      </c>
      <c r="F60" s="61" t="s">
        <v>4305</v>
      </c>
      <c r="G60" s="145">
        <v>45909.0</v>
      </c>
      <c r="H60" s="61" t="s">
        <v>85</v>
      </c>
      <c r="I60" s="158" t="s">
        <v>5075</v>
      </c>
      <c r="J60" s="146" t="s">
        <v>85</v>
      </c>
      <c r="K60" s="61" t="s">
        <v>4841</v>
      </c>
      <c r="L60" s="147" t="str">
        <f t="shared" si="4"/>
        <v>Send Reminder</v>
      </c>
      <c r="M60" s="148">
        <f>IFERROR(__xludf.DUMMYFUNCTION("IF(ISDATE(G60), G60 + 21, """")"),45930.0)</f>
        <v>45930</v>
      </c>
      <c r="O60" s="77"/>
      <c r="P60" s="148"/>
      <c r="R60" s="61"/>
    </row>
    <row r="61">
      <c r="A61" s="143" t="s">
        <v>5076</v>
      </c>
      <c r="B61" s="144" t="s">
        <v>5077</v>
      </c>
      <c r="C61" s="144" t="s">
        <v>5078</v>
      </c>
      <c r="D61" s="143" t="s">
        <v>5079</v>
      </c>
      <c r="E61" s="144" t="s">
        <v>4929</v>
      </c>
      <c r="F61" s="61" t="s">
        <v>282</v>
      </c>
      <c r="G61" s="145">
        <v>45867.0</v>
      </c>
      <c r="H61" s="61" t="s">
        <v>85</v>
      </c>
      <c r="I61" s="146" t="s">
        <v>5080</v>
      </c>
      <c r="J61" s="146" t="s">
        <v>4853</v>
      </c>
      <c r="K61" s="61" t="s">
        <v>85</v>
      </c>
      <c r="L61" s="147" t="str">
        <f t="shared" si="4"/>
        <v>Not needed</v>
      </c>
      <c r="M61" s="148">
        <f>IFERROR(__xludf.DUMMYFUNCTION("IF(ISDATE(G61), G61 + 21, """")"),45888.0)</f>
        <v>45888</v>
      </c>
      <c r="O61" s="77"/>
      <c r="P61" s="148"/>
      <c r="R61" s="61" t="s">
        <v>4862</v>
      </c>
    </row>
    <row r="62">
      <c r="A62" s="143" t="s">
        <v>5081</v>
      </c>
      <c r="B62" s="144" t="s">
        <v>5082</v>
      </c>
      <c r="C62" s="144" t="s">
        <v>5083</v>
      </c>
      <c r="D62" s="143" t="s">
        <v>5084</v>
      </c>
      <c r="E62" s="144" t="s">
        <v>4929</v>
      </c>
      <c r="F62" s="61" t="s">
        <v>4305</v>
      </c>
      <c r="G62" s="145">
        <v>45910.0</v>
      </c>
      <c r="H62" s="61" t="s">
        <v>85</v>
      </c>
      <c r="I62" s="146" t="s">
        <v>5085</v>
      </c>
      <c r="J62" s="146" t="s">
        <v>85</v>
      </c>
      <c r="K62" s="77"/>
      <c r="L62" s="147" t="str">
        <f t="shared" si="4"/>
        <v/>
      </c>
      <c r="M62" s="148">
        <f>IFERROR(__xludf.DUMMYFUNCTION("IF(ISDATE(G62), G62 + 21, """")"),45931.0)</f>
        <v>45931</v>
      </c>
      <c r="O62" s="77"/>
      <c r="P62" s="148"/>
      <c r="R62" s="61"/>
    </row>
    <row r="63">
      <c r="A63" s="143" t="s">
        <v>5086</v>
      </c>
      <c r="B63" s="144" t="s">
        <v>3660</v>
      </c>
      <c r="C63" s="144" t="s">
        <v>4860</v>
      </c>
      <c r="D63" s="143" t="s">
        <v>5087</v>
      </c>
      <c r="E63" s="144" t="s">
        <v>4929</v>
      </c>
      <c r="F63" s="61" t="s">
        <v>282</v>
      </c>
      <c r="G63" s="145">
        <v>45911.0</v>
      </c>
      <c r="H63" s="61" t="s">
        <v>85</v>
      </c>
      <c r="I63" s="146" t="s">
        <v>5085</v>
      </c>
      <c r="J63" s="146" t="s">
        <v>85</v>
      </c>
      <c r="K63" s="61" t="s">
        <v>4841</v>
      </c>
      <c r="L63" s="147" t="str">
        <f t="shared" si="4"/>
        <v>Send Reminder</v>
      </c>
      <c r="M63" s="148">
        <f>IFERROR(__xludf.DUMMYFUNCTION("IF(ISDATE(G63), G63 + 21, """")"),45932.0)</f>
        <v>45932</v>
      </c>
      <c r="O63" s="77"/>
      <c r="P63" s="148"/>
      <c r="R63" s="61" t="s">
        <v>4871</v>
      </c>
    </row>
    <row r="64">
      <c r="A64" s="143" t="s">
        <v>5088</v>
      </c>
      <c r="B64" s="144" t="s">
        <v>4033</v>
      </c>
      <c r="C64" s="144" t="s">
        <v>3819</v>
      </c>
      <c r="D64" s="143" t="s">
        <v>5089</v>
      </c>
      <c r="E64" s="144" t="s">
        <v>4929</v>
      </c>
      <c r="F64" s="61" t="s">
        <v>4305</v>
      </c>
      <c r="G64" s="145">
        <v>45913.0</v>
      </c>
      <c r="H64" s="61" t="s">
        <v>85</v>
      </c>
      <c r="I64" s="146" t="s">
        <v>5085</v>
      </c>
      <c r="J64" s="146" t="s">
        <v>4853</v>
      </c>
      <c r="K64" s="77"/>
      <c r="L64" s="147" t="str">
        <f t="shared" si="4"/>
        <v/>
      </c>
      <c r="M64" s="148">
        <f>IFERROR(__xludf.DUMMYFUNCTION("IF(ISDATE(G64), G64 + 21, """")"),45934.0)</f>
        <v>45934</v>
      </c>
      <c r="O64" s="77"/>
      <c r="P64" s="148"/>
      <c r="R64" s="61" t="s">
        <v>4862</v>
      </c>
    </row>
    <row r="65">
      <c r="A65" s="143" t="s">
        <v>5090</v>
      </c>
      <c r="B65" s="144" t="s">
        <v>5091</v>
      </c>
      <c r="C65" s="144" t="s">
        <v>5092</v>
      </c>
      <c r="D65" s="143" t="s">
        <v>5093</v>
      </c>
      <c r="E65" s="144" t="s">
        <v>4929</v>
      </c>
      <c r="F65" s="61" t="s">
        <v>4305</v>
      </c>
      <c r="G65" s="145">
        <v>45915.0</v>
      </c>
      <c r="H65" s="61" t="s">
        <v>85</v>
      </c>
      <c r="I65" s="146" t="s">
        <v>5094</v>
      </c>
      <c r="J65" s="146" t="s">
        <v>85</v>
      </c>
      <c r="K65" s="77"/>
      <c r="L65" s="147" t="str">
        <f t="shared" si="4"/>
        <v/>
      </c>
      <c r="M65" s="148">
        <f>IFERROR(__xludf.DUMMYFUNCTION("IF(ISDATE(G65), G65 + 21, """")"),45936.0)</f>
        <v>45936</v>
      </c>
      <c r="O65" s="77"/>
      <c r="P65" s="148"/>
      <c r="R65" s="61"/>
    </row>
    <row r="66">
      <c r="A66" s="143" t="s">
        <v>5095</v>
      </c>
      <c r="B66" s="144" t="s">
        <v>5096</v>
      </c>
      <c r="C66" s="144" t="s">
        <v>5097</v>
      </c>
      <c r="D66" s="143">
        <v>2.028403476E9</v>
      </c>
      <c r="E66" s="144" t="s">
        <v>4929</v>
      </c>
      <c r="F66" s="61" t="s">
        <v>4305</v>
      </c>
      <c r="G66" s="145">
        <v>45922.0</v>
      </c>
      <c r="H66" s="61" t="s">
        <v>85</v>
      </c>
      <c r="I66" s="146" t="s">
        <v>5098</v>
      </c>
      <c r="J66" s="146" t="s">
        <v>85</v>
      </c>
      <c r="K66" s="77"/>
      <c r="L66" s="147" t="str">
        <f t="shared" si="4"/>
        <v/>
      </c>
      <c r="M66" s="148">
        <f>IFERROR(__xludf.DUMMYFUNCTION("IF(ISDATE(G66), G66 + 21, """")"),45943.0)</f>
        <v>45943</v>
      </c>
      <c r="O66" s="77"/>
      <c r="P66" s="148"/>
      <c r="R66" s="61"/>
    </row>
    <row r="67">
      <c r="A67" s="143" t="s">
        <v>5099</v>
      </c>
      <c r="B67" s="144" t="s">
        <v>5100</v>
      </c>
      <c r="C67" s="144" t="s">
        <v>5101</v>
      </c>
      <c r="D67" s="143" t="s">
        <v>5102</v>
      </c>
      <c r="E67" s="144" t="s">
        <v>4929</v>
      </c>
      <c r="F67" s="61" t="s">
        <v>4305</v>
      </c>
      <c r="G67" s="145">
        <v>45927.0</v>
      </c>
      <c r="H67" s="61" t="s">
        <v>85</v>
      </c>
      <c r="I67" s="146" t="s">
        <v>5103</v>
      </c>
      <c r="J67" s="146" t="s">
        <v>85</v>
      </c>
      <c r="K67" s="77"/>
      <c r="L67" s="147" t="str">
        <f t="shared" si="4"/>
        <v/>
      </c>
      <c r="M67" s="148">
        <f>IFERROR(__xludf.DUMMYFUNCTION("IF(ISDATE(G67), G67 + 21, """")"),45948.0)</f>
        <v>45948</v>
      </c>
      <c r="O67" s="77"/>
      <c r="P67" s="148"/>
      <c r="R67" s="61"/>
    </row>
    <row r="68">
      <c r="A68" s="143" t="s">
        <v>5104</v>
      </c>
      <c r="B68" s="144" t="s">
        <v>5105</v>
      </c>
      <c r="C68" s="144" t="s">
        <v>1062</v>
      </c>
      <c r="D68" s="143" t="s">
        <v>5106</v>
      </c>
      <c r="E68" s="144" t="s">
        <v>4929</v>
      </c>
      <c r="F68" s="61" t="s">
        <v>282</v>
      </c>
      <c r="G68" s="145">
        <v>45944.0</v>
      </c>
      <c r="H68" s="61" t="s">
        <v>85</v>
      </c>
      <c r="I68" s="146" t="s">
        <v>5107</v>
      </c>
      <c r="J68" s="146" t="s">
        <v>85</v>
      </c>
      <c r="K68" s="61" t="s">
        <v>4841</v>
      </c>
      <c r="L68" s="147" t="str">
        <f t="shared" si="4"/>
        <v>Send Reminder</v>
      </c>
      <c r="M68" s="148">
        <f>IFERROR(__xludf.DUMMYFUNCTION("IF(ISDATE(G68), G68 + 21, """")"),45965.0)</f>
        <v>45965</v>
      </c>
      <c r="O68" s="77"/>
      <c r="P68" s="148"/>
      <c r="R68" s="61" t="s">
        <v>4871</v>
      </c>
    </row>
    <row r="69">
      <c r="A69" s="143" t="s">
        <v>5108</v>
      </c>
      <c r="B69" s="144" t="s">
        <v>5109</v>
      </c>
      <c r="C69" s="144" t="s">
        <v>5110</v>
      </c>
      <c r="D69" s="143" t="s">
        <v>5111</v>
      </c>
      <c r="E69" s="144" t="s">
        <v>5112</v>
      </c>
      <c r="F69" s="61" t="s">
        <v>4310</v>
      </c>
      <c r="G69" s="159">
        <v>45963.0</v>
      </c>
      <c r="H69" s="61" t="s">
        <v>85</v>
      </c>
      <c r="I69" s="146" t="s">
        <v>5113</v>
      </c>
      <c r="J69" s="146" t="s">
        <v>85</v>
      </c>
      <c r="K69" s="77"/>
      <c r="L69" s="147" t="str">
        <f t="shared" si="4"/>
        <v/>
      </c>
      <c r="M69" s="160">
        <f>IFERROR(__xludf.DUMMYFUNCTION("IF(ISDATE(G69), G69 + 21, """")"),45984.0)</f>
        <v>45984</v>
      </c>
      <c r="O69" s="77"/>
      <c r="P69" s="148"/>
      <c r="R69" s="61" t="s">
        <v>4876</v>
      </c>
    </row>
    <row r="70">
      <c r="A70" s="143" t="s">
        <v>3429</v>
      </c>
      <c r="B70" s="143" t="s">
        <v>5114</v>
      </c>
      <c r="C70" s="143" t="s">
        <v>2039</v>
      </c>
      <c r="D70" s="143" t="s">
        <v>5115</v>
      </c>
      <c r="E70" s="144" t="s">
        <v>777</v>
      </c>
      <c r="G70" s="148"/>
      <c r="H70" s="77"/>
      <c r="I70" s="150"/>
      <c r="J70" s="146" t="s">
        <v>85</v>
      </c>
      <c r="K70" s="77"/>
      <c r="L70" s="147" t="str">
        <f t="shared" si="4"/>
        <v/>
      </c>
      <c r="M70" s="77" t="str">
        <f>IFERROR(__xludf.DUMMYFUNCTION("IF(ISDATE(G70), G70 + 21, """")"),"")</f>
        <v/>
      </c>
      <c r="O70" s="77"/>
      <c r="P70" s="148"/>
      <c r="R70" s="61"/>
    </row>
    <row r="71">
      <c r="A71" s="143" t="s">
        <v>2264</v>
      </c>
      <c r="B71" s="144" t="s">
        <v>5116</v>
      </c>
      <c r="C71" s="144" t="s">
        <v>5117</v>
      </c>
      <c r="D71" s="143" t="s">
        <v>5118</v>
      </c>
      <c r="E71" s="144" t="s">
        <v>4929</v>
      </c>
      <c r="F71" s="61" t="s">
        <v>4305</v>
      </c>
      <c r="G71" s="145">
        <v>45962.0</v>
      </c>
      <c r="H71" s="61" t="s">
        <v>85</v>
      </c>
      <c r="I71" s="146" t="s">
        <v>5119</v>
      </c>
      <c r="J71" s="146" t="s">
        <v>85</v>
      </c>
      <c r="K71" s="77"/>
      <c r="L71" s="147" t="str">
        <f t="shared" si="4"/>
        <v/>
      </c>
      <c r="M71" s="148">
        <f>IFERROR(__xludf.DUMMYFUNCTION("IF(ISDATE(G71), G71 + 21, """")"),45983.0)</f>
        <v>45983</v>
      </c>
      <c r="O71" s="77"/>
      <c r="P71" s="148"/>
      <c r="R71" s="61"/>
    </row>
    <row r="72">
      <c r="A72" s="143" t="s">
        <v>5120</v>
      </c>
      <c r="B72" s="144" t="s">
        <v>2287</v>
      </c>
      <c r="C72" s="144" t="s">
        <v>5121</v>
      </c>
      <c r="D72" s="143" t="s">
        <v>5122</v>
      </c>
      <c r="E72" s="144" t="s">
        <v>5123</v>
      </c>
      <c r="F72" s="61" t="s">
        <v>4305</v>
      </c>
      <c r="G72" s="145">
        <v>45962.0</v>
      </c>
      <c r="H72" s="61" t="s">
        <v>85</v>
      </c>
      <c r="I72" s="146" t="s">
        <v>5124</v>
      </c>
      <c r="J72" s="146" t="s">
        <v>85</v>
      </c>
      <c r="K72" s="77"/>
      <c r="L72" s="147" t="str">
        <f t="shared" si="4"/>
        <v/>
      </c>
      <c r="M72" s="148">
        <f>IFERROR(__xludf.DUMMYFUNCTION("IF(ISDATE(G72), G72 + 21, """")"),45983.0)</f>
        <v>45983</v>
      </c>
      <c r="O72" s="77"/>
      <c r="P72" s="148"/>
      <c r="R72" s="61"/>
    </row>
    <row r="73">
      <c r="A73" s="143" t="s">
        <v>5125</v>
      </c>
      <c r="B73" s="144" t="s">
        <v>5126</v>
      </c>
      <c r="C73" s="144" t="s">
        <v>949</v>
      </c>
      <c r="D73" s="143" t="s">
        <v>5127</v>
      </c>
      <c r="E73" s="144" t="s">
        <v>5128</v>
      </c>
      <c r="F73" s="61" t="s">
        <v>4305</v>
      </c>
      <c r="G73" s="145">
        <v>45964.0</v>
      </c>
      <c r="H73" s="61" t="s">
        <v>85</v>
      </c>
      <c r="I73" s="146" t="s">
        <v>5129</v>
      </c>
      <c r="J73" s="146" t="s">
        <v>85</v>
      </c>
      <c r="K73" s="77"/>
      <c r="L73" s="147" t="str">
        <f t="shared" si="4"/>
        <v/>
      </c>
      <c r="M73" s="148">
        <f>IFERROR(__xludf.DUMMYFUNCTION("IF(ISDATE(G73), G73 + 21, """")"),45985.0)</f>
        <v>45985</v>
      </c>
      <c r="O73" s="77"/>
      <c r="P73" s="148"/>
      <c r="R73" s="61"/>
    </row>
    <row r="74">
      <c r="A74" s="143" t="s">
        <v>134</v>
      </c>
      <c r="B74" s="144" t="s">
        <v>139</v>
      </c>
      <c r="C74" s="144" t="s">
        <v>140</v>
      </c>
      <c r="D74" s="143" t="s">
        <v>5130</v>
      </c>
      <c r="E74" s="144" t="s">
        <v>5131</v>
      </c>
      <c r="F74" s="61" t="s">
        <v>4305</v>
      </c>
      <c r="G74" s="145">
        <v>45965.0</v>
      </c>
      <c r="H74" s="61" t="s">
        <v>85</v>
      </c>
      <c r="I74" s="146" t="s">
        <v>5132</v>
      </c>
      <c r="J74" s="146" t="s">
        <v>4853</v>
      </c>
      <c r="K74" s="61" t="s">
        <v>85</v>
      </c>
      <c r="L74" s="147" t="str">
        <f t="shared" si="4"/>
        <v>Not needed</v>
      </c>
      <c r="M74" s="148">
        <f>IFERROR(__xludf.DUMMYFUNCTION("IF(ISDATE(G74), G74 + 21, """")"),45986.0)</f>
        <v>45986</v>
      </c>
      <c r="O74" s="77"/>
      <c r="P74" s="148"/>
      <c r="R74" s="61" t="s">
        <v>4862</v>
      </c>
    </row>
    <row r="75">
      <c r="A75" s="143" t="s">
        <v>1517</v>
      </c>
      <c r="B75" s="144" t="s">
        <v>5133</v>
      </c>
      <c r="C75" s="144" t="s">
        <v>537</v>
      </c>
      <c r="D75" s="143" t="s">
        <v>5134</v>
      </c>
      <c r="E75" s="144" t="s">
        <v>5135</v>
      </c>
      <c r="F75" s="61" t="s">
        <v>4305</v>
      </c>
      <c r="G75" s="145">
        <v>45965.0</v>
      </c>
      <c r="H75" s="61" t="s">
        <v>85</v>
      </c>
      <c r="I75" s="146" t="s">
        <v>5136</v>
      </c>
      <c r="J75" s="146" t="s">
        <v>85</v>
      </c>
      <c r="K75" s="77"/>
      <c r="L75" s="147" t="str">
        <f t="shared" si="4"/>
        <v/>
      </c>
      <c r="M75" s="148">
        <f>IFERROR(__xludf.DUMMYFUNCTION("IF(ISDATE(G75), G75 + 21, """")"),45986.0)</f>
        <v>45986</v>
      </c>
      <c r="O75" s="77"/>
      <c r="P75" s="148"/>
      <c r="R75" s="61"/>
    </row>
    <row r="76">
      <c r="A76" s="143" t="s">
        <v>5137</v>
      </c>
      <c r="B76" s="144" t="s">
        <v>5138</v>
      </c>
      <c r="C76" s="144" t="s">
        <v>388</v>
      </c>
      <c r="D76" s="143" t="s">
        <v>5139</v>
      </c>
      <c r="E76" s="144" t="s">
        <v>4929</v>
      </c>
      <c r="F76" s="61" t="s">
        <v>4305</v>
      </c>
      <c r="G76" s="145">
        <v>45965.0</v>
      </c>
      <c r="H76" s="61" t="s">
        <v>85</v>
      </c>
      <c r="I76" s="146" t="s">
        <v>5140</v>
      </c>
      <c r="J76" s="146" t="s">
        <v>85</v>
      </c>
      <c r="K76" s="77"/>
      <c r="L76" s="147" t="str">
        <f t="shared" si="4"/>
        <v/>
      </c>
      <c r="M76" s="148">
        <f>IFERROR(__xludf.DUMMYFUNCTION("IF(ISDATE(G76), G76 + 21, """")"),45986.0)</f>
        <v>45986</v>
      </c>
      <c r="O76" s="77"/>
      <c r="P76" s="148"/>
      <c r="R76" s="61"/>
    </row>
    <row r="77">
      <c r="A77" s="151" t="s">
        <v>5141</v>
      </c>
      <c r="B77" s="151" t="s">
        <v>2287</v>
      </c>
      <c r="C77" s="143" t="s">
        <v>537</v>
      </c>
      <c r="D77" s="143" t="s">
        <v>5142</v>
      </c>
      <c r="E77" s="144" t="s">
        <v>4929</v>
      </c>
      <c r="G77" s="148"/>
      <c r="H77" s="77"/>
      <c r="I77" s="150"/>
      <c r="J77" s="146" t="s">
        <v>85</v>
      </c>
      <c r="K77" s="77"/>
      <c r="L77" s="147" t="str">
        <f t="shared" si="4"/>
        <v/>
      </c>
      <c r="M77" s="77" t="str">
        <f>IFERROR(__xludf.DUMMYFUNCTION("IF(ISDATE(G77), G77 + 21, """")"),"")</f>
        <v/>
      </c>
      <c r="O77" s="77"/>
      <c r="P77" s="148"/>
      <c r="R77" s="61"/>
    </row>
    <row r="78">
      <c r="A78" s="143" t="s">
        <v>451</v>
      </c>
      <c r="B78" s="143" t="s">
        <v>5143</v>
      </c>
      <c r="C78" s="143" t="s">
        <v>5144</v>
      </c>
      <c r="D78" s="143" t="s">
        <v>5145</v>
      </c>
      <c r="E78" s="144" t="s">
        <v>5146</v>
      </c>
      <c r="G78" s="148"/>
      <c r="H78" s="77"/>
      <c r="I78" s="150"/>
      <c r="J78" s="146" t="s">
        <v>85</v>
      </c>
      <c r="K78" s="61" t="s">
        <v>85</v>
      </c>
      <c r="L78" s="147" t="str">
        <f t="shared" si="4"/>
        <v>Not needed</v>
      </c>
      <c r="M78" s="77" t="str">
        <f>IFERROR(__xludf.DUMMYFUNCTION("IF(ISDATE(G78), G78 + 21, """")"),"")</f>
        <v/>
      </c>
      <c r="O78" s="77"/>
      <c r="P78" s="148"/>
      <c r="R78" s="61" t="s">
        <v>4862</v>
      </c>
    </row>
    <row r="79">
      <c r="A79" s="143" t="s">
        <v>5147</v>
      </c>
      <c r="B79" s="143" t="s">
        <v>661</v>
      </c>
      <c r="C79" s="143" t="s">
        <v>1806</v>
      </c>
      <c r="D79" s="143" t="s">
        <v>5148</v>
      </c>
      <c r="E79" s="144" t="s">
        <v>4929</v>
      </c>
      <c r="G79" s="148"/>
      <c r="H79" s="77"/>
      <c r="I79" s="150"/>
      <c r="J79" s="146" t="s">
        <v>85</v>
      </c>
      <c r="K79" s="77"/>
      <c r="L79" s="147" t="str">
        <f t="shared" si="4"/>
        <v/>
      </c>
      <c r="M79" s="77" t="str">
        <f>IFERROR(__xludf.DUMMYFUNCTION("IF(ISDATE(G79), G79 + 21, """")"),"")</f>
        <v/>
      </c>
      <c r="O79" s="77"/>
      <c r="P79" s="148"/>
      <c r="R79" s="61"/>
    </row>
    <row r="80">
      <c r="A80" s="143" t="s">
        <v>5149</v>
      </c>
      <c r="B80" s="143" t="s">
        <v>5150</v>
      </c>
      <c r="C80" s="143" t="s">
        <v>5151</v>
      </c>
      <c r="D80" s="143" t="s">
        <v>5152</v>
      </c>
      <c r="E80" s="144" t="s">
        <v>4929</v>
      </c>
      <c r="F80" s="61" t="s">
        <v>4305</v>
      </c>
      <c r="G80" s="145">
        <v>45969.0</v>
      </c>
      <c r="H80" s="61" t="s">
        <v>85</v>
      </c>
      <c r="I80" s="146" t="s">
        <v>5153</v>
      </c>
      <c r="J80" s="146" t="s">
        <v>85</v>
      </c>
      <c r="K80" s="77"/>
      <c r="L80" s="147" t="str">
        <f t="shared" si="4"/>
        <v/>
      </c>
      <c r="M80" s="148">
        <f>IFERROR(__xludf.DUMMYFUNCTION("IF(ISDATE(G80), G80 + 21, """")"),45990.0)</f>
        <v>45990</v>
      </c>
      <c r="O80" s="77"/>
      <c r="P80" s="148"/>
      <c r="R80" s="61"/>
    </row>
    <row r="81">
      <c r="A81" s="143" t="s">
        <v>5154</v>
      </c>
      <c r="B81" s="143" t="s">
        <v>5155</v>
      </c>
      <c r="C81" s="143" t="s">
        <v>5156</v>
      </c>
      <c r="D81" s="143" t="s">
        <v>4262</v>
      </c>
      <c r="E81" s="144" t="s">
        <v>4929</v>
      </c>
      <c r="F81" s="61" t="s">
        <v>4305</v>
      </c>
      <c r="G81" s="145">
        <v>45969.0</v>
      </c>
      <c r="H81" s="61" t="s">
        <v>85</v>
      </c>
      <c r="I81" s="146" t="s">
        <v>5157</v>
      </c>
      <c r="J81" s="146" t="s">
        <v>85</v>
      </c>
      <c r="K81" s="77"/>
      <c r="L81" s="147" t="str">
        <f t="shared" si="4"/>
        <v/>
      </c>
      <c r="M81" s="148">
        <f>IFERROR(__xludf.DUMMYFUNCTION("IF(ISDATE(G81), G81 + 21, """")"),45990.0)</f>
        <v>45990</v>
      </c>
      <c r="O81" s="77"/>
      <c r="P81" s="148"/>
      <c r="R81" s="61"/>
    </row>
    <row r="82">
      <c r="A82" s="143" t="s">
        <v>5158</v>
      </c>
      <c r="B82" s="143" t="s">
        <v>5159</v>
      </c>
      <c r="C82" s="143" t="s">
        <v>4860</v>
      </c>
      <c r="D82" s="143" t="s">
        <v>5160</v>
      </c>
      <c r="E82" s="144" t="s">
        <v>5161</v>
      </c>
      <c r="F82" s="61" t="s">
        <v>4305</v>
      </c>
      <c r="G82" s="145">
        <v>45971.0</v>
      </c>
      <c r="H82" s="61" t="s">
        <v>85</v>
      </c>
      <c r="I82" s="146" t="s">
        <v>5162</v>
      </c>
      <c r="J82" s="146" t="s">
        <v>4853</v>
      </c>
      <c r="K82" s="77"/>
      <c r="L82" s="147" t="str">
        <f t="shared" si="4"/>
        <v/>
      </c>
      <c r="M82" s="148">
        <f>IFERROR(__xludf.DUMMYFUNCTION("IF(ISDATE(G82), G82 + 21, """")"),45992.0)</f>
        <v>45992</v>
      </c>
      <c r="O82" s="77"/>
      <c r="P82" s="148"/>
      <c r="R82" s="61" t="s">
        <v>4862</v>
      </c>
    </row>
    <row r="83">
      <c r="A83" s="143" t="s">
        <v>5163</v>
      </c>
      <c r="B83" s="143" t="s">
        <v>5164</v>
      </c>
      <c r="C83" s="143" t="s">
        <v>2994</v>
      </c>
      <c r="D83" s="143" t="s">
        <v>5165</v>
      </c>
      <c r="E83" s="144" t="s">
        <v>5166</v>
      </c>
      <c r="F83" s="61" t="s">
        <v>282</v>
      </c>
      <c r="G83" s="145">
        <v>45994.0</v>
      </c>
      <c r="H83" s="61" t="s">
        <v>5167</v>
      </c>
      <c r="I83" s="150"/>
      <c r="J83" s="146" t="s">
        <v>85</v>
      </c>
      <c r="K83" s="77"/>
      <c r="L83" s="147" t="str">
        <f t="shared" si="4"/>
        <v/>
      </c>
      <c r="M83" s="148">
        <f>IFERROR(__xludf.DUMMYFUNCTION("IF(ISDATE(G83), G83 + 21, """")"),46015.0)</f>
        <v>46015</v>
      </c>
      <c r="O83" s="77"/>
      <c r="P83" s="148"/>
      <c r="R83" s="61"/>
    </row>
    <row r="84">
      <c r="A84" s="151"/>
      <c r="B84" s="151"/>
      <c r="D84" s="151"/>
      <c r="E84" s="152"/>
      <c r="G84" s="148"/>
      <c r="H84" s="77"/>
      <c r="I84" s="150"/>
      <c r="J84" s="146"/>
      <c r="K84" s="77"/>
      <c r="L84" s="147" t="str">
        <f t="shared" si="4"/>
        <v/>
      </c>
      <c r="M84" s="77" t="str">
        <f>IFERROR(__xludf.DUMMYFUNCTION("IF(ISDATE(G84), G84 + 21, """")"),"")</f>
        <v/>
      </c>
      <c r="O84" s="77"/>
      <c r="P84" s="148"/>
      <c r="R84" s="61"/>
    </row>
    <row r="85">
      <c r="A85" s="151"/>
      <c r="B85" s="151"/>
      <c r="C85" s="151"/>
      <c r="D85" s="151"/>
      <c r="E85" s="152"/>
      <c r="G85" s="148"/>
      <c r="H85" s="77"/>
      <c r="I85" s="150"/>
      <c r="J85" s="146"/>
      <c r="K85" s="77"/>
      <c r="L85" s="147" t="str">
        <f t="shared" si="4"/>
        <v/>
      </c>
      <c r="M85" s="77" t="str">
        <f>IFERROR(__xludf.DUMMYFUNCTION("IF(ISDATE(G85), G85 + 21, """")"),"")</f>
        <v/>
      </c>
      <c r="O85" s="77"/>
      <c r="P85" s="148"/>
      <c r="R85" s="61"/>
    </row>
    <row r="86">
      <c r="A86" s="151"/>
      <c r="B86" s="151"/>
      <c r="C86" s="151"/>
      <c r="D86" s="151"/>
      <c r="E86" s="152"/>
      <c r="G86" s="148"/>
      <c r="H86" s="77"/>
      <c r="I86" s="150"/>
      <c r="J86" s="146"/>
      <c r="K86" s="77"/>
      <c r="L86" s="147" t="str">
        <f t="shared" si="4"/>
        <v/>
      </c>
      <c r="M86" s="77" t="str">
        <f>IFERROR(__xludf.DUMMYFUNCTION("IF(ISDATE(G86), G86 + 21, """")"),"")</f>
        <v/>
      </c>
      <c r="O86" s="77"/>
      <c r="P86" s="148"/>
      <c r="R86" s="61"/>
    </row>
    <row r="87">
      <c r="A87" s="151"/>
      <c r="B87" s="151"/>
      <c r="C87" s="151"/>
      <c r="D87" s="151"/>
      <c r="E87" s="152"/>
      <c r="G87" s="148"/>
      <c r="H87" s="77"/>
      <c r="I87" s="150"/>
      <c r="J87" s="146"/>
      <c r="K87" s="77"/>
      <c r="L87" s="147" t="str">
        <f t="shared" si="4"/>
        <v/>
      </c>
      <c r="M87" s="77" t="str">
        <f>IFERROR(__xludf.DUMMYFUNCTION("IF(ISDATE(G87), G87 + 21, """")"),"")</f>
        <v/>
      </c>
      <c r="O87" s="77"/>
      <c r="P87" s="148"/>
      <c r="R87" s="61"/>
    </row>
    <row r="88">
      <c r="A88" s="151"/>
      <c r="B88" s="151"/>
      <c r="C88" s="151"/>
      <c r="D88" s="151"/>
      <c r="E88" s="152"/>
      <c r="G88" s="148"/>
      <c r="H88" s="77"/>
      <c r="I88" s="150"/>
      <c r="J88" s="146"/>
      <c r="K88" s="77"/>
      <c r="L88" s="147" t="str">
        <f t="shared" si="4"/>
        <v/>
      </c>
      <c r="M88" s="77" t="str">
        <f>IFERROR(__xludf.DUMMYFUNCTION("IF(ISDATE(G88), G88 + 21, """")"),"")</f>
        <v/>
      </c>
      <c r="O88" s="77"/>
      <c r="P88" s="148"/>
      <c r="R88" s="61"/>
    </row>
    <row r="89">
      <c r="A89" s="151"/>
      <c r="B89" s="151"/>
      <c r="C89" s="151"/>
      <c r="D89" s="151"/>
      <c r="E89" s="152"/>
      <c r="G89" s="148"/>
      <c r="H89" s="77"/>
      <c r="I89" s="150"/>
      <c r="J89" s="146"/>
      <c r="K89" s="77"/>
      <c r="L89" s="147" t="str">
        <f t="shared" si="4"/>
        <v/>
      </c>
      <c r="M89" s="77" t="str">
        <f>IFERROR(__xludf.DUMMYFUNCTION("IF(ISDATE(G89), G89 + 21, """")"),"")</f>
        <v/>
      </c>
      <c r="O89" s="77"/>
      <c r="P89" s="148"/>
      <c r="R89" s="61"/>
    </row>
    <row r="90">
      <c r="A90" s="151"/>
      <c r="B90" s="151"/>
      <c r="C90" s="151"/>
      <c r="D90" s="151"/>
      <c r="E90" s="152"/>
      <c r="G90" s="148"/>
      <c r="H90" s="77"/>
      <c r="I90" s="150"/>
      <c r="J90" s="146"/>
      <c r="K90" s="77"/>
      <c r="L90" s="147" t="str">
        <f t="shared" si="4"/>
        <v/>
      </c>
      <c r="M90" s="77" t="str">
        <f>IFERROR(__xludf.DUMMYFUNCTION("IF(ISDATE(G90), G90 + 21, """")"),"")</f>
        <v/>
      </c>
      <c r="O90" s="77"/>
      <c r="P90" s="148"/>
      <c r="R90" s="61"/>
    </row>
    <row r="91">
      <c r="A91" s="151"/>
      <c r="B91" s="151"/>
      <c r="C91" s="151"/>
      <c r="D91" s="151"/>
      <c r="E91" s="152"/>
      <c r="G91" s="148"/>
      <c r="H91" s="77"/>
      <c r="I91" s="150"/>
      <c r="J91" s="146"/>
      <c r="K91" s="77"/>
      <c r="L91" s="147" t="str">
        <f t="shared" si="4"/>
        <v/>
      </c>
      <c r="M91" s="77" t="str">
        <f>IFERROR(__xludf.DUMMYFUNCTION("IF(ISDATE(G91), G91 + 21, """")"),"")</f>
        <v/>
      </c>
      <c r="O91" s="77"/>
      <c r="P91" s="148"/>
      <c r="R91" s="61"/>
    </row>
    <row r="92">
      <c r="A92" s="151"/>
      <c r="B92" s="151"/>
      <c r="C92" s="151"/>
      <c r="D92" s="151"/>
      <c r="E92" s="152"/>
      <c r="G92" s="148"/>
      <c r="H92" s="77"/>
      <c r="I92" s="150"/>
      <c r="J92" s="146"/>
      <c r="K92" s="77"/>
      <c r="L92" s="147" t="str">
        <f t="shared" si="4"/>
        <v/>
      </c>
      <c r="M92" s="77" t="str">
        <f>IFERROR(__xludf.DUMMYFUNCTION("IF(ISDATE(G92), G92 + 21, """")"),"")</f>
        <v/>
      </c>
      <c r="O92" s="77"/>
      <c r="P92" s="148"/>
      <c r="R92" s="61"/>
    </row>
    <row r="93">
      <c r="A93" s="151"/>
      <c r="B93" s="151"/>
      <c r="C93" s="151"/>
      <c r="D93" s="151"/>
      <c r="E93" s="152"/>
      <c r="G93" s="148"/>
      <c r="H93" s="77"/>
      <c r="I93" s="150"/>
      <c r="J93" s="146"/>
      <c r="K93" s="77"/>
      <c r="L93" s="147" t="str">
        <f t="shared" si="4"/>
        <v/>
      </c>
      <c r="M93" s="77" t="str">
        <f>IFERROR(__xludf.DUMMYFUNCTION("IF(ISDATE(G93), G93 + 21, """")"),"")</f>
        <v/>
      </c>
      <c r="O93" s="77"/>
      <c r="P93" s="148"/>
      <c r="R93" s="61"/>
    </row>
    <row r="94">
      <c r="A94" s="151"/>
      <c r="B94" s="151"/>
      <c r="C94" s="151"/>
      <c r="D94" s="151"/>
      <c r="E94" s="152"/>
      <c r="G94" s="148"/>
      <c r="H94" s="77"/>
      <c r="I94" s="150"/>
      <c r="J94" s="146"/>
      <c r="K94" s="77"/>
      <c r="L94" s="147" t="str">
        <f t="shared" si="4"/>
        <v/>
      </c>
      <c r="M94" s="77" t="str">
        <f>IFERROR(__xludf.DUMMYFUNCTION("IF(ISDATE(G94), G94 + 21, """")"),"")</f>
        <v/>
      </c>
      <c r="O94" s="77"/>
      <c r="P94" s="148"/>
      <c r="R94" s="61"/>
    </row>
    <row r="95">
      <c r="A95" s="151"/>
      <c r="B95" s="151"/>
      <c r="C95" s="151"/>
      <c r="D95" s="151"/>
      <c r="E95" s="152"/>
      <c r="G95" s="148"/>
      <c r="H95" s="77"/>
      <c r="I95" s="150"/>
      <c r="J95" s="146"/>
      <c r="K95" s="77"/>
      <c r="L95" s="147" t="str">
        <f t="shared" si="4"/>
        <v/>
      </c>
      <c r="M95" s="77" t="str">
        <f>IFERROR(__xludf.DUMMYFUNCTION("IF(ISDATE(G95), G95 + 21, """")"),"")</f>
        <v/>
      </c>
      <c r="O95" s="77"/>
      <c r="P95" s="148"/>
      <c r="R95" s="61"/>
    </row>
    <row r="96">
      <c r="A96" s="151"/>
      <c r="B96" s="151"/>
      <c r="C96" s="151"/>
      <c r="D96" s="151"/>
      <c r="E96" s="152"/>
      <c r="G96" s="148"/>
      <c r="H96" s="77"/>
      <c r="I96" s="150"/>
      <c r="J96" s="146"/>
      <c r="K96" s="77"/>
      <c r="L96" s="147" t="str">
        <f t="shared" si="4"/>
        <v/>
      </c>
      <c r="M96" s="77" t="str">
        <f>IFERROR(__xludf.DUMMYFUNCTION("IF(ISDATE(G96), G96 + 21, """")"),"")</f>
        <v/>
      </c>
      <c r="O96" s="77"/>
      <c r="P96" s="148"/>
      <c r="R96" s="61"/>
    </row>
    <row r="97">
      <c r="A97" s="151"/>
      <c r="B97" s="151"/>
      <c r="C97" s="151"/>
      <c r="D97" s="151"/>
      <c r="E97" s="152"/>
      <c r="G97" s="148"/>
      <c r="H97" s="77"/>
      <c r="I97" s="150"/>
      <c r="J97" s="146"/>
      <c r="K97" s="77"/>
      <c r="L97" s="147" t="str">
        <f t="shared" si="4"/>
        <v/>
      </c>
      <c r="M97" s="77" t="str">
        <f>IFERROR(__xludf.DUMMYFUNCTION("IF(ISDATE(G97), G97 + 21, """")"),"")</f>
        <v/>
      </c>
      <c r="O97" s="77"/>
      <c r="P97" s="148"/>
      <c r="R97" s="61"/>
    </row>
    <row r="98">
      <c r="A98" s="151"/>
      <c r="B98" s="151"/>
      <c r="C98" s="151"/>
      <c r="D98" s="151"/>
      <c r="E98" s="152"/>
      <c r="G98" s="148"/>
      <c r="H98" s="77"/>
      <c r="I98" s="150"/>
      <c r="J98" s="146"/>
      <c r="K98" s="77"/>
      <c r="L98" s="147" t="str">
        <f t="shared" si="4"/>
        <v/>
      </c>
      <c r="M98" s="77" t="str">
        <f>IFERROR(__xludf.DUMMYFUNCTION("IF(ISDATE(G98), G98 + 21, """")"),"")</f>
        <v/>
      </c>
      <c r="O98" s="77"/>
      <c r="P98" s="148"/>
      <c r="R98" s="61"/>
    </row>
    <row r="99">
      <c r="A99" s="151"/>
      <c r="B99" s="151"/>
      <c r="C99" s="151"/>
      <c r="D99" s="151"/>
      <c r="E99" s="152"/>
      <c r="G99" s="148"/>
      <c r="H99" s="77"/>
      <c r="I99" s="150"/>
      <c r="J99" s="146"/>
      <c r="K99" s="77"/>
      <c r="L99" s="147" t="str">
        <f t="shared" si="4"/>
        <v/>
      </c>
      <c r="M99" s="77" t="str">
        <f>IFERROR(__xludf.DUMMYFUNCTION("IF(ISDATE(G99), G99 + 21, """")"),"")</f>
        <v/>
      </c>
      <c r="O99" s="77"/>
      <c r="P99" s="148"/>
      <c r="R99" s="61"/>
    </row>
    <row r="100">
      <c r="A100" s="151"/>
      <c r="B100" s="151"/>
      <c r="C100" s="151"/>
      <c r="D100" s="151"/>
      <c r="E100" s="152"/>
      <c r="G100" s="148"/>
      <c r="H100" s="77"/>
      <c r="I100" s="150"/>
      <c r="J100" s="146"/>
      <c r="K100" s="77"/>
      <c r="L100" s="147" t="str">
        <f t="shared" si="4"/>
        <v/>
      </c>
      <c r="M100" s="77" t="str">
        <f>IFERROR(__xludf.DUMMYFUNCTION("IF(ISDATE(G100), G100 + 21, """")"),"")</f>
        <v/>
      </c>
      <c r="O100" s="77"/>
      <c r="P100" s="148"/>
      <c r="R100" s="61"/>
    </row>
    <row r="101">
      <c r="A101" s="151"/>
      <c r="B101" s="151"/>
      <c r="C101" s="151"/>
      <c r="D101" s="151"/>
      <c r="E101" s="152"/>
      <c r="G101" s="148"/>
      <c r="H101" s="77"/>
      <c r="I101" s="150"/>
      <c r="J101" s="146"/>
      <c r="K101" s="77"/>
      <c r="L101" s="147" t="str">
        <f t="shared" si="4"/>
        <v/>
      </c>
      <c r="M101" s="77" t="str">
        <f>IFERROR(__xludf.DUMMYFUNCTION("IF(ISDATE(G101), G101 + 21, """")"),"")</f>
        <v/>
      </c>
      <c r="O101" s="77"/>
      <c r="P101" s="148"/>
      <c r="R101" s="61"/>
    </row>
    <row r="102">
      <c r="A102" s="151"/>
      <c r="B102" s="151"/>
      <c r="C102" s="151"/>
      <c r="D102" s="151"/>
      <c r="E102" s="152"/>
      <c r="G102" s="148"/>
      <c r="H102" s="77"/>
      <c r="I102" s="150"/>
      <c r="J102" s="146"/>
      <c r="K102" s="77"/>
      <c r="L102" s="147" t="str">
        <f t="shared" si="4"/>
        <v/>
      </c>
      <c r="M102" s="77" t="str">
        <f>IFERROR(__xludf.DUMMYFUNCTION("IF(ISDATE(G102), G102 + 21, """")"),"")</f>
        <v/>
      </c>
      <c r="O102" s="77"/>
      <c r="P102" s="148"/>
      <c r="R102" s="61"/>
    </row>
    <row r="103">
      <c r="A103" s="151"/>
      <c r="B103" s="151"/>
      <c r="C103" s="151"/>
      <c r="D103" s="151"/>
      <c r="E103" s="152"/>
      <c r="G103" s="148"/>
      <c r="H103" s="77"/>
      <c r="I103" s="150"/>
      <c r="J103" s="146"/>
      <c r="K103" s="77"/>
      <c r="L103" s="147" t="str">
        <f t="shared" si="4"/>
        <v/>
      </c>
      <c r="M103" s="77" t="str">
        <f>IFERROR(__xludf.DUMMYFUNCTION("IF(ISDATE(G103), G103 + 21, """")"),"")</f>
        <v/>
      </c>
      <c r="O103" s="77"/>
      <c r="P103" s="148"/>
      <c r="R103" s="61"/>
    </row>
    <row r="104">
      <c r="A104" s="151"/>
      <c r="B104" s="151"/>
      <c r="C104" s="151"/>
      <c r="D104" s="151"/>
      <c r="E104" s="152"/>
      <c r="G104" s="148"/>
      <c r="H104" s="77"/>
      <c r="I104" s="150"/>
      <c r="J104" s="146"/>
      <c r="K104" s="77"/>
      <c r="L104" s="147" t="str">
        <f t="shared" si="4"/>
        <v/>
      </c>
      <c r="M104" s="77" t="str">
        <f>IFERROR(__xludf.DUMMYFUNCTION("IF(ISDATE(G104), G104 + 21, """")"),"")</f>
        <v/>
      </c>
      <c r="O104" s="77"/>
      <c r="P104" s="148"/>
      <c r="R104" s="61"/>
    </row>
    <row r="105">
      <c r="A105" s="151"/>
      <c r="B105" s="151"/>
      <c r="C105" s="151"/>
      <c r="D105" s="151"/>
      <c r="E105" s="152"/>
      <c r="G105" s="148"/>
      <c r="H105" s="77"/>
      <c r="I105" s="150"/>
      <c r="J105" s="146"/>
      <c r="K105" s="77"/>
      <c r="L105" s="147" t="str">
        <f t="shared" si="4"/>
        <v/>
      </c>
      <c r="M105" s="77" t="str">
        <f>IFERROR(__xludf.DUMMYFUNCTION("IF(ISDATE(G105), G105 + 21, """")"),"")</f>
        <v/>
      </c>
      <c r="O105" s="77"/>
      <c r="P105" s="148"/>
      <c r="R105" s="61"/>
    </row>
    <row r="106">
      <c r="A106" s="151"/>
      <c r="B106" s="151"/>
      <c r="C106" s="151"/>
      <c r="D106" s="151"/>
      <c r="E106" s="152"/>
      <c r="G106" s="148"/>
      <c r="H106" s="77"/>
      <c r="I106" s="150"/>
      <c r="J106" s="146"/>
      <c r="K106" s="77"/>
      <c r="L106" s="147" t="str">
        <f t="shared" si="4"/>
        <v/>
      </c>
      <c r="M106" s="77" t="str">
        <f>IFERROR(__xludf.DUMMYFUNCTION("IF(ISDATE(G106), G106 + 21, """")"),"")</f>
        <v/>
      </c>
      <c r="O106" s="77"/>
      <c r="P106" s="148"/>
      <c r="R106" s="61"/>
    </row>
    <row r="107">
      <c r="A107" s="151"/>
      <c r="B107" s="151"/>
      <c r="C107" s="151"/>
      <c r="D107" s="151"/>
      <c r="E107" s="152"/>
      <c r="G107" s="148"/>
      <c r="H107" s="77"/>
      <c r="I107" s="150"/>
      <c r="J107" s="146"/>
      <c r="K107" s="77"/>
      <c r="L107" s="147" t="str">
        <f t="shared" si="4"/>
        <v/>
      </c>
      <c r="M107" s="77" t="str">
        <f>IFERROR(__xludf.DUMMYFUNCTION("IF(ISDATE(G107), G107 + 21, """")"),"")</f>
        <v/>
      </c>
      <c r="O107" s="77"/>
      <c r="P107" s="148"/>
      <c r="R107" s="61"/>
    </row>
    <row r="108">
      <c r="A108" s="151"/>
      <c r="B108" s="151"/>
      <c r="C108" s="151"/>
      <c r="D108" s="151"/>
      <c r="E108" s="152"/>
      <c r="G108" s="148"/>
      <c r="H108" s="77"/>
      <c r="I108" s="150"/>
      <c r="J108" s="146"/>
      <c r="K108" s="77"/>
      <c r="L108" s="147" t="str">
        <f t="shared" si="4"/>
        <v/>
      </c>
      <c r="M108" s="77" t="str">
        <f>IFERROR(__xludf.DUMMYFUNCTION("IF(ISDATE(G108), G108 + 21, """")"),"")</f>
        <v/>
      </c>
      <c r="O108" s="77"/>
      <c r="P108" s="148"/>
      <c r="R108" s="61"/>
    </row>
    <row r="109">
      <c r="A109" s="151"/>
      <c r="B109" s="151"/>
      <c r="C109" s="151"/>
      <c r="D109" s="151"/>
      <c r="E109" s="152"/>
      <c r="G109" s="148"/>
      <c r="H109" s="77"/>
      <c r="I109" s="150"/>
      <c r="J109" s="146"/>
      <c r="K109" s="77"/>
      <c r="L109" s="147" t="str">
        <f t="shared" si="4"/>
        <v/>
      </c>
      <c r="M109" s="77" t="str">
        <f>IFERROR(__xludf.DUMMYFUNCTION("IF(ISDATE(G109), G109 + 21, """")"),"")</f>
        <v/>
      </c>
      <c r="O109" s="77"/>
      <c r="P109" s="148"/>
      <c r="R109" s="61"/>
    </row>
    <row r="110">
      <c r="A110" s="151"/>
      <c r="B110" s="151"/>
      <c r="C110" s="151"/>
      <c r="D110" s="151"/>
      <c r="E110" s="152"/>
      <c r="G110" s="148"/>
      <c r="H110" s="77"/>
      <c r="I110" s="150"/>
      <c r="J110" s="146"/>
      <c r="L110" s="147" t="str">
        <f t="shared" si="4"/>
        <v/>
      </c>
      <c r="M110" s="77" t="str">
        <f>IFERROR(__xludf.DUMMYFUNCTION("IF(ISDATE(G110), G110 + 21, """")"),"")</f>
        <v/>
      </c>
      <c r="O110" s="77"/>
      <c r="P110" s="148"/>
      <c r="R110" s="61"/>
    </row>
    <row r="111">
      <c r="A111" s="151"/>
      <c r="B111" s="151"/>
      <c r="C111" s="151"/>
      <c r="D111" s="151"/>
      <c r="E111" s="152"/>
      <c r="G111" s="148"/>
      <c r="H111" s="77"/>
      <c r="I111" s="150"/>
      <c r="J111" s="146"/>
      <c r="M111" s="77" t="str">
        <f>IFERROR(__xludf.DUMMYFUNCTION("IF(ISDATE(G111), G111 + 21, """")"),"")</f>
        <v/>
      </c>
      <c r="O111" s="77"/>
      <c r="P111" s="148"/>
      <c r="R111" s="61"/>
    </row>
    <row r="112">
      <c r="A112" s="151"/>
      <c r="B112" s="151"/>
      <c r="C112" s="151"/>
      <c r="D112" s="151"/>
      <c r="E112" s="152"/>
      <c r="G112" s="148"/>
      <c r="H112" s="77"/>
      <c r="I112" s="150"/>
      <c r="J112" s="146"/>
      <c r="M112" s="77" t="str">
        <f>IFERROR(__xludf.DUMMYFUNCTION("IF(ISDATE(G112), G112 + 21, """")"),"")</f>
        <v/>
      </c>
      <c r="O112" s="77"/>
      <c r="P112" s="148"/>
      <c r="R112" s="61"/>
    </row>
    <row r="113">
      <c r="A113" s="151"/>
      <c r="B113" s="151"/>
      <c r="C113" s="151"/>
      <c r="D113" s="151"/>
      <c r="E113" s="152"/>
      <c r="G113" s="148"/>
      <c r="H113" s="77"/>
      <c r="I113" s="150"/>
      <c r="J113" s="146"/>
      <c r="M113" s="77" t="str">
        <f>IFERROR(__xludf.DUMMYFUNCTION("IF(ISDATE(G113), G113 + 21, """")"),"")</f>
        <v/>
      </c>
      <c r="O113" s="77"/>
      <c r="P113" s="148"/>
      <c r="R113" s="61"/>
    </row>
    <row r="114">
      <c r="A114" s="151"/>
      <c r="B114" s="151"/>
      <c r="C114" s="151"/>
      <c r="D114" s="151"/>
      <c r="E114" s="152"/>
      <c r="G114" s="148"/>
      <c r="H114" s="77"/>
      <c r="I114" s="150"/>
      <c r="J114" s="146"/>
      <c r="M114" s="77" t="str">
        <f>IFERROR(__xludf.DUMMYFUNCTION("IF(ISDATE(G114), G114 + 21, """")"),"")</f>
        <v/>
      </c>
      <c r="O114" s="77"/>
      <c r="P114" s="148"/>
      <c r="R114" s="61"/>
    </row>
    <row r="115">
      <c r="A115" s="151"/>
      <c r="B115" s="151"/>
      <c r="C115" s="151"/>
      <c r="D115" s="151"/>
      <c r="E115" s="152"/>
      <c r="G115" s="148"/>
      <c r="H115" s="77"/>
      <c r="I115" s="150"/>
      <c r="J115" s="150"/>
      <c r="M115" s="77" t="str">
        <f>IFERROR(__xludf.DUMMYFUNCTION("IF(ISDATE(G115), G115 + 21, """")"),"")</f>
        <v/>
      </c>
      <c r="O115" s="77"/>
      <c r="P115" s="148"/>
      <c r="R115" s="61"/>
    </row>
    <row r="116">
      <c r="A116" s="151"/>
      <c r="B116" s="151"/>
      <c r="C116" s="151"/>
      <c r="D116" s="151"/>
      <c r="E116" s="152"/>
      <c r="G116" s="148"/>
      <c r="H116" s="77"/>
      <c r="I116" s="150"/>
      <c r="J116" s="150"/>
      <c r="M116" s="77" t="str">
        <f>IFERROR(__xludf.DUMMYFUNCTION("IF(ISDATE(G116), G116 + 21, """")"),"")</f>
        <v/>
      </c>
      <c r="O116" s="77"/>
      <c r="P116" s="148"/>
      <c r="R116" s="61"/>
    </row>
    <row r="117">
      <c r="A117" s="151"/>
      <c r="B117" s="151"/>
      <c r="C117" s="151"/>
      <c r="D117" s="151"/>
      <c r="E117" s="152"/>
      <c r="G117" s="148"/>
      <c r="I117" s="150"/>
      <c r="J117" s="150"/>
      <c r="O117" s="77"/>
      <c r="P117" s="148"/>
      <c r="R117" s="61"/>
    </row>
    <row r="118">
      <c r="A118" s="151"/>
      <c r="B118" s="151"/>
      <c r="C118" s="151"/>
      <c r="D118" s="151"/>
      <c r="E118" s="152"/>
      <c r="G118" s="148"/>
      <c r="I118" s="150"/>
      <c r="J118" s="150"/>
      <c r="O118" s="77"/>
      <c r="P118" s="148"/>
      <c r="R118" s="61"/>
    </row>
    <row r="119">
      <c r="A119" s="151"/>
      <c r="B119" s="151"/>
      <c r="C119" s="151"/>
      <c r="D119" s="151"/>
      <c r="E119" s="152"/>
      <c r="G119" s="148"/>
      <c r="I119" s="150"/>
      <c r="J119" s="150"/>
      <c r="O119" s="77"/>
      <c r="P119" s="148"/>
      <c r="R119" s="61"/>
    </row>
    <row r="120">
      <c r="A120" s="151"/>
      <c r="B120" s="151"/>
      <c r="C120" s="151"/>
      <c r="D120" s="151"/>
      <c r="E120" s="152"/>
      <c r="G120" s="148"/>
      <c r="O120" s="77"/>
      <c r="P120" s="148"/>
      <c r="R120" s="61"/>
    </row>
    <row r="121">
      <c r="A121" s="151"/>
      <c r="B121" s="151"/>
      <c r="C121" s="151"/>
      <c r="D121" s="151"/>
      <c r="E121" s="152"/>
      <c r="G121" s="148"/>
      <c r="O121" s="77"/>
      <c r="P121" s="148"/>
      <c r="R121" s="61"/>
    </row>
    <row r="122">
      <c r="A122" s="151"/>
      <c r="B122" s="151"/>
      <c r="C122" s="151"/>
      <c r="D122" s="151"/>
      <c r="E122" s="152"/>
      <c r="G122" s="148"/>
      <c r="O122" s="77"/>
      <c r="P122" s="148"/>
      <c r="R122" s="61"/>
    </row>
    <row r="123">
      <c r="A123" s="151"/>
      <c r="B123" s="151"/>
      <c r="C123" s="151"/>
      <c r="D123" s="151"/>
      <c r="E123" s="152"/>
      <c r="G123" s="148"/>
      <c r="O123" s="77"/>
      <c r="P123" s="148"/>
      <c r="R123" s="61"/>
    </row>
    <row r="124">
      <c r="A124" s="151"/>
      <c r="B124" s="151"/>
      <c r="C124" s="151"/>
      <c r="D124" s="151"/>
      <c r="E124" s="152"/>
      <c r="G124" s="148"/>
      <c r="O124" s="77"/>
      <c r="P124" s="148"/>
      <c r="R124" s="61"/>
    </row>
    <row r="125">
      <c r="A125" s="151"/>
      <c r="B125" s="151"/>
      <c r="C125" s="151"/>
      <c r="D125" s="151"/>
      <c r="E125" s="152"/>
      <c r="G125" s="148"/>
      <c r="O125" s="77"/>
      <c r="P125" s="148"/>
      <c r="R125" s="61"/>
    </row>
    <row r="126">
      <c r="A126" s="151"/>
      <c r="B126" s="151"/>
      <c r="C126" s="151"/>
      <c r="D126" s="151"/>
      <c r="E126" s="152"/>
      <c r="G126" s="148"/>
      <c r="O126" s="77"/>
      <c r="R126" s="61"/>
    </row>
    <row r="127">
      <c r="A127" s="151"/>
      <c r="B127" s="151"/>
      <c r="C127" s="151"/>
      <c r="D127" s="151"/>
      <c r="E127" s="152"/>
      <c r="G127" s="148"/>
      <c r="O127" s="77"/>
      <c r="R127" s="61"/>
    </row>
    <row r="128">
      <c r="A128" s="151"/>
      <c r="B128" s="151"/>
      <c r="C128" s="151"/>
      <c r="D128" s="151"/>
      <c r="E128" s="152"/>
      <c r="G128" s="148"/>
      <c r="O128" s="77"/>
      <c r="R128" s="61"/>
    </row>
    <row r="129">
      <c r="A129" s="151"/>
      <c r="B129" s="151"/>
      <c r="C129" s="151"/>
      <c r="D129" s="151"/>
      <c r="E129" s="152"/>
      <c r="G129" s="148"/>
      <c r="O129" s="77"/>
      <c r="R129" s="61"/>
    </row>
    <row r="130">
      <c r="A130" s="151"/>
      <c r="B130" s="151"/>
      <c r="C130" s="151"/>
      <c r="D130" s="151"/>
      <c r="E130" s="152"/>
      <c r="G130" s="148"/>
      <c r="O130" s="77"/>
      <c r="R130" s="61"/>
    </row>
    <row r="131">
      <c r="A131" s="151"/>
      <c r="B131" s="151"/>
      <c r="C131" s="151"/>
      <c r="D131" s="151"/>
      <c r="E131" s="152"/>
      <c r="G131" s="148"/>
      <c r="O131" s="77"/>
      <c r="R131" s="61"/>
    </row>
    <row r="132">
      <c r="A132" s="151"/>
      <c r="B132" s="151"/>
      <c r="C132" s="151"/>
      <c r="D132" s="151"/>
      <c r="E132" s="152"/>
      <c r="G132" s="148"/>
      <c r="O132" s="77"/>
      <c r="R132" s="61"/>
    </row>
    <row r="133">
      <c r="A133" s="151"/>
      <c r="B133" s="151"/>
      <c r="C133" s="151"/>
      <c r="D133" s="151"/>
      <c r="E133" s="152"/>
      <c r="G133" s="148"/>
      <c r="O133" s="77"/>
      <c r="R133" s="61"/>
    </row>
    <row r="134">
      <c r="A134" s="151"/>
      <c r="B134" s="151"/>
      <c r="C134" s="151"/>
      <c r="D134" s="151"/>
      <c r="E134" s="152"/>
      <c r="G134" s="148"/>
      <c r="O134" s="77"/>
      <c r="R134" s="61"/>
    </row>
    <row r="135">
      <c r="A135" s="151"/>
      <c r="B135" s="151"/>
      <c r="C135" s="151"/>
      <c r="D135" s="151"/>
      <c r="E135" s="152"/>
      <c r="G135" s="148"/>
      <c r="O135" s="77"/>
      <c r="R135" s="61"/>
    </row>
    <row r="136">
      <c r="A136" s="151"/>
      <c r="B136" s="151"/>
      <c r="C136" s="151"/>
      <c r="D136" s="151"/>
      <c r="E136" s="152"/>
      <c r="G136" s="148"/>
      <c r="O136" s="77"/>
      <c r="R136" s="61"/>
    </row>
    <row r="137">
      <c r="A137" s="151"/>
      <c r="B137" s="151"/>
      <c r="C137" s="151"/>
      <c r="D137" s="151"/>
      <c r="E137" s="152"/>
      <c r="G137" s="148"/>
      <c r="O137" s="77"/>
      <c r="R137" s="61"/>
    </row>
    <row r="138">
      <c r="A138" s="151"/>
      <c r="B138" s="151"/>
      <c r="C138" s="151"/>
      <c r="D138" s="151"/>
      <c r="E138" s="152"/>
      <c r="G138" s="148"/>
      <c r="O138" s="77"/>
      <c r="R138" s="61"/>
    </row>
    <row r="139">
      <c r="A139" s="151"/>
      <c r="B139" s="151"/>
      <c r="C139" s="151"/>
      <c r="D139" s="151"/>
      <c r="E139" s="152"/>
      <c r="G139" s="148"/>
      <c r="O139" s="77"/>
      <c r="R139" s="61"/>
    </row>
    <row r="140">
      <c r="A140" s="151"/>
      <c r="B140" s="151"/>
      <c r="C140" s="151"/>
      <c r="D140" s="151"/>
      <c r="E140" s="152"/>
      <c r="G140" s="148"/>
      <c r="O140" s="77"/>
      <c r="R140" s="61"/>
    </row>
    <row r="141">
      <c r="A141" s="151"/>
      <c r="B141" s="151"/>
      <c r="C141" s="151"/>
      <c r="D141" s="151"/>
      <c r="E141" s="152"/>
      <c r="G141" s="148"/>
      <c r="O141" s="77"/>
      <c r="R141" s="61"/>
    </row>
    <row r="142">
      <c r="A142" s="151"/>
      <c r="B142" s="151"/>
      <c r="C142" s="151"/>
      <c r="D142" s="151"/>
      <c r="E142" s="152"/>
      <c r="O142" s="77"/>
      <c r="R142" s="61"/>
    </row>
    <row r="143">
      <c r="A143" s="151"/>
      <c r="B143" s="151"/>
      <c r="C143" s="151"/>
      <c r="D143" s="151"/>
      <c r="E143" s="152"/>
      <c r="R143" s="61"/>
    </row>
    <row r="144">
      <c r="A144" s="151"/>
      <c r="B144" s="151"/>
      <c r="C144" s="151"/>
      <c r="D144" s="151"/>
      <c r="E144" s="152"/>
      <c r="R144" s="61"/>
    </row>
    <row r="145">
      <c r="A145" s="151"/>
      <c r="B145" s="151"/>
      <c r="C145" s="151"/>
      <c r="D145" s="151"/>
      <c r="E145" s="152"/>
      <c r="R145" s="61"/>
    </row>
    <row r="146">
      <c r="A146" s="151"/>
      <c r="B146" s="151"/>
      <c r="C146" s="151"/>
      <c r="D146" s="151"/>
      <c r="E146" s="152"/>
      <c r="R146" s="61"/>
    </row>
    <row r="147">
      <c r="A147" s="151"/>
      <c r="B147" s="151"/>
      <c r="C147" s="151"/>
      <c r="D147" s="151"/>
      <c r="E147" s="152"/>
      <c r="R147" s="61"/>
    </row>
    <row r="148">
      <c r="A148" s="151"/>
      <c r="B148" s="151"/>
      <c r="C148" s="151"/>
      <c r="D148" s="151"/>
      <c r="E148" s="152"/>
      <c r="R148" s="61"/>
    </row>
    <row r="149">
      <c r="A149" s="151"/>
      <c r="B149" s="151"/>
      <c r="C149" s="151"/>
      <c r="D149" s="151"/>
      <c r="E149" s="152"/>
      <c r="R149" s="61"/>
    </row>
    <row r="150">
      <c r="A150" s="151"/>
      <c r="B150" s="151"/>
      <c r="C150" s="151"/>
      <c r="D150" s="151"/>
      <c r="E150" s="152"/>
      <c r="R150" s="61"/>
    </row>
    <row r="151">
      <c r="A151" s="151"/>
      <c r="B151" s="151"/>
      <c r="C151" s="151"/>
      <c r="D151" s="151"/>
      <c r="E151" s="152"/>
      <c r="R151" s="61"/>
    </row>
    <row r="152">
      <c r="A152" s="151"/>
      <c r="B152" s="151"/>
      <c r="C152" s="151"/>
      <c r="D152" s="151"/>
      <c r="E152" s="152"/>
      <c r="R152" s="61"/>
    </row>
    <row r="153">
      <c r="A153" s="151"/>
      <c r="B153" s="151"/>
      <c r="C153" s="151"/>
      <c r="D153" s="151"/>
      <c r="E153" s="152"/>
      <c r="R153" s="61"/>
    </row>
    <row r="154">
      <c r="A154" s="151"/>
      <c r="B154" s="151"/>
      <c r="C154" s="151"/>
      <c r="D154" s="151"/>
      <c r="E154" s="152"/>
      <c r="R154" s="61"/>
    </row>
    <row r="155">
      <c r="A155" s="151"/>
      <c r="B155" s="151"/>
      <c r="C155" s="151"/>
      <c r="D155" s="151"/>
      <c r="E155" s="152"/>
      <c r="R155" s="61"/>
    </row>
    <row r="156">
      <c r="A156" s="151"/>
      <c r="B156" s="151"/>
      <c r="C156" s="151"/>
      <c r="D156" s="151"/>
      <c r="E156" s="152"/>
      <c r="R156" s="61"/>
    </row>
    <row r="157">
      <c r="A157" s="151"/>
      <c r="B157" s="151"/>
      <c r="C157" s="151"/>
      <c r="D157" s="151"/>
      <c r="E157" s="152"/>
      <c r="R157" s="61"/>
    </row>
    <row r="158">
      <c r="A158" s="151"/>
      <c r="B158" s="151"/>
      <c r="C158" s="151"/>
      <c r="D158" s="151"/>
      <c r="E158" s="152"/>
      <c r="R158" s="61"/>
    </row>
    <row r="159">
      <c r="A159" s="151"/>
      <c r="B159" s="151"/>
      <c r="C159" s="151"/>
      <c r="D159" s="151"/>
      <c r="E159" s="152"/>
      <c r="R159" s="61"/>
    </row>
    <row r="160">
      <c r="A160" s="151"/>
      <c r="B160" s="151"/>
      <c r="C160" s="151"/>
      <c r="D160" s="151"/>
      <c r="E160" s="152"/>
      <c r="R160" s="61"/>
    </row>
    <row r="161">
      <c r="A161" s="151"/>
      <c r="B161" s="151"/>
      <c r="C161" s="151"/>
      <c r="D161" s="151"/>
      <c r="E161" s="152"/>
      <c r="R161" s="61"/>
    </row>
    <row r="162">
      <c r="A162" s="151"/>
      <c r="B162" s="151"/>
      <c r="C162" s="151"/>
      <c r="D162" s="151"/>
      <c r="E162" s="152"/>
      <c r="R162" s="61"/>
    </row>
    <row r="163">
      <c r="A163" s="151"/>
      <c r="B163" s="151"/>
      <c r="C163" s="151"/>
      <c r="D163" s="151"/>
      <c r="E163" s="152"/>
      <c r="R163" s="61"/>
    </row>
    <row r="164">
      <c r="A164" s="151"/>
      <c r="B164" s="151"/>
      <c r="C164" s="151"/>
      <c r="D164" s="151"/>
      <c r="E164" s="152"/>
      <c r="R164" s="61"/>
    </row>
    <row r="165">
      <c r="A165" s="151"/>
      <c r="B165" s="151"/>
      <c r="C165" s="151"/>
      <c r="D165" s="151"/>
      <c r="E165" s="152"/>
      <c r="R165" s="61"/>
    </row>
    <row r="166">
      <c r="A166" s="151"/>
      <c r="B166" s="151"/>
      <c r="C166" s="151"/>
      <c r="D166" s="151"/>
      <c r="E166" s="152"/>
      <c r="R166" s="61"/>
    </row>
    <row r="167">
      <c r="A167" s="151"/>
      <c r="B167" s="151"/>
      <c r="C167" s="151"/>
      <c r="D167" s="151"/>
      <c r="E167" s="152"/>
      <c r="R167" s="61"/>
    </row>
    <row r="168">
      <c r="A168" s="151"/>
      <c r="B168" s="151"/>
      <c r="C168" s="151"/>
      <c r="D168" s="151"/>
      <c r="E168" s="152"/>
      <c r="R168" s="61"/>
    </row>
    <row r="169">
      <c r="A169" s="151"/>
      <c r="B169" s="151"/>
      <c r="C169" s="151"/>
      <c r="D169" s="151"/>
      <c r="E169" s="152"/>
      <c r="R169" s="61"/>
    </row>
    <row r="170">
      <c r="A170" s="151"/>
      <c r="B170" s="151"/>
      <c r="C170" s="151"/>
      <c r="D170" s="151"/>
      <c r="E170" s="152"/>
      <c r="R170" s="61"/>
    </row>
    <row r="171">
      <c r="A171" s="151"/>
      <c r="B171" s="151"/>
      <c r="C171" s="151"/>
      <c r="D171" s="151"/>
      <c r="E171" s="152"/>
      <c r="R171" s="61"/>
    </row>
    <row r="172">
      <c r="A172" s="151"/>
      <c r="B172" s="151"/>
      <c r="C172" s="151"/>
      <c r="D172" s="151"/>
      <c r="E172" s="152"/>
      <c r="R172" s="61"/>
    </row>
    <row r="173">
      <c r="A173" s="151"/>
      <c r="B173" s="151"/>
      <c r="C173" s="151"/>
      <c r="D173" s="151"/>
      <c r="E173" s="152"/>
      <c r="R173" s="61"/>
    </row>
    <row r="174">
      <c r="A174" s="151"/>
      <c r="B174" s="151"/>
      <c r="C174" s="151"/>
      <c r="D174" s="151"/>
      <c r="E174" s="152"/>
      <c r="R174" s="61"/>
    </row>
    <row r="175">
      <c r="A175" s="151"/>
      <c r="B175" s="151"/>
      <c r="C175" s="151"/>
      <c r="D175" s="151"/>
      <c r="E175" s="152"/>
      <c r="R175" s="61"/>
    </row>
    <row r="176">
      <c r="A176" s="151"/>
      <c r="B176" s="151"/>
      <c r="C176" s="151"/>
      <c r="D176" s="151"/>
      <c r="E176" s="152"/>
      <c r="R176" s="61"/>
    </row>
    <row r="177">
      <c r="A177" s="151"/>
      <c r="B177" s="151"/>
      <c r="C177" s="151"/>
      <c r="D177" s="151"/>
      <c r="E177" s="152"/>
      <c r="R177" s="61"/>
    </row>
    <row r="178">
      <c r="A178" s="151"/>
      <c r="B178" s="151"/>
      <c r="C178" s="151"/>
      <c r="D178" s="151"/>
      <c r="E178" s="152"/>
    </row>
    <row r="179">
      <c r="A179" s="151"/>
      <c r="B179" s="151"/>
      <c r="C179" s="151"/>
      <c r="D179" s="151"/>
      <c r="E179" s="152"/>
    </row>
    <row r="180">
      <c r="A180" s="151"/>
      <c r="B180" s="151"/>
      <c r="C180" s="151"/>
      <c r="D180" s="151"/>
      <c r="E180" s="152"/>
    </row>
    <row r="181">
      <c r="A181" s="151"/>
      <c r="B181" s="151"/>
      <c r="C181" s="151"/>
      <c r="D181" s="151"/>
      <c r="E181" s="152"/>
    </row>
    <row r="182">
      <c r="A182" s="151"/>
      <c r="B182" s="151"/>
      <c r="C182" s="151"/>
      <c r="D182" s="151"/>
      <c r="E182" s="152"/>
    </row>
    <row r="183">
      <c r="A183" s="151"/>
      <c r="B183" s="151"/>
      <c r="C183" s="151"/>
      <c r="D183" s="151"/>
      <c r="E183" s="152"/>
    </row>
    <row r="184">
      <c r="A184" s="151"/>
      <c r="B184" s="151"/>
      <c r="C184" s="151"/>
      <c r="D184" s="151"/>
      <c r="E184" s="152"/>
    </row>
    <row r="185">
      <c r="A185" s="151"/>
      <c r="B185" s="151"/>
      <c r="C185" s="151"/>
      <c r="D185" s="151"/>
      <c r="E185" s="152"/>
    </row>
    <row r="186">
      <c r="A186" s="151"/>
      <c r="B186" s="151"/>
      <c r="C186" s="151"/>
      <c r="D186" s="151"/>
      <c r="E186" s="152"/>
    </row>
    <row r="187">
      <c r="A187" s="151"/>
      <c r="B187" s="151"/>
      <c r="C187" s="151"/>
      <c r="D187" s="151"/>
      <c r="E187" s="152"/>
    </row>
    <row r="188">
      <c r="A188" s="151"/>
      <c r="B188" s="151"/>
      <c r="C188" s="151"/>
      <c r="D188" s="151"/>
      <c r="E188" s="152"/>
    </row>
    <row r="189">
      <c r="A189" s="151"/>
      <c r="B189" s="151"/>
      <c r="C189" s="151"/>
      <c r="D189" s="151"/>
      <c r="E189" s="152"/>
    </row>
    <row r="190">
      <c r="A190" s="151"/>
      <c r="B190" s="151"/>
      <c r="C190" s="151"/>
      <c r="D190" s="151"/>
      <c r="E190" s="152"/>
    </row>
    <row r="191">
      <c r="A191" s="151"/>
      <c r="B191" s="151"/>
      <c r="C191" s="151"/>
      <c r="D191" s="151"/>
      <c r="E191" s="152"/>
    </row>
    <row r="192">
      <c r="A192" s="151"/>
      <c r="B192" s="151"/>
      <c r="C192" s="151"/>
      <c r="D192" s="151"/>
      <c r="E192" s="152"/>
    </row>
    <row r="193">
      <c r="A193" s="151"/>
      <c r="B193" s="151"/>
      <c r="C193" s="151"/>
      <c r="D193" s="151"/>
      <c r="E193" s="152"/>
    </row>
    <row r="194">
      <c r="A194" s="151"/>
      <c r="B194" s="151"/>
      <c r="C194" s="151"/>
      <c r="D194" s="151"/>
      <c r="E194" s="152"/>
    </row>
    <row r="195">
      <c r="A195" s="151"/>
      <c r="B195" s="151"/>
      <c r="C195" s="151"/>
      <c r="D195" s="151"/>
      <c r="E195" s="152"/>
    </row>
    <row r="196">
      <c r="A196" s="151"/>
      <c r="B196" s="151"/>
      <c r="C196" s="151"/>
      <c r="D196" s="151"/>
      <c r="E196" s="152"/>
    </row>
    <row r="197">
      <c r="A197" s="151"/>
      <c r="B197" s="151"/>
      <c r="C197" s="151"/>
      <c r="D197" s="151"/>
      <c r="E197" s="152"/>
    </row>
    <row r="198">
      <c r="A198" s="151"/>
      <c r="B198" s="151"/>
      <c r="C198" s="151"/>
      <c r="D198" s="151"/>
      <c r="E198" s="152"/>
    </row>
    <row r="199">
      <c r="A199" s="151"/>
      <c r="B199" s="151"/>
      <c r="C199" s="151"/>
      <c r="D199" s="151"/>
      <c r="E199" s="152"/>
    </row>
    <row r="200">
      <c r="A200" s="151"/>
      <c r="B200" s="151"/>
      <c r="C200" s="151"/>
      <c r="D200" s="151"/>
      <c r="E200" s="152"/>
    </row>
    <row r="201">
      <c r="A201" s="151"/>
      <c r="B201" s="151"/>
      <c r="C201" s="151"/>
      <c r="D201" s="151"/>
      <c r="E201" s="152"/>
    </row>
    <row r="202">
      <c r="A202" s="151"/>
      <c r="B202" s="151"/>
      <c r="C202" s="151"/>
      <c r="D202" s="151"/>
      <c r="E202" s="152"/>
    </row>
    <row r="203">
      <c r="A203" s="151"/>
      <c r="B203" s="151"/>
      <c r="C203" s="151"/>
      <c r="D203" s="151"/>
      <c r="E203" s="152"/>
    </row>
    <row r="204">
      <c r="A204" s="151"/>
      <c r="B204" s="151"/>
      <c r="C204" s="151"/>
      <c r="D204" s="151"/>
      <c r="E204" s="152"/>
    </row>
    <row r="205">
      <c r="A205" s="151"/>
      <c r="B205" s="151"/>
      <c r="C205" s="151"/>
      <c r="D205" s="151"/>
      <c r="E205" s="152"/>
    </row>
    <row r="206">
      <c r="A206" s="151"/>
      <c r="B206" s="151"/>
      <c r="C206" s="151"/>
      <c r="D206" s="151"/>
      <c r="E206" s="152"/>
    </row>
    <row r="207">
      <c r="A207" s="151"/>
      <c r="B207" s="151"/>
      <c r="C207" s="151"/>
      <c r="D207" s="151"/>
      <c r="E207" s="152"/>
    </row>
    <row r="208">
      <c r="A208" s="151"/>
      <c r="B208" s="151"/>
      <c r="C208" s="151"/>
      <c r="D208" s="151"/>
      <c r="E208" s="152"/>
    </row>
    <row r="209">
      <c r="A209" s="151"/>
      <c r="B209" s="151"/>
      <c r="C209" s="151"/>
      <c r="D209" s="151"/>
      <c r="E209" s="152"/>
    </row>
    <row r="210">
      <c r="A210" s="151"/>
      <c r="B210" s="151"/>
      <c r="C210" s="151"/>
      <c r="D210" s="151"/>
      <c r="E210" s="152"/>
    </row>
    <row r="211">
      <c r="A211" s="151"/>
      <c r="B211" s="151"/>
      <c r="C211" s="151"/>
      <c r="D211" s="151"/>
      <c r="E211" s="152"/>
    </row>
    <row r="212">
      <c r="A212" s="151"/>
      <c r="B212" s="151"/>
      <c r="C212" s="151"/>
      <c r="D212" s="151"/>
      <c r="E212" s="152"/>
    </row>
    <row r="213">
      <c r="A213" s="151"/>
      <c r="B213" s="151"/>
      <c r="C213" s="151"/>
      <c r="D213" s="151"/>
      <c r="E213" s="152"/>
    </row>
    <row r="214">
      <c r="A214" s="151"/>
      <c r="B214" s="151"/>
      <c r="C214" s="151"/>
      <c r="D214" s="151"/>
      <c r="E214" s="152"/>
    </row>
    <row r="215">
      <c r="A215" s="151"/>
      <c r="B215" s="151"/>
      <c r="C215" s="151"/>
      <c r="D215" s="151"/>
      <c r="E215" s="152"/>
    </row>
    <row r="216">
      <c r="A216" s="151"/>
      <c r="B216" s="151"/>
      <c r="C216" s="151"/>
      <c r="D216" s="151"/>
      <c r="E216" s="152"/>
    </row>
    <row r="217">
      <c r="A217" s="151"/>
      <c r="B217" s="151"/>
      <c r="C217" s="151"/>
      <c r="D217" s="151"/>
      <c r="E217" s="152"/>
    </row>
    <row r="218">
      <c r="A218" s="151"/>
      <c r="B218" s="151"/>
      <c r="C218" s="151"/>
      <c r="D218" s="151"/>
      <c r="E218" s="152"/>
    </row>
    <row r="219">
      <c r="A219" s="151"/>
      <c r="B219" s="151"/>
      <c r="C219" s="151"/>
      <c r="D219" s="151"/>
      <c r="E219" s="152"/>
    </row>
    <row r="220">
      <c r="A220" s="151"/>
      <c r="B220" s="151"/>
      <c r="C220" s="151"/>
      <c r="D220" s="151"/>
      <c r="E220" s="152"/>
    </row>
    <row r="221">
      <c r="A221" s="151"/>
      <c r="B221" s="151"/>
      <c r="C221" s="151"/>
      <c r="D221" s="151"/>
      <c r="E221" s="152"/>
    </row>
    <row r="222">
      <c r="A222" s="151"/>
      <c r="B222" s="151"/>
      <c r="C222" s="151"/>
      <c r="D222" s="151"/>
      <c r="E222" s="152"/>
    </row>
    <row r="223">
      <c r="A223" s="151"/>
      <c r="B223" s="151"/>
      <c r="C223" s="151"/>
      <c r="D223" s="151"/>
      <c r="E223" s="152"/>
    </row>
    <row r="224">
      <c r="A224" s="151"/>
      <c r="B224" s="151"/>
      <c r="C224" s="151"/>
      <c r="D224" s="151"/>
      <c r="E224" s="152"/>
    </row>
    <row r="225">
      <c r="A225" s="151"/>
      <c r="B225" s="151"/>
      <c r="C225" s="151"/>
      <c r="D225" s="151"/>
      <c r="E225" s="152"/>
    </row>
    <row r="226">
      <c r="A226" s="151"/>
      <c r="B226" s="151"/>
      <c r="C226" s="151"/>
      <c r="D226" s="151"/>
      <c r="E226" s="152"/>
    </row>
    <row r="227">
      <c r="A227" s="151"/>
      <c r="B227" s="151"/>
      <c r="C227" s="151"/>
      <c r="D227" s="151"/>
      <c r="E227" s="152"/>
    </row>
    <row r="228">
      <c r="A228" s="151"/>
      <c r="B228" s="151"/>
      <c r="C228" s="151"/>
      <c r="D228" s="151"/>
      <c r="E228" s="152"/>
    </row>
    <row r="229">
      <c r="A229" s="151"/>
      <c r="B229" s="151"/>
      <c r="C229" s="151"/>
      <c r="D229" s="151"/>
      <c r="E229" s="152"/>
    </row>
    <row r="230">
      <c r="A230" s="151"/>
      <c r="B230" s="151"/>
      <c r="C230" s="151"/>
      <c r="D230" s="151"/>
      <c r="E230" s="152"/>
    </row>
    <row r="231">
      <c r="A231" s="151"/>
      <c r="B231" s="151"/>
      <c r="C231" s="151"/>
      <c r="D231" s="151"/>
      <c r="E231" s="152"/>
    </row>
    <row r="232">
      <c r="A232" s="151"/>
      <c r="B232" s="151"/>
      <c r="C232" s="151"/>
      <c r="D232" s="151"/>
      <c r="E232" s="152"/>
    </row>
    <row r="233">
      <c r="A233" s="151"/>
      <c r="B233" s="151"/>
      <c r="C233" s="151"/>
      <c r="D233" s="151"/>
      <c r="E233" s="152"/>
    </row>
    <row r="234">
      <c r="A234" s="151"/>
      <c r="B234" s="151"/>
      <c r="C234" s="151"/>
      <c r="D234" s="151"/>
      <c r="E234" s="152"/>
    </row>
    <row r="235">
      <c r="A235" s="151"/>
      <c r="B235" s="151"/>
      <c r="C235" s="151"/>
      <c r="D235" s="151"/>
      <c r="E235" s="152"/>
    </row>
    <row r="236">
      <c r="A236" s="151"/>
      <c r="B236" s="151"/>
      <c r="C236" s="151"/>
      <c r="D236" s="151"/>
      <c r="E236" s="152"/>
    </row>
    <row r="237">
      <c r="A237" s="151"/>
      <c r="B237" s="151"/>
      <c r="C237" s="151"/>
      <c r="D237" s="151"/>
      <c r="E237" s="152"/>
    </row>
    <row r="238">
      <c r="A238" s="151"/>
      <c r="B238" s="151"/>
      <c r="C238" s="151"/>
      <c r="D238" s="151"/>
      <c r="E238" s="152"/>
    </row>
    <row r="239">
      <c r="A239" s="151"/>
      <c r="B239" s="151"/>
      <c r="C239" s="151"/>
      <c r="D239" s="151"/>
      <c r="E239" s="152"/>
    </row>
    <row r="240">
      <c r="A240" s="151"/>
      <c r="B240" s="151"/>
      <c r="C240" s="151"/>
      <c r="D240" s="151"/>
      <c r="E240" s="152"/>
    </row>
    <row r="241">
      <c r="A241" s="151"/>
      <c r="B241" s="151"/>
      <c r="C241" s="151"/>
      <c r="D241" s="151"/>
      <c r="E241" s="152"/>
    </row>
    <row r="242">
      <c r="A242" s="151"/>
      <c r="B242" s="151"/>
      <c r="C242" s="151"/>
      <c r="D242" s="151"/>
      <c r="E242" s="152"/>
    </row>
    <row r="243">
      <c r="A243" s="151"/>
      <c r="B243" s="151"/>
      <c r="C243" s="151"/>
      <c r="D243" s="151"/>
      <c r="E243" s="152"/>
    </row>
    <row r="244">
      <c r="A244" s="151"/>
      <c r="B244" s="151"/>
      <c r="C244" s="151"/>
      <c r="D244" s="151"/>
      <c r="E244" s="152"/>
    </row>
    <row r="245">
      <c r="A245" s="151"/>
      <c r="B245" s="151"/>
      <c r="C245" s="151"/>
      <c r="D245" s="151"/>
      <c r="E245" s="152"/>
    </row>
    <row r="246">
      <c r="A246" s="151"/>
      <c r="B246" s="151"/>
      <c r="C246" s="151"/>
      <c r="D246" s="151"/>
      <c r="E246" s="152"/>
    </row>
    <row r="247">
      <c r="A247" s="151"/>
      <c r="B247" s="151"/>
      <c r="C247" s="151"/>
      <c r="D247" s="151"/>
      <c r="E247" s="152"/>
    </row>
    <row r="248">
      <c r="A248" s="151"/>
      <c r="B248" s="151"/>
      <c r="C248" s="151"/>
      <c r="D248" s="151"/>
      <c r="E248" s="152"/>
    </row>
    <row r="249">
      <c r="A249" s="151"/>
      <c r="B249" s="151"/>
      <c r="C249" s="151"/>
      <c r="D249" s="151"/>
      <c r="E249" s="152"/>
    </row>
    <row r="250">
      <c r="A250" s="151"/>
      <c r="B250" s="151"/>
      <c r="C250" s="151"/>
      <c r="D250" s="151"/>
      <c r="E250" s="152"/>
    </row>
    <row r="251">
      <c r="A251" s="151"/>
      <c r="B251" s="151"/>
      <c r="C251" s="151"/>
      <c r="D251" s="151"/>
      <c r="E251" s="152"/>
    </row>
    <row r="252">
      <c r="A252" s="151"/>
      <c r="B252" s="151"/>
      <c r="C252" s="151"/>
      <c r="D252" s="151"/>
      <c r="E252" s="152"/>
    </row>
    <row r="253">
      <c r="A253" s="151"/>
      <c r="B253" s="151"/>
      <c r="C253" s="151"/>
      <c r="D253" s="151"/>
      <c r="E253" s="152"/>
    </row>
    <row r="254">
      <c r="A254" s="151"/>
      <c r="B254" s="151"/>
      <c r="C254" s="151"/>
      <c r="D254" s="151"/>
      <c r="E254" s="152"/>
    </row>
    <row r="255">
      <c r="A255" s="151"/>
      <c r="B255" s="151"/>
      <c r="C255" s="151"/>
      <c r="D255" s="151"/>
      <c r="E255" s="152"/>
    </row>
    <row r="256">
      <c r="A256" s="151"/>
      <c r="B256" s="151"/>
      <c r="C256" s="151"/>
      <c r="D256" s="151"/>
      <c r="E256" s="152"/>
    </row>
    <row r="257">
      <c r="A257" s="151"/>
      <c r="B257" s="151"/>
      <c r="C257" s="151"/>
      <c r="D257" s="151"/>
      <c r="E257" s="152"/>
    </row>
    <row r="258">
      <c r="A258" s="151"/>
      <c r="B258" s="151"/>
      <c r="C258" s="151"/>
      <c r="D258" s="151"/>
      <c r="E258" s="152"/>
    </row>
    <row r="259">
      <c r="A259" s="151"/>
      <c r="B259" s="151"/>
      <c r="C259" s="151"/>
      <c r="D259" s="151"/>
      <c r="E259" s="152"/>
    </row>
    <row r="260">
      <c r="A260" s="151"/>
      <c r="B260" s="151"/>
      <c r="C260" s="151"/>
      <c r="D260" s="151"/>
      <c r="E260" s="152"/>
    </row>
    <row r="261">
      <c r="A261" s="151"/>
      <c r="B261" s="151"/>
      <c r="C261" s="151"/>
      <c r="D261" s="151"/>
      <c r="E261" s="152"/>
    </row>
    <row r="262">
      <c r="A262" s="151"/>
      <c r="B262" s="151"/>
      <c r="C262" s="151"/>
      <c r="D262" s="151"/>
      <c r="E262" s="152"/>
    </row>
    <row r="263">
      <c r="A263" s="151"/>
      <c r="B263" s="151"/>
      <c r="C263" s="151"/>
      <c r="D263" s="151"/>
      <c r="E263" s="152"/>
    </row>
    <row r="264">
      <c r="A264" s="151"/>
      <c r="B264" s="151"/>
      <c r="C264" s="151"/>
      <c r="D264" s="151"/>
      <c r="E264" s="152"/>
    </row>
    <row r="265">
      <c r="A265" s="151"/>
      <c r="B265" s="151"/>
      <c r="C265" s="151"/>
      <c r="D265" s="151"/>
      <c r="E265" s="152"/>
    </row>
    <row r="266">
      <c r="A266" s="151"/>
      <c r="B266" s="151"/>
      <c r="C266" s="151"/>
      <c r="D266" s="151"/>
      <c r="E266" s="152"/>
    </row>
    <row r="267">
      <c r="A267" s="151"/>
      <c r="B267" s="151"/>
      <c r="C267" s="151"/>
      <c r="D267" s="151"/>
      <c r="E267" s="152"/>
    </row>
    <row r="268">
      <c r="A268" s="151"/>
      <c r="B268" s="151"/>
      <c r="C268" s="151"/>
      <c r="D268" s="151"/>
      <c r="E268" s="152"/>
    </row>
    <row r="269">
      <c r="A269" s="151"/>
      <c r="B269" s="151"/>
      <c r="C269" s="151"/>
      <c r="D269" s="151"/>
      <c r="E269" s="152"/>
    </row>
    <row r="270">
      <c r="A270" s="151"/>
      <c r="B270" s="151"/>
      <c r="C270" s="151"/>
      <c r="D270" s="151"/>
      <c r="E270" s="152"/>
    </row>
    <row r="271">
      <c r="A271" s="151"/>
      <c r="B271" s="151"/>
      <c r="C271" s="151"/>
      <c r="D271" s="151"/>
      <c r="E271" s="152"/>
    </row>
    <row r="272">
      <c r="A272" s="151"/>
      <c r="B272" s="151"/>
      <c r="C272" s="151"/>
      <c r="D272" s="151"/>
      <c r="E272" s="152"/>
    </row>
    <row r="273">
      <c r="A273" s="151"/>
      <c r="B273" s="151"/>
      <c r="C273" s="151"/>
      <c r="D273" s="151"/>
      <c r="E273" s="152"/>
    </row>
    <row r="274">
      <c r="A274" s="151"/>
      <c r="B274" s="151"/>
      <c r="C274" s="151"/>
      <c r="D274" s="151"/>
      <c r="E274" s="152"/>
    </row>
    <row r="275">
      <c r="A275" s="151"/>
      <c r="B275" s="151"/>
      <c r="C275" s="151"/>
      <c r="D275" s="151"/>
      <c r="E275" s="152"/>
    </row>
    <row r="276">
      <c r="A276" s="151"/>
      <c r="B276" s="151"/>
      <c r="C276" s="151"/>
      <c r="D276" s="151"/>
      <c r="E276" s="152"/>
    </row>
    <row r="277">
      <c r="A277" s="151"/>
      <c r="B277" s="151"/>
      <c r="C277" s="151"/>
      <c r="D277" s="151"/>
      <c r="E277" s="152"/>
    </row>
    <row r="278">
      <c r="A278" s="151"/>
      <c r="B278" s="151"/>
      <c r="C278" s="151"/>
      <c r="D278" s="151"/>
      <c r="E278" s="152"/>
    </row>
    <row r="279">
      <c r="A279" s="151"/>
      <c r="B279" s="151"/>
      <c r="C279" s="151"/>
      <c r="D279" s="151"/>
      <c r="E279" s="152"/>
    </row>
    <row r="280">
      <c r="A280" s="151"/>
      <c r="B280" s="151"/>
      <c r="C280" s="151"/>
      <c r="D280" s="151"/>
      <c r="E280" s="152"/>
    </row>
    <row r="281">
      <c r="A281" s="151"/>
      <c r="B281" s="151"/>
      <c r="C281" s="151"/>
      <c r="D281" s="151"/>
      <c r="E281" s="152"/>
    </row>
    <row r="282">
      <c r="A282" s="151"/>
      <c r="B282" s="151"/>
      <c r="C282" s="151"/>
      <c r="D282" s="151"/>
      <c r="E282" s="152"/>
    </row>
    <row r="283">
      <c r="A283" s="151"/>
      <c r="B283" s="151"/>
      <c r="C283" s="151"/>
      <c r="D283" s="151"/>
      <c r="E283" s="152"/>
    </row>
    <row r="284">
      <c r="A284" s="151"/>
      <c r="B284" s="151"/>
      <c r="C284" s="151"/>
      <c r="D284" s="151"/>
      <c r="E284" s="152"/>
    </row>
    <row r="285">
      <c r="A285" s="151"/>
      <c r="B285" s="151"/>
      <c r="C285" s="151"/>
      <c r="D285" s="151"/>
      <c r="E285" s="152"/>
    </row>
    <row r="286">
      <c r="A286" s="151"/>
      <c r="B286" s="151"/>
      <c r="C286" s="151"/>
      <c r="D286" s="151"/>
      <c r="E286" s="152"/>
    </row>
    <row r="287">
      <c r="A287" s="151"/>
      <c r="B287" s="151"/>
      <c r="C287" s="151"/>
      <c r="D287" s="151"/>
      <c r="E287" s="152"/>
    </row>
    <row r="288">
      <c r="A288" s="151"/>
      <c r="B288" s="151"/>
      <c r="C288" s="151"/>
      <c r="D288" s="151"/>
      <c r="E288" s="152"/>
    </row>
    <row r="289">
      <c r="A289" s="151"/>
      <c r="B289" s="151"/>
      <c r="C289" s="151"/>
      <c r="D289" s="151"/>
      <c r="E289" s="152"/>
    </row>
    <row r="290">
      <c r="A290" s="151"/>
      <c r="B290" s="151"/>
      <c r="C290" s="151"/>
      <c r="D290" s="151"/>
      <c r="E290" s="152"/>
    </row>
    <row r="291">
      <c r="A291" s="151"/>
      <c r="B291" s="151"/>
      <c r="C291" s="151"/>
      <c r="D291" s="151"/>
      <c r="E291" s="152"/>
    </row>
    <row r="292">
      <c r="A292" s="151"/>
      <c r="B292" s="151"/>
      <c r="C292" s="151"/>
      <c r="D292" s="151"/>
      <c r="E292" s="152"/>
    </row>
    <row r="293">
      <c r="A293" s="151"/>
      <c r="B293" s="151"/>
      <c r="C293" s="151"/>
      <c r="D293" s="151"/>
      <c r="E293" s="152"/>
    </row>
    <row r="294">
      <c r="A294" s="151"/>
      <c r="B294" s="151"/>
      <c r="C294" s="151"/>
      <c r="D294" s="151"/>
      <c r="E294" s="152"/>
    </row>
    <row r="295">
      <c r="A295" s="151"/>
      <c r="B295" s="151"/>
      <c r="C295" s="151"/>
      <c r="D295" s="151"/>
      <c r="E295" s="152"/>
    </row>
    <row r="296">
      <c r="A296" s="151"/>
      <c r="B296" s="151"/>
      <c r="C296" s="151"/>
      <c r="D296" s="151"/>
      <c r="E296" s="152"/>
    </row>
    <row r="297">
      <c r="A297" s="151"/>
      <c r="B297" s="151"/>
      <c r="C297" s="151"/>
      <c r="D297" s="151"/>
      <c r="E297" s="152"/>
    </row>
    <row r="298">
      <c r="A298" s="151"/>
      <c r="B298" s="151"/>
      <c r="C298" s="151"/>
      <c r="D298" s="151"/>
      <c r="E298" s="152"/>
    </row>
    <row r="299">
      <c r="A299" s="151"/>
      <c r="B299" s="151"/>
      <c r="C299" s="151"/>
      <c r="D299" s="151"/>
      <c r="E299" s="152"/>
    </row>
    <row r="300">
      <c r="A300" s="151"/>
      <c r="B300" s="151"/>
      <c r="C300" s="151"/>
      <c r="D300" s="151"/>
      <c r="E300" s="152"/>
    </row>
    <row r="301">
      <c r="A301" s="151"/>
      <c r="B301" s="151"/>
      <c r="C301" s="151"/>
      <c r="D301" s="151"/>
      <c r="E301" s="152"/>
    </row>
    <row r="302">
      <c r="A302" s="151"/>
      <c r="B302" s="151"/>
      <c r="C302" s="151"/>
      <c r="D302" s="151"/>
      <c r="E302" s="152"/>
    </row>
    <row r="303">
      <c r="A303" s="151"/>
      <c r="B303" s="151"/>
      <c r="C303" s="151"/>
      <c r="D303" s="151"/>
      <c r="E303" s="152"/>
    </row>
    <row r="304">
      <c r="A304" s="151"/>
      <c r="B304" s="151"/>
      <c r="C304" s="151"/>
      <c r="D304" s="151"/>
      <c r="E304" s="152"/>
    </row>
    <row r="305">
      <c r="A305" s="151"/>
      <c r="B305" s="151"/>
      <c r="C305" s="151"/>
      <c r="D305" s="151"/>
      <c r="E305" s="152"/>
    </row>
    <row r="306">
      <c r="A306" s="151"/>
      <c r="B306" s="151"/>
      <c r="C306" s="151"/>
      <c r="D306" s="151"/>
      <c r="E306" s="152"/>
    </row>
    <row r="307">
      <c r="A307" s="151"/>
      <c r="B307" s="151"/>
      <c r="C307" s="151"/>
      <c r="D307" s="151"/>
      <c r="E307" s="152"/>
    </row>
    <row r="308">
      <c r="A308" s="151"/>
      <c r="B308" s="151"/>
      <c r="C308" s="151"/>
      <c r="D308" s="151"/>
      <c r="E308" s="152"/>
    </row>
    <row r="309">
      <c r="A309" s="151"/>
      <c r="B309" s="151"/>
      <c r="C309" s="151"/>
      <c r="D309" s="151"/>
      <c r="E309" s="152"/>
    </row>
    <row r="310">
      <c r="A310" s="151"/>
      <c r="B310" s="151"/>
      <c r="C310" s="151"/>
      <c r="D310" s="151"/>
      <c r="E310" s="152"/>
    </row>
    <row r="311">
      <c r="A311" s="151"/>
      <c r="B311" s="151"/>
      <c r="C311" s="151"/>
      <c r="D311" s="151"/>
      <c r="E311" s="152"/>
    </row>
    <row r="312">
      <c r="A312" s="151"/>
      <c r="B312" s="151"/>
      <c r="C312" s="151"/>
      <c r="D312" s="151"/>
      <c r="E312" s="152"/>
    </row>
    <row r="313">
      <c r="A313" s="151"/>
      <c r="B313" s="151"/>
      <c r="C313" s="151"/>
      <c r="D313" s="151"/>
      <c r="E313" s="152"/>
    </row>
    <row r="314">
      <c r="A314" s="151"/>
      <c r="B314" s="151"/>
      <c r="C314" s="151"/>
      <c r="D314" s="151"/>
      <c r="E314" s="152"/>
    </row>
    <row r="315">
      <c r="A315" s="151"/>
      <c r="B315" s="151"/>
      <c r="C315" s="151"/>
      <c r="D315" s="151"/>
      <c r="E315" s="152"/>
    </row>
    <row r="316">
      <c r="A316" s="151"/>
      <c r="B316" s="151"/>
      <c r="C316" s="151"/>
      <c r="D316" s="151"/>
      <c r="E316" s="152"/>
    </row>
    <row r="317">
      <c r="A317" s="151"/>
      <c r="B317" s="151"/>
      <c r="C317" s="151"/>
      <c r="D317" s="151"/>
      <c r="E317" s="152"/>
    </row>
    <row r="318">
      <c r="A318" s="151"/>
      <c r="B318" s="151"/>
      <c r="C318" s="151"/>
      <c r="D318" s="151"/>
      <c r="E318" s="152"/>
    </row>
    <row r="319">
      <c r="A319" s="151"/>
      <c r="B319" s="151"/>
      <c r="C319" s="151"/>
      <c r="D319" s="151"/>
      <c r="E319" s="152"/>
    </row>
    <row r="320">
      <c r="A320" s="151"/>
      <c r="B320" s="151"/>
      <c r="C320" s="151"/>
      <c r="D320" s="151"/>
      <c r="E320" s="152"/>
    </row>
    <row r="321">
      <c r="A321" s="151"/>
      <c r="B321" s="151"/>
      <c r="C321" s="151"/>
      <c r="D321" s="151"/>
      <c r="E321" s="152"/>
    </row>
    <row r="322">
      <c r="A322" s="151"/>
      <c r="B322" s="151"/>
      <c r="C322" s="151"/>
      <c r="D322" s="151"/>
      <c r="E322" s="152"/>
    </row>
    <row r="323">
      <c r="A323" s="151"/>
      <c r="B323" s="151"/>
      <c r="C323" s="151"/>
      <c r="D323" s="151"/>
      <c r="E323" s="152"/>
    </row>
    <row r="324">
      <c r="A324" s="151"/>
      <c r="B324" s="151"/>
      <c r="C324" s="151"/>
      <c r="D324" s="151"/>
      <c r="E324" s="152"/>
    </row>
    <row r="325">
      <c r="A325" s="151"/>
      <c r="B325" s="151"/>
      <c r="C325" s="151"/>
      <c r="D325" s="151"/>
      <c r="E325" s="152"/>
    </row>
    <row r="326">
      <c r="A326" s="151"/>
      <c r="B326" s="151"/>
      <c r="C326" s="151"/>
      <c r="D326" s="151"/>
      <c r="E326" s="152"/>
    </row>
    <row r="327">
      <c r="A327" s="151"/>
      <c r="B327" s="151"/>
      <c r="C327" s="151"/>
      <c r="D327" s="151"/>
      <c r="E327" s="152"/>
    </row>
    <row r="328">
      <c r="A328" s="151"/>
      <c r="B328" s="151"/>
      <c r="C328" s="151"/>
      <c r="D328" s="151"/>
      <c r="E328" s="152"/>
    </row>
    <row r="329">
      <c r="A329" s="151"/>
      <c r="B329" s="151"/>
      <c r="C329" s="151"/>
      <c r="D329" s="151"/>
      <c r="E329" s="152"/>
    </row>
    <row r="330">
      <c r="A330" s="151"/>
      <c r="B330" s="151"/>
      <c r="C330" s="151"/>
      <c r="D330" s="151"/>
      <c r="E330" s="152"/>
    </row>
    <row r="331">
      <c r="A331" s="151"/>
      <c r="B331" s="151"/>
      <c r="C331" s="151"/>
      <c r="D331" s="151"/>
      <c r="E331" s="152"/>
    </row>
    <row r="332">
      <c r="A332" s="151"/>
      <c r="B332" s="151"/>
      <c r="C332" s="151"/>
      <c r="D332" s="151"/>
      <c r="E332" s="152"/>
    </row>
    <row r="333">
      <c r="A333" s="151"/>
      <c r="B333" s="151"/>
      <c r="C333" s="151"/>
      <c r="D333" s="151"/>
      <c r="E333" s="152"/>
    </row>
    <row r="334">
      <c r="A334" s="151"/>
      <c r="B334" s="151"/>
      <c r="C334" s="151"/>
      <c r="D334" s="151"/>
      <c r="E334" s="152"/>
    </row>
    <row r="335">
      <c r="A335" s="151"/>
      <c r="B335" s="151"/>
      <c r="C335" s="151"/>
      <c r="D335" s="151"/>
      <c r="E335" s="152"/>
    </row>
    <row r="336">
      <c r="A336" s="151"/>
      <c r="B336" s="151"/>
      <c r="C336" s="151"/>
      <c r="D336" s="151"/>
      <c r="E336" s="152"/>
    </row>
    <row r="337">
      <c r="A337" s="151"/>
      <c r="B337" s="151"/>
      <c r="C337" s="151"/>
      <c r="D337" s="151"/>
      <c r="E337" s="152"/>
    </row>
    <row r="338">
      <c r="A338" s="151"/>
      <c r="B338" s="151"/>
      <c r="C338" s="151"/>
      <c r="D338" s="151"/>
      <c r="E338" s="152"/>
    </row>
    <row r="339">
      <c r="A339" s="151"/>
      <c r="B339" s="151"/>
      <c r="C339" s="151"/>
      <c r="D339" s="151"/>
      <c r="E339" s="152"/>
    </row>
    <row r="340">
      <c r="A340" s="151"/>
      <c r="B340" s="151"/>
      <c r="C340" s="151"/>
      <c r="D340" s="151"/>
      <c r="E340" s="152"/>
    </row>
    <row r="341">
      <c r="A341" s="151"/>
      <c r="B341" s="151"/>
      <c r="C341" s="151"/>
      <c r="D341" s="151"/>
      <c r="E341" s="152"/>
    </row>
    <row r="342">
      <c r="A342" s="151"/>
      <c r="B342" s="151"/>
      <c r="C342" s="151"/>
      <c r="D342" s="151"/>
      <c r="E342" s="152"/>
    </row>
    <row r="343">
      <c r="A343" s="151"/>
      <c r="B343" s="151"/>
      <c r="C343" s="151"/>
      <c r="D343" s="151"/>
      <c r="E343" s="152"/>
    </row>
    <row r="344">
      <c r="A344" s="151"/>
      <c r="B344" s="151"/>
      <c r="C344" s="151"/>
      <c r="D344" s="151"/>
      <c r="E344" s="152"/>
    </row>
    <row r="345">
      <c r="A345" s="151"/>
      <c r="B345" s="151"/>
      <c r="C345" s="151"/>
      <c r="D345" s="151"/>
      <c r="E345" s="152"/>
    </row>
    <row r="346">
      <c r="A346" s="151"/>
      <c r="B346" s="151"/>
      <c r="C346" s="151"/>
      <c r="D346" s="151"/>
      <c r="E346" s="152"/>
    </row>
    <row r="347">
      <c r="A347" s="151"/>
      <c r="B347" s="151"/>
      <c r="C347" s="151"/>
      <c r="D347" s="151"/>
      <c r="E347" s="152"/>
    </row>
    <row r="348">
      <c r="A348" s="151"/>
      <c r="B348" s="151"/>
      <c r="C348" s="151"/>
      <c r="D348" s="151"/>
      <c r="E348" s="152"/>
    </row>
    <row r="349">
      <c r="A349" s="151"/>
      <c r="B349" s="151"/>
      <c r="C349" s="151"/>
      <c r="D349" s="151"/>
      <c r="E349" s="152"/>
    </row>
    <row r="350">
      <c r="A350" s="151"/>
      <c r="B350" s="151"/>
      <c r="C350" s="151"/>
      <c r="D350" s="151"/>
      <c r="E350" s="152"/>
    </row>
    <row r="351">
      <c r="A351" s="151"/>
      <c r="B351" s="151"/>
      <c r="C351" s="151"/>
      <c r="D351" s="151"/>
      <c r="E351" s="152"/>
    </row>
    <row r="352">
      <c r="A352" s="151"/>
      <c r="B352" s="151"/>
      <c r="C352" s="151"/>
      <c r="D352" s="151"/>
      <c r="E352" s="152"/>
    </row>
    <row r="353">
      <c r="A353" s="151"/>
      <c r="B353" s="151"/>
      <c r="C353" s="151"/>
      <c r="D353" s="151"/>
      <c r="E353" s="152"/>
    </row>
    <row r="354">
      <c r="A354" s="151"/>
      <c r="B354" s="151"/>
      <c r="C354" s="151"/>
      <c r="D354" s="151"/>
      <c r="E354" s="152"/>
    </row>
    <row r="355">
      <c r="A355" s="151"/>
      <c r="B355" s="151"/>
      <c r="C355" s="151"/>
      <c r="D355" s="151"/>
      <c r="E355" s="152"/>
    </row>
    <row r="356">
      <c r="A356" s="151"/>
      <c r="B356" s="151"/>
      <c r="C356" s="151"/>
      <c r="D356" s="151"/>
      <c r="E356" s="152"/>
    </row>
    <row r="357">
      <c r="A357" s="151"/>
      <c r="B357" s="151"/>
      <c r="C357" s="151"/>
      <c r="D357" s="151"/>
      <c r="E357" s="152"/>
    </row>
    <row r="358">
      <c r="A358" s="151"/>
      <c r="B358" s="151"/>
      <c r="C358" s="151"/>
      <c r="D358" s="151"/>
      <c r="E358" s="152"/>
    </row>
    <row r="359">
      <c r="A359" s="151"/>
      <c r="B359" s="151"/>
      <c r="C359" s="151"/>
      <c r="D359" s="151"/>
      <c r="E359" s="152"/>
    </row>
    <row r="360">
      <c r="A360" s="151"/>
      <c r="B360" s="151"/>
      <c r="C360" s="151"/>
      <c r="D360" s="151"/>
      <c r="E360" s="152"/>
    </row>
    <row r="361">
      <c r="A361" s="151"/>
      <c r="B361" s="151"/>
      <c r="C361" s="151"/>
      <c r="D361" s="151"/>
      <c r="E361" s="152"/>
    </row>
    <row r="362">
      <c r="A362" s="151"/>
      <c r="B362" s="151"/>
      <c r="C362" s="151"/>
      <c r="D362" s="151"/>
      <c r="E362" s="152"/>
    </row>
    <row r="363">
      <c r="A363" s="151"/>
      <c r="B363" s="151"/>
      <c r="C363" s="151"/>
      <c r="D363" s="151"/>
      <c r="E363" s="152"/>
    </row>
    <row r="364">
      <c r="A364" s="151"/>
      <c r="B364" s="151"/>
      <c r="C364" s="151"/>
      <c r="D364" s="151"/>
      <c r="E364" s="152"/>
    </row>
    <row r="365">
      <c r="A365" s="151"/>
      <c r="B365" s="151"/>
      <c r="C365" s="151"/>
      <c r="D365" s="151"/>
      <c r="E365" s="152"/>
    </row>
    <row r="366">
      <c r="A366" s="151"/>
      <c r="B366" s="151"/>
      <c r="C366" s="151"/>
      <c r="D366" s="151"/>
      <c r="E366" s="152"/>
    </row>
    <row r="367">
      <c r="A367" s="151"/>
      <c r="B367" s="151"/>
      <c r="C367" s="151"/>
      <c r="D367" s="151"/>
      <c r="E367" s="152"/>
    </row>
    <row r="368">
      <c r="A368" s="151"/>
      <c r="B368" s="151"/>
      <c r="C368" s="151"/>
      <c r="D368" s="151"/>
      <c r="E368" s="152"/>
    </row>
    <row r="369">
      <c r="A369" s="151"/>
      <c r="B369" s="151"/>
      <c r="C369" s="151"/>
      <c r="D369" s="151"/>
      <c r="E369" s="152"/>
    </row>
    <row r="370">
      <c r="A370" s="151"/>
      <c r="B370" s="151"/>
      <c r="C370" s="151"/>
      <c r="D370" s="151"/>
      <c r="E370" s="152"/>
    </row>
    <row r="371">
      <c r="A371" s="151"/>
      <c r="B371" s="151"/>
      <c r="C371" s="151"/>
      <c r="D371" s="151"/>
      <c r="E371" s="152"/>
    </row>
    <row r="372">
      <c r="A372" s="151"/>
      <c r="B372" s="151"/>
      <c r="C372" s="151"/>
      <c r="D372" s="151"/>
      <c r="E372" s="152"/>
    </row>
    <row r="373">
      <c r="A373" s="151"/>
      <c r="B373" s="151"/>
      <c r="C373" s="151"/>
      <c r="D373" s="151"/>
      <c r="E373" s="152"/>
    </row>
    <row r="374">
      <c r="A374" s="151"/>
      <c r="B374" s="151"/>
      <c r="C374" s="151"/>
      <c r="D374" s="151"/>
      <c r="E374" s="152"/>
    </row>
    <row r="375">
      <c r="A375" s="151"/>
      <c r="B375" s="151"/>
      <c r="C375" s="151"/>
      <c r="D375" s="151"/>
      <c r="E375" s="152"/>
    </row>
    <row r="376">
      <c r="A376" s="151"/>
      <c r="B376" s="151"/>
      <c r="C376" s="151"/>
      <c r="D376" s="151"/>
      <c r="E376" s="152"/>
    </row>
    <row r="377">
      <c r="A377" s="151"/>
      <c r="B377" s="151"/>
      <c r="C377" s="151"/>
      <c r="D377" s="151"/>
      <c r="E377" s="152"/>
    </row>
    <row r="378">
      <c r="A378" s="151"/>
      <c r="B378" s="151"/>
      <c r="C378" s="151"/>
      <c r="D378" s="151"/>
      <c r="E378" s="152"/>
    </row>
    <row r="379">
      <c r="A379" s="151"/>
      <c r="B379" s="151"/>
      <c r="C379" s="151"/>
      <c r="D379" s="151"/>
      <c r="E379" s="152"/>
    </row>
    <row r="380">
      <c r="A380" s="151"/>
      <c r="B380" s="151"/>
      <c r="C380" s="151"/>
      <c r="D380" s="151"/>
      <c r="E380" s="152"/>
    </row>
    <row r="381">
      <c r="A381" s="151"/>
      <c r="B381" s="151"/>
      <c r="C381" s="151"/>
      <c r="D381" s="151"/>
      <c r="E381" s="152"/>
    </row>
    <row r="382">
      <c r="A382" s="151"/>
      <c r="B382" s="151"/>
      <c r="C382" s="151"/>
      <c r="D382" s="151"/>
      <c r="E382" s="152"/>
    </row>
    <row r="383">
      <c r="A383" s="151"/>
      <c r="B383" s="151"/>
      <c r="C383" s="151"/>
      <c r="D383" s="151"/>
      <c r="E383" s="152"/>
    </row>
    <row r="384">
      <c r="A384" s="151"/>
      <c r="B384" s="151"/>
      <c r="C384" s="151"/>
      <c r="D384" s="151"/>
      <c r="E384" s="152"/>
    </row>
    <row r="385">
      <c r="A385" s="151"/>
      <c r="B385" s="151"/>
      <c r="C385" s="151"/>
      <c r="D385" s="151"/>
      <c r="E385" s="152"/>
    </row>
    <row r="386">
      <c r="A386" s="151"/>
      <c r="B386" s="151"/>
      <c r="C386" s="151"/>
      <c r="D386" s="151"/>
      <c r="E386" s="152"/>
    </row>
    <row r="387">
      <c r="A387" s="151"/>
      <c r="B387" s="151"/>
      <c r="C387" s="151"/>
      <c r="D387" s="151"/>
      <c r="E387" s="152"/>
    </row>
    <row r="388">
      <c r="A388" s="151"/>
      <c r="B388" s="151"/>
      <c r="C388" s="151"/>
      <c r="D388" s="151"/>
      <c r="E388" s="152"/>
    </row>
    <row r="389">
      <c r="A389" s="151"/>
      <c r="B389" s="151"/>
      <c r="C389" s="151"/>
      <c r="D389" s="151"/>
      <c r="E389" s="152"/>
    </row>
    <row r="390">
      <c r="A390" s="151"/>
      <c r="B390" s="151"/>
      <c r="C390" s="151"/>
      <c r="D390" s="151"/>
      <c r="E390" s="152"/>
    </row>
    <row r="391">
      <c r="A391" s="151"/>
      <c r="B391" s="151"/>
      <c r="C391" s="151"/>
      <c r="D391" s="151"/>
      <c r="E391" s="152"/>
    </row>
    <row r="392">
      <c r="A392" s="151"/>
      <c r="B392" s="151"/>
      <c r="C392" s="151"/>
      <c r="D392" s="151"/>
      <c r="E392" s="152"/>
    </row>
    <row r="393">
      <c r="A393" s="151"/>
      <c r="B393" s="151"/>
      <c r="C393" s="151"/>
      <c r="D393" s="151"/>
      <c r="E393" s="152"/>
    </row>
    <row r="394">
      <c r="A394" s="151"/>
      <c r="B394" s="151"/>
      <c r="C394" s="151"/>
      <c r="D394" s="151"/>
      <c r="E394" s="152"/>
    </row>
    <row r="395">
      <c r="A395" s="151"/>
      <c r="B395" s="151"/>
      <c r="C395" s="151"/>
      <c r="D395" s="151"/>
      <c r="E395" s="152"/>
    </row>
    <row r="396">
      <c r="A396" s="151"/>
      <c r="B396" s="151"/>
      <c r="C396" s="151"/>
      <c r="D396" s="151"/>
      <c r="E396" s="152"/>
    </row>
    <row r="397">
      <c r="A397" s="151"/>
      <c r="B397" s="151"/>
      <c r="C397" s="151"/>
      <c r="D397" s="151"/>
      <c r="E397" s="152"/>
    </row>
    <row r="398">
      <c r="A398" s="151"/>
      <c r="B398" s="151"/>
      <c r="C398" s="151"/>
      <c r="D398" s="151"/>
      <c r="E398" s="152"/>
    </row>
    <row r="399">
      <c r="A399" s="151"/>
      <c r="B399" s="151"/>
      <c r="C399" s="151"/>
      <c r="D399" s="151"/>
      <c r="E399" s="152"/>
    </row>
    <row r="400">
      <c r="A400" s="151"/>
      <c r="B400" s="151"/>
      <c r="C400" s="151"/>
      <c r="D400" s="151"/>
      <c r="E400" s="152"/>
    </row>
    <row r="401">
      <c r="A401" s="151"/>
      <c r="B401" s="151"/>
      <c r="C401" s="151"/>
      <c r="D401" s="151"/>
      <c r="E401" s="152"/>
    </row>
    <row r="402">
      <c r="A402" s="151"/>
      <c r="B402" s="151"/>
      <c r="C402" s="151"/>
      <c r="D402" s="151"/>
      <c r="E402" s="152"/>
    </row>
    <row r="403">
      <c r="A403" s="151"/>
      <c r="B403" s="151"/>
      <c r="C403" s="151"/>
      <c r="D403" s="151"/>
      <c r="E403" s="152"/>
    </row>
    <row r="404">
      <c r="A404" s="151"/>
      <c r="B404" s="151"/>
      <c r="C404" s="151"/>
      <c r="D404" s="151"/>
      <c r="E404" s="152"/>
    </row>
    <row r="405">
      <c r="A405" s="151"/>
      <c r="B405" s="151"/>
      <c r="C405" s="151"/>
      <c r="D405" s="151"/>
      <c r="E405" s="152"/>
    </row>
    <row r="406">
      <c r="A406" s="151"/>
      <c r="B406" s="151"/>
      <c r="C406" s="151"/>
      <c r="D406" s="151"/>
      <c r="E406" s="152"/>
    </row>
    <row r="407">
      <c r="A407" s="151"/>
      <c r="B407" s="151"/>
      <c r="C407" s="151"/>
      <c r="D407" s="151"/>
      <c r="E407" s="152"/>
    </row>
    <row r="408">
      <c r="A408" s="151"/>
      <c r="B408" s="151"/>
      <c r="C408" s="151"/>
      <c r="D408" s="151"/>
      <c r="E408" s="152"/>
    </row>
    <row r="409">
      <c r="A409" s="151"/>
      <c r="B409" s="151"/>
      <c r="C409" s="151"/>
      <c r="D409" s="151"/>
      <c r="E409" s="152"/>
    </row>
    <row r="410">
      <c r="A410" s="151"/>
      <c r="B410" s="151"/>
      <c r="C410" s="151"/>
      <c r="D410" s="151"/>
      <c r="E410" s="152"/>
    </row>
    <row r="411">
      <c r="A411" s="151"/>
      <c r="B411" s="151"/>
      <c r="C411" s="151"/>
      <c r="D411" s="151"/>
      <c r="E411" s="152"/>
    </row>
    <row r="412">
      <c r="A412" s="151"/>
      <c r="B412" s="151"/>
      <c r="C412" s="151"/>
      <c r="D412" s="151"/>
      <c r="E412" s="152"/>
    </row>
    <row r="413">
      <c r="A413" s="151"/>
      <c r="B413" s="151"/>
      <c r="C413" s="151"/>
      <c r="D413" s="151"/>
      <c r="E413" s="152"/>
    </row>
    <row r="414">
      <c r="A414" s="151"/>
      <c r="B414" s="151"/>
      <c r="C414" s="151"/>
      <c r="D414" s="151"/>
      <c r="E414" s="152"/>
    </row>
    <row r="415">
      <c r="A415" s="151"/>
      <c r="B415" s="151"/>
      <c r="C415" s="151"/>
      <c r="D415" s="151"/>
      <c r="E415" s="152"/>
    </row>
    <row r="416">
      <c r="A416" s="151"/>
      <c r="B416" s="151"/>
      <c r="C416" s="151"/>
      <c r="D416" s="151"/>
      <c r="E416" s="152"/>
    </row>
    <row r="417">
      <c r="A417" s="151"/>
      <c r="B417" s="151"/>
      <c r="C417" s="151"/>
      <c r="D417" s="151"/>
      <c r="E417" s="152"/>
    </row>
    <row r="418">
      <c r="A418" s="151"/>
      <c r="B418" s="151"/>
      <c r="C418" s="151"/>
      <c r="D418" s="151"/>
      <c r="E418" s="152"/>
    </row>
    <row r="419">
      <c r="A419" s="151"/>
      <c r="B419" s="151"/>
      <c r="C419" s="151"/>
      <c r="D419" s="151"/>
      <c r="E419" s="152"/>
    </row>
    <row r="420">
      <c r="A420" s="151"/>
      <c r="B420" s="151"/>
      <c r="C420" s="151"/>
      <c r="D420" s="151"/>
      <c r="E420" s="152"/>
    </row>
    <row r="421">
      <c r="A421" s="151"/>
      <c r="B421" s="151"/>
      <c r="C421" s="151"/>
      <c r="D421" s="151"/>
      <c r="E421" s="152"/>
    </row>
    <row r="422">
      <c r="A422" s="151"/>
      <c r="B422" s="151"/>
      <c r="C422" s="151"/>
      <c r="D422" s="151"/>
      <c r="E422" s="152"/>
    </row>
    <row r="423">
      <c r="A423" s="151"/>
      <c r="B423" s="151"/>
      <c r="C423" s="151"/>
      <c r="D423" s="151"/>
      <c r="E423" s="152"/>
    </row>
    <row r="424">
      <c r="A424" s="151"/>
      <c r="B424" s="151"/>
      <c r="C424" s="151"/>
      <c r="D424" s="151"/>
      <c r="E424" s="152"/>
    </row>
    <row r="425">
      <c r="A425" s="151"/>
      <c r="B425" s="151"/>
      <c r="C425" s="151"/>
      <c r="D425" s="151"/>
      <c r="E425" s="152"/>
    </row>
    <row r="426">
      <c r="A426" s="151"/>
      <c r="B426" s="151"/>
      <c r="C426" s="151"/>
      <c r="D426" s="151"/>
      <c r="E426" s="152"/>
    </row>
    <row r="427">
      <c r="A427" s="151"/>
      <c r="B427" s="151"/>
      <c r="C427" s="151"/>
      <c r="D427" s="151"/>
      <c r="E427" s="152"/>
    </row>
    <row r="428">
      <c r="A428" s="151"/>
      <c r="B428" s="151"/>
      <c r="C428" s="151"/>
      <c r="D428" s="151"/>
      <c r="E428" s="152"/>
    </row>
    <row r="429">
      <c r="A429" s="151"/>
      <c r="B429" s="151"/>
      <c r="C429" s="151"/>
      <c r="D429" s="151"/>
      <c r="E429" s="152"/>
    </row>
    <row r="430">
      <c r="A430" s="151"/>
      <c r="B430" s="151"/>
      <c r="C430" s="151"/>
      <c r="D430" s="151"/>
      <c r="E430" s="152"/>
    </row>
    <row r="431">
      <c r="A431" s="151"/>
      <c r="B431" s="151"/>
      <c r="C431" s="151"/>
      <c r="D431" s="151"/>
      <c r="E431" s="152"/>
    </row>
    <row r="432">
      <c r="A432" s="151"/>
      <c r="B432" s="151"/>
      <c r="C432" s="151"/>
      <c r="D432" s="151"/>
      <c r="E432" s="152"/>
    </row>
    <row r="433">
      <c r="A433" s="151"/>
      <c r="B433" s="151"/>
      <c r="C433" s="151"/>
      <c r="D433" s="151"/>
      <c r="E433" s="152"/>
    </row>
    <row r="434">
      <c r="A434" s="151"/>
      <c r="B434" s="151"/>
      <c r="C434" s="151"/>
      <c r="D434" s="151"/>
      <c r="E434" s="152"/>
    </row>
    <row r="435">
      <c r="A435" s="151"/>
      <c r="B435" s="151"/>
      <c r="C435" s="151"/>
      <c r="D435" s="151"/>
      <c r="E435" s="152"/>
    </row>
    <row r="436">
      <c r="A436" s="151"/>
      <c r="B436" s="151"/>
      <c r="C436" s="151"/>
      <c r="D436" s="151"/>
      <c r="E436" s="152"/>
    </row>
    <row r="437">
      <c r="A437" s="151"/>
      <c r="B437" s="151"/>
      <c r="C437" s="151"/>
      <c r="D437" s="151"/>
      <c r="E437" s="152"/>
    </row>
    <row r="438">
      <c r="A438" s="151"/>
      <c r="B438" s="151"/>
      <c r="C438" s="151"/>
      <c r="D438" s="151"/>
      <c r="E438" s="152"/>
    </row>
    <row r="439">
      <c r="A439" s="151"/>
      <c r="B439" s="151"/>
      <c r="C439" s="151"/>
      <c r="D439" s="151"/>
      <c r="E439" s="152"/>
    </row>
    <row r="440">
      <c r="A440" s="151"/>
      <c r="B440" s="151"/>
      <c r="C440" s="151"/>
      <c r="D440" s="151"/>
      <c r="E440" s="152"/>
    </row>
    <row r="441">
      <c r="A441" s="151"/>
      <c r="B441" s="151"/>
      <c r="C441" s="151"/>
      <c r="D441" s="151"/>
      <c r="E441" s="152"/>
    </row>
    <row r="442">
      <c r="A442" s="151"/>
      <c r="B442" s="151"/>
      <c r="C442" s="151"/>
      <c r="D442" s="151"/>
      <c r="E442" s="152"/>
    </row>
    <row r="443">
      <c r="A443" s="151"/>
      <c r="B443" s="151"/>
      <c r="C443" s="151"/>
      <c r="D443" s="151"/>
      <c r="E443" s="152"/>
    </row>
    <row r="444">
      <c r="A444" s="151"/>
      <c r="B444" s="151"/>
      <c r="C444" s="151"/>
      <c r="D444" s="151"/>
      <c r="E444" s="152"/>
    </row>
    <row r="445">
      <c r="A445" s="151"/>
      <c r="B445" s="151"/>
      <c r="C445" s="151"/>
      <c r="D445" s="151"/>
      <c r="E445" s="152"/>
    </row>
    <row r="446">
      <c r="A446" s="151"/>
      <c r="B446" s="151"/>
      <c r="C446" s="151"/>
      <c r="D446" s="151"/>
      <c r="E446" s="152"/>
    </row>
    <row r="447">
      <c r="A447" s="151"/>
      <c r="B447" s="151"/>
      <c r="C447" s="151"/>
      <c r="D447" s="151"/>
      <c r="E447" s="152"/>
    </row>
    <row r="448">
      <c r="A448" s="151"/>
      <c r="B448" s="151"/>
      <c r="C448" s="151"/>
      <c r="D448" s="151"/>
      <c r="E448" s="152"/>
    </row>
    <row r="449">
      <c r="A449" s="151"/>
      <c r="B449" s="151"/>
      <c r="C449" s="151"/>
      <c r="D449" s="151"/>
      <c r="E449" s="152"/>
    </row>
    <row r="450">
      <c r="A450" s="151"/>
      <c r="B450" s="151"/>
      <c r="C450" s="151"/>
      <c r="D450" s="151"/>
      <c r="E450" s="152"/>
    </row>
    <row r="451">
      <c r="A451" s="151"/>
      <c r="B451" s="151"/>
      <c r="C451" s="151"/>
      <c r="D451" s="151"/>
      <c r="E451" s="152"/>
    </row>
    <row r="452">
      <c r="A452" s="151"/>
      <c r="B452" s="151"/>
      <c r="C452" s="151"/>
      <c r="D452" s="151"/>
      <c r="E452" s="152"/>
    </row>
    <row r="453">
      <c r="A453" s="151"/>
      <c r="B453" s="151"/>
      <c r="C453" s="151"/>
      <c r="D453" s="151"/>
      <c r="E453" s="152"/>
    </row>
    <row r="454">
      <c r="A454" s="151"/>
      <c r="B454" s="151"/>
      <c r="C454" s="151"/>
      <c r="D454" s="151"/>
      <c r="E454" s="152"/>
    </row>
    <row r="455">
      <c r="A455" s="151"/>
      <c r="B455" s="151"/>
      <c r="C455" s="151"/>
      <c r="D455" s="151"/>
      <c r="E455" s="152"/>
    </row>
    <row r="456">
      <c r="A456" s="151"/>
      <c r="B456" s="151"/>
      <c r="C456" s="151"/>
      <c r="D456" s="151"/>
      <c r="E456" s="152"/>
    </row>
    <row r="457">
      <c r="A457" s="151"/>
      <c r="B457" s="151"/>
      <c r="C457" s="151"/>
      <c r="D457" s="151"/>
      <c r="E457" s="152"/>
    </row>
    <row r="458">
      <c r="A458" s="151"/>
      <c r="B458" s="151"/>
      <c r="C458" s="151"/>
      <c r="D458" s="151"/>
      <c r="E458" s="152"/>
    </row>
    <row r="459">
      <c r="A459" s="151"/>
      <c r="B459" s="151"/>
      <c r="C459" s="151"/>
      <c r="D459" s="151"/>
      <c r="E459" s="152"/>
    </row>
    <row r="460">
      <c r="A460" s="151"/>
      <c r="B460" s="151"/>
      <c r="C460" s="151"/>
      <c r="D460" s="151"/>
      <c r="E460" s="152"/>
    </row>
    <row r="461">
      <c r="A461" s="151"/>
      <c r="B461" s="151"/>
      <c r="C461" s="151"/>
      <c r="D461" s="151"/>
      <c r="E461" s="152"/>
    </row>
    <row r="462">
      <c r="A462" s="151"/>
      <c r="B462" s="151"/>
      <c r="C462" s="151"/>
      <c r="D462" s="151"/>
      <c r="E462" s="152"/>
    </row>
    <row r="463">
      <c r="A463" s="151"/>
      <c r="B463" s="151"/>
      <c r="C463" s="151"/>
      <c r="D463" s="151"/>
      <c r="E463" s="152"/>
    </row>
    <row r="464">
      <c r="A464" s="151"/>
      <c r="B464" s="151"/>
      <c r="C464" s="151"/>
      <c r="D464" s="151"/>
      <c r="E464" s="152"/>
    </row>
    <row r="465">
      <c r="A465" s="151"/>
      <c r="B465" s="151"/>
      <c r="C465" s="151"/>
      <c r="D465" s="151"/>
      <c r="E465" s="152"/>
    </row>
    <row r="466">
      <c r="A466" s="151"/>
      <c r="B466" s="151"/>
      <c r="C466" s="151"/>
      <c r="D466" s="151"/>
      <c r="E466" s="152"/>
    </row>
    <row r="467">
      <c r="A467" s="151"/>
      <c r="B467" s="151"/>
      <c r="C467" s="151"/>
      <c r="D467" s="151"/>
      <c r="E467" s="152"/>
    </row>
    <row r="468">
      <c r="A468" s="151"/>
      <c r="B468" s="151"/>
      <c r="C468" s="151"/>
      <c r="D468" s="151"/>
      <c r="E468" s="152"/>
    </row>
    <row r="469">
      <c r="A469" s="151"/>
      <c r="B469" s="151"/>
      <c r="C469" s="151"/>
      <c r="D469" s="151"/>
      <c r="E469" s="152"/>
    </row>
    <row r="470">
      <c r="A470" s="151"/>
      <c r="B470" s="151"/>
      <c r="C470" s="151"/>
      <c r="D470" s="151"/>
      <c r="E470" s="152"/>
    </row>
    <row r="471">
      <c r="A471" s="151"/>
      <c r="B471" s="151"/>
      <c r="C471" s="151"/>
      <c r="D471" s="151"/>
      <c r="E471" s="152"/>
    </row>
    <row r="472">
      <c r="A472" s="151"/>
      <c r="B472" s="151"/>
      <c r="C472" s="151"/>
      <c r="D472" s="151"/>
      <c r="E472" s="152"/>
    </row>
    <row r="473">
      <c r="A473" s="151"/>
      <c r="B473" s="151"/>
      <c r="C473" s="151"/>
      <c r="D473" s="151"/>
      <c r="E473" s="152"/>
    </row>
    <row r="474">
      <c r="A474" s="151"/>
      <c r="B474" s="151"/>
      <c r="C474" s="151"/>
      <c r="D474" s="151"/>
      <c r="E474" s="152"/>
    </row>
    <row r="475">
      <c r="A475" s="151"/>
      <c r="B475" s="151"/>
      <c r="C475" s="151"/>
      <c r="D475" s="151"/>
      <c r="E475" s="152"/>
    </row>
    <row r="476">
      <c r="A476" s="151"/>
      <c r="B476" s="151"/>
      <c r="C476" s="151"/>
      <c r="D476" s="151"/>
      <c r="E476" s="152"/>
    </row>
    <row r="477">
      <c r="A477" s="151"/>
      <c r="B477" s="151"/>
      <c r="C477" s="151"/>
      <c r="D477" s="151"/>
      <c r="E477" s="152"/>
    </row>
    <row r="478">
      <c r="A478" s="151"/>
      <c r="B478" s="151"/>
      <c r="C478" s="151"/>
      <c r="D478" s="151"/>
      <c r="E478" s="152"/>
    </row>
    <row r="479">
      <c r="A479" s="151"/>
      <c r="B479" s="151"/>
      <c r="C479" s="151"/>
      <c r="D479" s="151"/>
      <c r="E479" s="152"/>
    </row>
    <row r="480">
      <c r="A480" s="151"/>
      <c r="B480" s="151"/>
      <c r="C480" s="151"/>
      <c r="D480" s="151"/>
      <c r="E480" s="152"/>
    </row>
    <row r="481">
      <c r="A481" s="151"/>
      <c r="B481" s="151"/>
      <c r="C481" s="151"/>
      <c r="D481" s="151"/>
      <c r="E481" s="152"/>
    </row>
    <row r="482">
      <c r="A482" s="151"/>
      <c r="B482" s="151"/>
      <c r="C482" s="151"/>
      <c r="D482" s="151"/>
      <c r="E482" s="152"/>
    </row>
    <row r="483">
      <c r="A483" s="151"/>
      <c r="B483" s="151"/>
      <c r="C483" s="151"/>
      <c r="D483" s="151"/>
      <c r="E483" s="152"/>
    </row>
    <row r="484">
      <c r="A484" s="151"/>
      <c r="B484" s="151"/>
      <c r="C484" s="151"/>
      <c r="D484" s="151"/>
      <c r="E484" s="152"/>
    </row>
    <row r="485">
      <c r="A485" s="151"/>
      <c r="B485" s="151"/>
      <c r="C485" s="151"/>
      <c r="D485" s="151"/>
      <c r="E485" s="152"/>
    </row>
    <row r="486">
      <c r="A486" s="151"/>
      <c r="B486" s="151"/>
      <c r="C486" s="151"/>
      <c r="D486" s="151"/>
      <c r="E486" s="152"/>
    </row>
    <row r="487">
      <c r="A487" s="151"/>
      <c r="B487" s="151"/>
      <c r="C487" s="151"/>
      <c r="D487" s="151"/>
      <c r="E487" s="152"/>
    </row>
    <row r="488">
      <c r="A488" s="151"/>
      <c r="B488" s="151"/>
      <c r="C488" s="151"/>
      <c r="D488" s="151"/>
      <c r="E488" s="152"/>
    </row>
    <row r="489">
      <c r="A489" s="151"/>
      <c r="B489" s="151"/>
      <c r="C489" s="151"/>
      <c r="D489" s="151"/>
      <c r="E489" s="152"/>
    </row>
    <row r="490">
      <c r="A490" s="151"/>
      <c r="B490" s="151"/>
      <c r="C490" s="151"/>
      <c r="D490" s="151"/>
      <c r="E490" s="152"/>
    </row>
    <row r="491">
      <c r="A491" s="151"/>
      <c r="B491" s="151"/>
      <c r="C491" s="151"/>
      <c r="D491" s="151"/>
      <c r="E491" s="152"/>
    </row>
    <row r="492">
      <c r="A492" s="151"/>
      <c r="B492" s="151"/>
      <c r="C492" s="151"/>
      <c r="D492" s="151"/>
      <c r="E492" s="152"/>
    </row>
    <row r="493">
      <c r="A493" s="151"/>
      <c r="B493" s="151"/>
      <c r="C493" s="151"/>
      <c r="D493" s="151"/>
      <c r="E493" s="152"/>
    </row>
    <row r="494">
      <c r="A494" s="151"/>
      <c r="B494" s="151"/>
      <c r="C494" s="151"/>
      <c r="D494" s="151"/>
      <c r="E494" s="152"/>
    </row>
    <row r="495">
      <c r="A495" s="151"/>
      <c r="B495" s="151"/>
      <c r="C495" s="151"/>
      <c r="D495" s="151"/>
      <c r="E495" s="152"/>
    </row>
    <row r="496">
      <c r="A496" s="151"/>
      <c r="B496" s="151"/>
      <c r="C496" s="151"/>
      <c r="D496" s="151"/>
      <c r="E496" s="152"/>
    </row>
    <row r="497">
      <c r="A497" s="151"/>
      <c r="B497" s="151"/>
      <c r="C497" s="151"/>
      <c r="D497" s="151"/>
      <c r="E497" s="152"/>
    </row>
    <row r="498">
      <c r="A498" s="151"/>
      <c r="B498" s="151"/>
      <c r="C498" s="151"/>
      <c r="D498" s="151"/>
      <c r="E498" s="152"/>
    </row>
    <row r="499">
      <c r="A499" s="151"/>
      <c r="B499" s="151"/>
      <c r="C499" s="151"/>
      <c r="D499" s="151"/>
      <c r="E499" s="152"/>
    </row>
    <row r="500">
      <c r="A500" s="151"/>
      <c r="B500" s="151"/>
      <c r="C500" s="151"/>
      <c r="D500" s="151"/>
      <c r="E500" s="152"/>
    </row>
    <row r="501">
      <c r="A501" s="151"/>
      <c r="B501" s="151"/>
      <c r="C501" s="151"/>
      <c r="D501" s="151"/>
      <c r="E501" s="152"/>
    </row>
    <row r="502">
      <c r="A502" s="151"/>
      <c r="B502" s="151"/>
      <c r="C502" s="151"/>
      <c r="D502" s="151"/>
      <c r="E502" s="152"/>
    </row>
    <row r="503">
      <c r="A503" s="151"/>
      <c r="B503" s="151"/>
      <c r="C503" s="151"/>
      <c r="D503" s="151"/>
      <c r="E503" s="152"/>
    </row>
    <row r="504">
      <c r="A504" s="151"/>
      <c r="B504" s="151"/>
      <c r="C504" s="151"/>
      <c r="D504" s="151"/>
      <c r="E504" s="152"/>
    </row>
    <row r="505">
      <c r="A505" s="151"/>
      <c r="B505" s="151"/>
      <c r="C505" s="151"/>
      <c r="D505" s="151"/>
      <c r="E505" s="152"/>
    </row>
    <row r="506">
      <c r="A506" s="151"/>
      <c r="B506" s="151"/>
      <c r="C506" s="151"/>
      <c r="D506" s="151"/>
      <c r="E506" s="152"/>
    </row>
    <row r="507">
      <c r="A507" s="151"/>
      <c r="B507" s="151"/>
      <c r="C507" s="151"/>
      <c r="D507" s="151"/>
      <c r="E507" s="152"/>
    </row>
    <row r="508">
      <c r="A508" s="151"/>
      <c r="B508" s="151"/>
      <c r="C508" s="151"/>
      <c r="D508" s="151"/>
      <c r="E508" s="152"/>
    </row>
    <row r="509">
      <c r="A509" s="151"/>
      <c r="B509" s="151"/>
      <c r="C509" s="151"/>
      <c r="D509" s="151"/>
      <c r="E509" s="152"/>
    </row>
    <row r="510">
      <c r="A510" s="151"/>
      <c r="B510" s="151"/>
      <c r="C510" s="151"/>
      <c r="D510" s="151"/>
      <c r="E510" s="152"/>
    </row>
    <row r="511">
      <c r="A511" s="151"/>
      <c r="B511" s="151"/>
      <c r="C511" s="151"/>
      <c r="D511" s="151"/>
      <c r="E511" s="152"/>
    </row>
    <row r="512">
      <c r="A512" s="151"/>
      <c r="B512" s="151"/>
      <c r="C512" s="151"/>
      <c r="D512" s="151"/>
      <c r="E512" s="152"/>
    </row>
    <row r="513">
      <c r="A513" s="151"/>
      <c r="B513" s="151"/>
      <c r="C513" s="151"/>
      <c r="D513" s="151"/>
      <c r="E513" s="152"/>
    </row>
    <row r="514">
      <c r="A514" s="151"/>
      <c r="B514" s="151"/>
      <c r="C514" s="151"/>
      <c r="D514" s="151"/>
      <c r="E514" s="152"/>
    </row>
    <row r="515">
      <c r="A515" s="151"/>
      <c r="B515" s="151"/>
      <c r="C515" s="151"/>
      <c r="D515" s="151"/>
      <c r="E515" s="152"/>
    </row>
    <row r="516">
      <c r="A516" s="151"/>
      <c r="B516" s="151"/>
      <c r="C516" s="151"/>
      <c r="D516" s="151"/>
      <c r="E516" s="152"/>
    </row>
    <row r="517">
      <c r="A517" s="151"/>
      <c r="B517" s="151"/>
      <c r="C517" s="151"/>
      <c r="D517" s="151"/>
      <c r="E517" s="152"/>
    </row>
    <row r="518">
      <c r="A518" s="151"/>
      <c r="B518" s="151"/>
      <c r="C518" s="151"/>
      <c r="D518" s="151"/>
      <c r="E518" s="152"/>
    </row>
    <row r="519">
      <c r="A519" s="151"/>
      <c r="B519" s="151"/>
      <c r="C519" s="151"/>
      <c r="D519" s="151"/>
      <c r="E519" s="152"/>
    </row>
    <row r="520">
      <c r="A520" s="151"/>
      <c r="B520" s="151"/>
      <c r="C520" s="151"/>
      <c r="D520" s="151"/>
      <c r="E520" s="152"/>
    </row>
    <row r="521">
      <c r="A521" s="151"/>
      <c r="B521" s="151"/>
      <c r="C521" s="151"/>
      <c r="D521" s="151"/>
      <c r="E521" s="152"/>
    </row>
    <row r="522">
      <c r="A522" s="151"/>
      <c r="B522" s="151"/>
      <c r="C522" s="151"/>
      <c r="D522" s="151"/>
      <c r="E522" s="152"/>
    </row>
    <row r="523">
      <c r="A523" s="151"/>
      <c r="B523" s="151"/>
      <c r="C523" s="151"/>
      <c r="D523" s="151"/>
      <c r="E523" s="152"/>
    </row>
    <row r="524">
      <c r="A524" s="151"/>
      <c r="B524" s="151"/>
      <c r="C524" s="151"/>
      <c r="D524" s="151"/>
      <c r="E524" s="152"/>
    </row>
    <row r="525">
      <c r="A525" s="151"/>
      <c r="B525" s="151"/>
      <c r="C525" s="151"/>
      <c r="D525" s="151"/>
      <c r="E525" s="152"/>
    </row>
    <row r="526">
      <c r="A526" s="151"/>
      <c r="B526" s="151"/>
      <c r="C526" s="151"/>
      <c r="D526" s="151"/>
      <c r="E526" s="152"/>
    </row>
    <row r="527">
      <c r="A527" s="151"/>
      <c r="B527" s="151"/>
      <c r="C527" s="151"/>
      <c r="D527" s="151"/>
      <c r="E527" s="152"/>
    </row>
    <row r="528">
      <c r="A528" s="151"/>
      <c r="B528" s="151"/>
      <c r="C528" s="151"/>
      <c r="D528" s="151"/>
      <c r="E528" s="152"/>
    </row>
    <row r="529">
      <c r="A529" s="151"/>
      <c r="B529" s="151"/>
      <c r="C529" s="151"/>
      <c r="D529" s="151"/>
      <c r="E529" s="152"/>
    </row>
    <row r="530">
      <c r="A530" s="151"/>
      <c r="B530" s="151"/>
      <c r="C530" s="151"/>
      <c r="D530" s="151"/>
      <c r="E530" s="152"/>
    </row>
    <row r="531">
      <c r="A531" s="151"/>
      <c r="B531" s="151"/>
      <c r="C531" s="151"/>
      <c r="D531" s="151"/>
      <c r="E531" s="152"/>
    </row>
    <row r="532">
      <c r="A532" s="151"/>
      <c r="B532" s="151"/>
      <c r="C532" s="151"/>
      <c r="D532" s="151"/>
      <c r="E532" s="152"/>
    </row>
    <row r="533">
      <c r="A533" s="151"/>
      <c r="B533" s="151"/>
      <c r="C533" s="151"/>
      <c r="D533" s="151"/>
      <c r="E533" s="152"/>
    </row>
    <row r="534">
      <c r="A534" s="151"/>
      <c r="B534" s="151"/>
      <c r="C534" s="151"/>
      <c r="D534" s="151"/>
      <c r="E534" s="152"/>
    </row>
    <row r="535">
      <c r="A535" s="151"/>
      <c r="B535" s="151"/>
      <c r="C535" s="151"/>
      <c r="D535" s="151"/>
      <c r="E535" s="152"/>
    </row>
    <row r="536">
      <c r="A536" s="151"/>
      <c r="B536" s="151"/>
      <c r="C536" s="151"/>
      <c r="D536" s="151"/>
      <c r="E536" s="152"/>
    </row>
    <row r="537">
      <c r="A537" s="151"/>
      <c r="B537" s="151"/>
      <c r="C537" s="151"/>
      <c r="D537" s="151"/>
      <c r="E537" s="152"/>
    </row>
    <row r="538">
      <c r="A538" s="151"/>
      <c r="B538" s="151"/>
      <c r="C538" s="151"/>
      <c r="D538" s="151"/>
      <c r="E538" s="152"/>
    </row>
    <row r="539">
      <c r="A539" s="151"/>
      <c r="B539" s="151"/>
      <c r="C539" s="151"/>
      <c r="D539" s="151"/>
      <c r="E539" s="152"/>
    </row>
    <row r="540">
      <c r="A540" s="151"/>
      <c r="B540" s="151"/>
      <c r="C540" s="151"/>
      <c r="D540" s="151"/>
      <c r="E540" s="152"/>
    </row>
    <row r="541">
      <c r="A541" s="151"/>
      <c r="B541" s="151"/>
      <c r="C541" s="151"/>
      <c r="D541" s="151"/>
      <c r="E541" s="152"/>
    </row>
    <row r="542">
      <c r="A542" s="151"/>
      <c r="B542" s="151"/>
      <c r="C542" s="151"/>
      <c r="D542" s="151"/>
      <c r="E542" s="152"/>
    </row>
    <row r="543">
      <c r="A543" s="151"/>
      <c r="B543" s="151"/>
      <c r="C543" s="151"/>
      <c r="D543" s="151"/>
      <c r="E543" s="152"/>
    </row>
    <row r="544">
      <c r="A544" s="151"/>
      <c r="B544" s="151"/>
      <c r="C544" s="151"/>
      <c r="D544" s="151"/>
      <c r="E544" s="152"/>
    </row>
    <row r="545">
      <c r="A545" s="151"/>
      <c r="B545" s="151"/>
      <c r="C545" s="151"/>
      <c r="D545" s="151"/>
      <c r="E545" s="152"/>
    </row>
    <row r="546">
      <c r="A546" s="151"/>
      <c r="B546" s="151"/>
      <c r="C546" s="151"/>
      <c r="D546" s="151"/>
      <c r="E546" s="152"/>
    </row>
    <row r="547">
      <c r="A547" s="151"/>
      <c r="B547" s="151"/>
      <c r="C547" s="151"/>
      <c r="D547" s="151"/>
      <c r="E547" s="152"/>
    </row>
    <row r="548">
      <c r="A548" s="151"/>
      <c r="B548" s="151"/>
      <c r="C548" s="151"/>
      <c r="D548" s="151"/>
      <c r="E548" s="152"/>
    </row>
    <row r="549">
      <c r="A549" s="151"/>
      <c r="B549" s="151"/>
      <c r="C549" s="151"/>
      <c r="D549" s="151"/>
      <c r="E549" s="152"/>
    </row>
    <row r="550">
      <c r="A550" s="151"/>
      <c r="B550" s="151"/>
      <c r="C550" s="151"/>
      <c r="D550" s="151"/>
      <c r="E550" s="152"/>
    </row>
    <row r="551">
      <c r="A551" s="151"/>
      <c r="B551" s="151"/>
      <c r="C551" s="151"/>
      <c r="D551" s="151"/>
      <c r="E551" s="152"/>
    </row>
    <row r="552">
      <c r="A552" s="151"/>
      <c r="B552" s="151"/>
      <c r="C552" s="151"/>
      <c r="D552" s="151"/>
      <c r="E552" s="152"/>
    </row>
    <row r="553">
      <c r="A553" s="151"/>
      <c r="B553" s="151"/>
      <c r="C553" s="151"/>
      <c r="D553" s="151"/>
      <c r="E553" s="152"/>
    </row>
    <row r="554">
      <c r="A554" s="151"/>
      <c r="B554" s="151"/>
      <c r="C554" s="151"/>
      <c r="D554" s="151"/>
      <c r="E554" s="152"/>
    </row>
    <row r="555">
      <c r="A555" s="151"/>
      <c r="B555" s="151"/>
      <c r="C555" s="151"/>
      <c r="D555" s="151"/>
      <c r="E555" s="152"/>
    </row>
    <row r="556">
      <c r="A556" s="151"/>
      <c r="B556" s="151"/>
      <c r="C556" s="151"/>
      <c r="D556" s="151"/>
      <c r="E556" s="152"/>
    </row>
    <row r="557">
      <c r="A557" s="151"/>
      <c r="B557" s="151"/>
      <c r="C557" s="151"/>
      <c r="D557" s="151"/>
      <c r="E557" s="152"/>
    </row>
    <row r="558">
      <c r="A558" s="151"/>
      <c r="B558" s="151"/>
      <c r="C558" s="151"/>
      <c r="D558" s="151"/>
      <c r="E558" s="152"/>
    </row>
    <row r="559">
      <c r="A559" s="151"/>
      <c r="B559" s="151"/>
      <c r="C559" s="151"/>
      <c r="D559" s="151"/>
      <c r="E559" s="152"/>
    </row>
    <row r="560">
      <c r="A560" s="151"/>
      <c r="B560" s="151"/>
      <c r="C560" s="151"/>
      <c r="D560" s="151"/>
      <c r="E560" s="152"/>
    </row>
    <row r="561">
      <c r="A561" s="151"/>
      <c r="B561" s="151"/>
      <c r="C561" s="151"/>
      <c r="D561" s="151"/>
      <c r="E561" s="152"/>
    </row>
    <row r="562">
      <c r="A562" s="151"/>
      <c r="B562" s="151"/>
      <c r="C562" s="151"/>
      <c r="D562" s="151"/>
      <c r="E562" s="152"/>
    </row>
    <row r="563">
      <c r="A563" s="151"/>
      <c r="B563" s="151"/>
      <c r="C563" s="151"/>
      <c r="D563" s="151"/>
      <c r="E563" s="152"/>
    </row>
    <row r="564">
      <c r="A564" s="151"/>
      <c r="B564" s="151"/>
      <c r="C564" s="151"/>
      <c r="D564" s="151"/>
      <c r="E564" s="152"/>
    </row>
    <row r="565">
      <c r="A565" s="151"/>
      <c r="B565" s="151"/>
      <c r="C565" s="151"/>
      <c r="D565" s="151"/>
      <c r="E565" s="152"/>
    </row>
    <row r="566">
      <c r="A566" s="151"/>
      <c r="B566" s="151"/>
      <c r="C566" s="151"/>
      <c r="D566" s="151"/>
      <c r="E566" s="152"/>
    </row>
    <row r="567">
      <c r="A567" s="151"/>
      <c r="B567" s="151"/>
      <c r="C567" s="151"/>
      <c r="D567" s="151"/>
      <c r="E567" s="152"/>
    </row>
    <row r="568">
      <c r="A568" s="151"/>
      <c r="B568" s="151"/>
      <c r="C568" s="151"/>
      <c r="D568" s="151"/>
      <c r="E568" s="152"/>
    </row>
    <row r="569">
      <c r="A569" s="151"/>
      <c r="B569" s="151"/>
      <c r="C569" s="151"/>
      <c r="D569" s="151"/>
      <c r="E569" s="152"/>
    </row>
    <row r="570">
      <c r="A570" s="151"/>
      <c r="B570" s="151"/>
      <c r="C570" s="151"/>
      <c r="D570" s="151"/>
      <c r="E570" s="152"/>
    </row>
    <row r="571">
      <c r="A571" s="151"/>
      <c r="B571" s="151"/>
      <c r="C571" s="151"/>
      <c r="D571" s="151"/>
      <c r="E571" s="152"/>
    </row>
    <row r="572">
      <c r="A572" s="151"/>
      <c r="B572" s="151"/>
      <c r="C572" s="151"/>
      <c r="D572" s="151"/>
      <c r="E572" s="152"/>
    </row>
    <row r="573">
      <c r="A573" s="151"/>
      <c r="B573" s="151"/>
      <c r="C573" s="151"/>
      <c r="D573" s="151"/>
      <c r="E573" s="152"/>
    </row>
    <row r="574">
      <c r="A574" s="151"/>
      <c r="B574" s="151"/>
      <c r="C574" s="151"/>
      <c r="D574" s="151"/>
      <c r="E574" s="152"/>
    </row>
    <row r="575">
      <c r="A575" s="151"/>
      <c r="B575" s="151"/>
      <c r="C575" s="151"/>
      <c r="D575" s="151"/>
      <c r="E575" s="152"/>
    </row>
    <row r="576">
      <c r="A576" s="151"/>
      <c r="B576" s="151"/>
      <c r="C576" s="151"/>
      <c r="D576" s="151"/>
      <c r="E576" s="152"/>
    </row>
    <row r="577">
      <c r="A577" s="151"/>
      <c r="B577" s="151"/>
      <c r="C577" s="151"/>
      <c r="D577" s="151"/>
      <c r="E577" s="152"/>
    </row>
    <row r="578">
      <c r="A578" s="151"/>
      <c r="B578" s="151"/>
      <c r="C578" s="151"/>
      <c r="D578" s="151"/>
      <c r="E578" s="152"/>
    </row>
    <row r="579">
      <c r="A579" s="151"/>
      <c r="B579" s="151"/>
      <c r="C579" s="151"/>
      <c r="D579" s="151"/>
      <c r="E579" s="152"/>
    </row>
    <row r="580">
      <c r="A580" s="151"/>
      <c r="B580" s="151"/>
      <c r="C580" s="151"/>
      <c r="D580" s="151"/>
      <c r="E580" s="152"/>
    </row>
    <row r="581">
      <c r="A581" s="151"/>
      <c r="B581" s="151"/>
      <c r="C581" s="151"/>
      <c r="D581" s="151"/>
      <c r="E581" s="152"/>
    </row>
    <row r="582">
      <c r="A582" s="151"/>
      <c r="B582" s="151"/>
      <c r="C582" s="151"/>
      <c r="D582" s="151"/>
      <c r="E582" s="152"/>
    </row>
    <row r="583">
      <c r="A583" s="151"/>
      <c r="B583" s="151"/>
      <c r="C583" s="151"/>
      <c r="D583" s="151"/>
      <c r="E583" s="152"/>
    </row>
    <row r="584">
      <c r="A584" s="151"/>
      <c r="B584" s="151"/>
      <c r="C584" s="151"/>
      <c r="D584" s="151"/>
      <c r="E584" s="152"/>
    </row>
    <row r="585">
      <c r="A585" s="151"/>
      <c r="B585" s="151"/>
      <c r="C585" s="151"/>
      <c r="D585" s="151"/>
      <c r="E585" s="152"/>
    </row>
    <row r="586">
      <c r="A586" s="151"/>
      <c r="B586" s="151"/>
      <c r="C586" s="151"/>
      <c r="D586" s="151"/>
      <c r="E586" s="152"/>
    </row>
    <row r="587">
      <c r="A587" s="151"/>
      <c r="B587" s="151"/>
      <c r="C587" s="151"/>
      <c r="D587" s="151"/>
      <c r="E587" s="152"/>
    </row>
    <row r="588">
      <c r="A588" s="151"/>
      <c r="B588" s="151"/>
      <c r="C588" s="151"/>
      <c r="D588" s="151"/>
      <c r="E588" s="152"/>
    </row>
    <row r="589">
      <c r="A589" s="151"/>
      <c r="B589" s="151"/>
      <c r="C589" s="151"/>
      <c r="D589" s="151"/>
      <c r="E589" s="152"/>
    </row>
    <row r="590">
      <c r="A590" s="151"/>
      <c r="B590" s="151"/>
      <c r="C590" s="151"/>
      <c r="D590" s="151"/>
      <c r="E590" s="152"/>
    </row>
    <row r="591">
      <c r="A591" s="151"/>
      <c r="B591" s="151"/>
      <c r="C591" s="151"/>
      <c r="D591" s="151"/>
      <c r="E591" s="152"/>
    </row>
    <row r="592">
      <c r="A592" s="151"/>
      <c r="B592" s="151"/>
      <c r="C592" s="151"/>
      <c r="D592" s="151"/>
      <c r="E592" s="152"/>
    </row>
    <row r="593">
      <c r="A593" s="151"/>
      <c r="B593" s="151"/>
      <c r="C593" s="151"/>
      <c r="D593" s="151"/>
      <c r="E593" s="152"/>
    </row>
    <row r="594">
      <c r="A594" s="151"/>
      <c r="B594" s="151"/>
      <c r="C594" s="151"/>
      <c r="D594" s="151"/>
      <c r="E594" s="152"/>
    </row>
    <row r="595">
      <c r="A595" s="151"/>
      <c r="B595" s="151"/>
      <c r="C595" s="151"/>
      <c r="D595" s="151"/>
      <c r="E595" s="152"/>
    </row>
    <row r="596">
      <c r="A596" s="151"/>
      <c r="B596" s="151"/>
      <c r="C596" s="151"/>
      <c r="D596" s="151"/>
      <c r="E596" s="152"/>
    </row>
    <row r="597">
      <c r="A597" s="151"/>
      <c r="B597" s="151"/>
      <c r="C597" s="151"/>
      <c r="D597" s="151"/>
      <c r="E597" s="152"/>
    </row>
    <row r="598">
      <c r="A598" s="151"/>
      <c r="B598" s="151"/>
      <c r="C598" s="151"/>
      <c r="D598" s="151"/>
      <c r="E598" s="152"/>
    </row>
    <row r="599">
      <c r="A599" s="151"/>
      <c r="B599" s="151"/>
      <c r="C599" s="151"/>
      <c r="D599" s="151"/>
      <c r="E599" s="152"/>
    </row>
    <row r="600">
      <c r="A600" s="151"/>
      <c r="B600" s="151"/>
      <c r="C600" s="151"/>
      <c r="D600" s="151"/>
      <c r="E600" s="152"/>
    </row>
    <row r="601">
      <c r="A601" s="151"/>
      <c r="B601" s="151"/>
      <c r="C601" s="151"/>
      <c r="D601" s="151"/>
      <c r="E601" s="152"/>
    </row>
    <row r="602">
      <c r="A602" s="151"/>
      <c r="B602" s="151"/>
      <c r="C602" s="151"/>
      <c r="D602" s="151"/>
      <c r="E602" s="152"/>
    </row>
    <row r="603">
      <c r="A603" s="151"/>
      <c r="B603" s="151"/>
      <c r="C603" s="151"/>
      <c r="D603" s="151"/>
      <c r="E603" s="152"/>
    </row>
    <row r="604">
      <c r="A604" s="151"/>
      <c r="B604" s="151"/>
      <c r="C604" s="151"/>
      <c r="D604" s="151"/>
      <c r="E604" s="152"/>
    </row>
    <row r="605">
      <c r="A605" s="151"/>
      <c r="B605" s="151"/>
      <c r="C605" s="151"/>
      <c r="D605" s="151"/>
      <c r="E605" s="152"/>
    </row>
    <row r="606">
      <c r="A606" s="151"/>
      <c r="B606" s="151"/>
      <c r="C606" s="151"/>
      <c r="D606" s="151"/>
      <c r="E606" s="152"/>
    </row>
    <row r="607">
      <c r="A607" s="151"/>
      <c r="B607" s="151"/>
      <c r="C607" s="151"/>
      <c r="D607" s="151"/>
      <c r="E607" s="152"/>
    </row>
    <row r="608">
      <c r="A608" s="151"/>
      <c r="B608" s="151"/>
      <c r="C608" s="151"/>
      <c r="D608" s="151"/>
      <c r="E608" s="152"/>
    </row>
    <row r="609">
      <c r="A609" s="151"/>
      <c r="B609" s="151"/>
      <c r="C609" s="151"/>
      <c r="D609" s="151"/>
      <c r="E609" s="152"/>
    </row>
    <row r="610">
      <c r="A610" s="151"/>
      <c r="B610" s="151"/>
      <c r="C610" s="151"/>
      <c r="D610" s="151"/>
      <c r="E610" s="152"/>
    </row>
    <row r="611">
      <c r="A611" s="151"/>
      <c r="B611" s="151"/>
      <c r="C611" s="151"/>
      <c r="D611" s="151"/>
      <c r="E611" s="152"/>
    </row>
    <row r="612">
      <c r="A612" s="151"/>
      <c r="B612" s="151"/>
      <c r="C612" s="151"/>
      <c r="D612" s="151"/>
      <c r="E612" s="152"/>
    </row>
    <row r="613">
      <c r="A613" s="151"/>
      <c r="B613" s="151"/>
      <c r="C613" s="151"/>
      <c r="D613" s="151"/>
      <c r="E613" s="152"/>
    </row>
    <row r="614">
      <c r="A614" s="151"/>
      <c r="B614" s="151"/>
      <c r="C614" s="151"/>
      <c r="D614" s="151"/>
      <c r="E614" s="152"/>
    </row>
    <row r="615">
      <c r="A615" s="151"/>
      <c r="B615" s="151"/>
      <c r="C615" s="151"/>
      <c r="D615" s="151"/>
      <c r="E615" s="152"/>
    </row>
    <row r="616">
      <c r="A616" s="151"/>
      <c r="B616" s="151"/>
      <c r="C616" s="151"/>
      <c r="D616" s="151"/>
      <c r="E616" s="152"/>
    </row>
    <row r="617">
      <c r="A617" s="151"/>
      <c r="B617" s="151"/>
      <c r="C617" s="151"/>
      <c r="D617" s="151"/>
      <c r="E617" s="152"/>
    </row>
    <row r="618">
      <c r="A618" s="151"/>
      <c r="B618" s="151"/>
      <c r="C618" s="151"/>
      <c r="D618" s="151"/>
      <c r="E618" s="152"/>
    </row>
    <row r="619">
      <c r="A619" s="151"/>
      <c r="B619" s="151"/>
      <c r="C619" s="151"/>
      <c r="D619" s="151"/>
      <c r="E619" s="152"/>
    </row>
    <row r="620">
      <c r="A620" s="151"/>
      <c r="B620" s="151"/>
      <c r="C620" s="151"/>
      <c r="D620" s="151"/>
      <c r="E620" s="152"/>
    </row>
    <row r="621">
      <c r="A621" s="151"/>
      <c r="B621" s="151"/>
      <c r="C621" s="151"/>
      <c r="D621" s="151"/>
      <c r="E621" s="152"/>
    </row>
    <row r="622">
      <c r="A622" s="151"/>
      <c r="B622" s="151"/>
      <c r="C622" s="151"/>
      <c r="D622" s="151"/>
      <c r="E622" s="152"/>
    </row>
    <row r="623">
      <c r="A623" s="151"/>
      <c r="B623" s="151"/>
      <c r="C623" s="151"/>
      <c r="D623" s="151"/>
      <c r="E623" s="152"/>
    </row>
    <row r="624">
      <c r="A624" s="151"/>
      <c r="B624" s="151"/>
      <c r="C624" s="151"/>
      <c r="D624" s="151"/>
      <c r="E624" s="152"/>
    </row>
    <row r="625">
      <c r="A625" s="151"/>
      <c r="B625" s="151"/>
      <c r="C625" s="151"/>
      <c r="D625" s="151"/>
      <c r="E625" s="152"/>
    </row>
    <row r="626">
      <c r="A626" s="151"/>
      <c r="B626" s="151"/>
      <c r="C626" s="151"/>
      <c r="D626" s="151"/>
      <c r="E626" s="152"/>
    </row>
    <row r="627">
      <c r="A627" s="151"/>
      <c r="B627" s="151"/>
      <c r="C627" s="151"/>
      <c r="D627" s="151"/>
      <c r="E627" s="152"/>
    </row>
    <row r="628">
      <c r="A628" s="151"/>
      <c r="B628" s="151"/>
      <c r="C628" s="151"/>
      <c r="D628" s="151"/>
      <c r="E628" s="152"/>
    </row>
    <row r="629">
      <c r="A629" s="151"/>
      <c r="B629" s="151"/>
      <c r="C629" s="151"/>
      <c r="D629" s="151"/>
      <c r="E629" s="152"/>
    </row>
    <row r="630">
      <c r="A630" s="151"/>
      <c r="B630" s="151"/>
      <c r="C630" s="151"/>
      <c r="D630" s="151"/>
      <c r="E630" s="152"/>
    </row>
    <row r="631">
      <c r="A631" s="151"/>
      <c r="B631" s="151"/>
      <c r="C631" s="151"/>
      <c r="D631" s="151"/>
      <c r="E631" s="152"/>
    </row>
    <row r="632">
      <c r="A632" s="151"/>
      <c r="B632" s="151"/>
      <c r="C632" s="151"/>
      <c r="D632" s="151"/>
      <c r="E632" s="152"/>
    </row>
    <row r="633">
      <c r="A633" s="151"/>
      <c r="B633" s="151"/>
      <c r="C633" s="151"/>
      <c r="D633" s="151"/>
      <c r="E633" s="152"/>
    </row>
    <row r="634">
      <c r="A634" s="151"/>
      <c r="B634" s="151"/>
      <c r="C634" s="151"/>
      <c r="D634" s="151"/>
      <c r="E634" s="152"/>
    </row>
    <row r="635">
      <c r="A635" s="151"/>
      <c r="B635" s="151"/>
      <c r="C635" s="151"/>
      <c r="D635" s="151"/>
      <c r="E635" s="152"/>
    </row>
    <row r="636">
      <c r="A636" s="151"/>
      <c r="B636" s="151"/>
      <c r="C636" s="151"/>
      <c r="D636" s="151"/>
      <c r="E636" s="152"/>
    </row>
    <row r="637">
      <c r="A637" s="151"/>
      <c r="B637" s="151"/>
      <c r="C637" s="151"/>
      <c r="D637" s="151"/>
      <c r="E637" s="152"/>
    </row>
    <row r="638">
      <c r="A638" s="151"/>
      <c r="B638" s="151"/>
      <c r="C638" s="151"/>
      <c r="D638" s="151"/>
      <c r="E638" s="152"/>
    </row>
    <row r="639">
      <c r="A639" s="151"/>
      <c r="B639" s="151"/>
      <c r="C639" s="151"/>
      <c r="D639" s="151"/>
      <c r="E639" s="152"/>
    </row>
    <row r="640">
      <c r="A640" s="151"/>
      <c r="B640" s="151"/>
      <c r="C640" s="151"/>
      <c r="D640" s="151"/>
      <c r="E640" s="152"/>
    </row>
    <row r="641">
      <c r="A641" s="151"/>
      <c r="B641" s="151"/>
      <c r="C641" s="151"/>
      <c r="D641" s="151"/>
      <c r="E641" s="152"/>
    </row>
    <row r="642">
      <c r="A642" s="151"/>
      <c r="B642" s="151"/>
      <c r="C642" s="151"/>
      <c r="D642" s="151"/>
      <c r="E642" s="152"/>
    </row>
    <row r="643">
      <c r="A643" s="151"/>
      <c r="B643" s="151"/>
      <c r="C643" s="151"/>
      <c r="D643" s="151"/>
      <c r="E643" s="152"/>
    </row>
    <row r="644">
      <c r="A644" s="151"/>
      <c r="B644" s="151"/>
      <c r="C644" s="151"/>
      <c r="D644" s="151"/>
      <c r="E644" s="152"/>
    </row>
    <row r="645">
      <c r="A645" s="151"/>
      <c r="B645" s="151"/>
      <c r="C645" s="151"/>
      <c r="D645" s="151"/>
      <c r="E645" s="152"/>
    </row>
    <row r="646">
      <c r="A646" s="151"/>
      <c r="B646" s="151"/>
      <c r="C646" s="151"/>
      <c r="D646" s="151"/>
      <c r="E646" s="152"/>
    </row>
    <row r="647">
      <c r="A647" s="151"/>
      <c r="B647" s="151"/>
      <c r="C647" s="151"/>
      <c r="D647" s="151"/>
      <c r="E647" s="152"/>
    </row>
    <row r="648">
      <c r="A648" s="151"/>
      <c r="B648" s="151"/>
      <c r="C648" s="151"/>
      <c r="D648" s="151"/>
      <c r="E648" s="152"/>
    </row>
    <row r="649">
      <c r="A649" s="151"/>
      <c r="B649" s="151"/>
      <c r="C649" s="151"/>
      <c r="D649" s="151"/>
      <c r="E649" s="152"/>
    </row>
    <row r="650">
      <c r="A650" s="151"/>
      <c r="B650" s="151"/>
      <c r="C650" s="151"/>
      <c r="D650" s="151"/>
      <c r="E650" s="152"/>
    </row>
    <row r="651">
      <c r="A651" s="151"/>
      <c r="B651" s="151"/>
      <c r="C651" s="151"/>
      <c r="D651" s="151"/>
      <c r="E651" s="152"/>
    </row>
    <row r="652">
      <c r="A652" s="151"/>
      <c r="B652" s="151"/>
      <c r="C652" s="151"/>
      <c r="D652" s="151"/>
      <c r="E652" s="152"/>
    </row>
    <row r="653">
      <c r="A653" s="151"/>
      <c r="B653" s="151"/>
      <c r="C653" s="151"/>
      <c r="D653" s="151"/>
      <c r="E653" s="152"/>
    </row>
    <row r="654">
      <c r="A654" s="151"/>
      <c r="B654" s="151"/>
      <c r="C654" s="151"/>
      <c r="D654" s="151"/>
      <c r="E654" s="152"/>
    </row>
    <row r="655">
      <c r="A655" s="151"/>
      <c r="B655" s="151"/>
      <c r="C655" s="151"/>
      <c r="D655" s="151"/>
      <c r="E655" s="152"/>
    </row>
    <row r="656">
      <c r="A656" s="151"/>
      <c r="B656" s="151"/>
      <c r="C656" s="151"/>
      <c r="D656" s="151"/>
      <c r="E656" s="152"/>
    </row>
    <row r="657">
      <c r="A657" s="151"/>
      <c r="B657" s="151"/>
      <c r="C657" s="151"/>
      <c r="D657" s="151"/>
      <c r="E657" s="152"/>
    </row>
    <row r="658">
      <c r="A658" s="151"/>
      <c r="B658" s="151"/>
      <c r="C658" s="151"/>
      <c r="D658" s="151"/>
      <c r="E658" s="152"/>
    </row>
    <row r="659">
      <c r="A659" s="151"/>
      <c r="B659" s="151"/>
      <c r="C659" s="151"/>
      <c r="D659" s="151"/>
      <c r="E659" s="152"/>
    </row>
    <row r="660">
      <c r="A660" s="151"/>
      <c r="B660" s="151"/>
      <c r="C660" s="151"/>
      <c r="D660" s="151"/>
      <c r="E660" s="152"/>
    </row>
    <row r="661">
      <c r="A661" s="151"/>
      <c r="B661" s="151"/>
      <c r="C661" s="151"/>
      <c r="D661" s="151"/>
      <c r="E661" s="152"/>
    </row>
    <row r="662">
      <c r="A662" s="151"/>
      <c r="B662" s="151"/>
      <c r="C662" s="151"/>
      <c r="D662" s="151"/>
      <c r="E662" s="152"/>
    </row>
    <row r="663">
      <c r="A663" s="151"/>
      <c r="B663" s="151"/>
      <c r="C663" s="151"/>
      <c r="D663" s="151"/>
      <c r="E663" s="152"/>
    </row>
    <row r="664">
      <c r="A664" s="151"/>
      <c r="B664" s="151"/>
      <c r="C664" s="151"/>
      <c r="D664" s="151"/>
      <c r="E664" s="152"/>
    </row>
    <row r="665">
      <c r="A665" s="151"/>
      <c r="B665" s="151"/>
      <c r="C665" s="151"/>
      <c r="D665" s="151"/>
      <c r="E665" s="152"/>
    </row>
    <row r="666">
      <c r="A666" s="151"/>
      <c r="B666" s="151"/>
      <c r="C666" s="151"/>
      <c r="D666" s="151"/>
      <c r="E666" s="152"/>
    </row>
    <row r="667">
      <c r="A667" s="151"/>
      <c r="B667" s="151"/>
      <c r="C667" s="151"/>
      <c r="D667" s="151"/>
      <c r="E667" s="152"/>
    </row>
    <row r="668">
      <c r="A668" s="151"/>
      <c r="B668" s="151"/>
      <c r="C668" s="151"/>
      <c r="D668" s="151"/>
      <c r="E668" s="152"/>
    </row>
    <row r="669">
      <c r="A669" s="151"/>
      <c r="B669" s="151"/>
      <c r="C669" s="151"/>
      <c r="D669" s="151"/>
      <c r="E669" s="152"/>
    </row>
    <row r="670">
      <c r="A670" s="151"/>
      <c r="B670" s="151"/>
      <c r="C670" s="151"/>
      <c r="D670" s="151"/>
      <c r="E670" s="152"/>
    </row>
    <row r="671">
      <c r="A671" s="151"/>
      <c r="B671" s="151"/>
      <c r="C671" s="151"/>
      <c r="D671" s="151"/>
      <c r="E671" s="152"/>
    </row>
    <row r="672">
      <c r="A672" s="151"/>
      <c r="B672" s="151"/>
      <c r="C672" s="151"/>
      <c r="D672" s="151"/>
      <c r="E672" s="152"/>
    </row>
    <row r="673">
      <c r="A673" s="151"/>
      <c r="B673" s="151"/>
      <c r="C673" s="151"/>
      <c r="D673" s="151"/>
      <c r="E673" s="152"/>
    </row>
    <row r="674">
      <c r="A674" s="151"/>
      <c r="B674" s="151"/>
      <c r="C674" s="151"/>
      <c r="D674" s="151"/>
      <c r="E674" s="152"/>
    </row>
    <row r="675">
      <c r="A675" s="151"/>
      <c r="B675" s="151"/>
      <c r="C675" s="151"/>
      <c r="D675" s="151"/>
      <c r="E675" s="152"/>
    </row>
    <row r="676">
      <c r="A676" s="151"/>
      <c r="B676" s="151"/>
      <c r="C676" s="151"/>
      <c r="D676" s="151"/>
      <c r="E676" s="152"/>
    </row>
    <row r="677">
      <c r="A677" s="151"/>
      <c r="B677" s="151"/>
      <c r="C677" s="151"/>
      <c r="D677" s="151"/>
      <c r="E677" s="152"/>
    </row>
    <row r="678">
      <c r="A678" s="151"/>
      <c r="B678" s="151"/>
      <c r="C678" s="151"/>
      <c r="D678" s="151"/>
      <c r="E678" s="152"/>
    </row>
    <row r="679">
      <c r="A679" s="151"/>
      <c r="B679" s="151"/>
      <c r="C679" s="151"/>
      <c r="D679" s="151"/>
      <c r="E679" s="152"/>
    </row>
    <row r="680">
      <c r="A680" s="151"/>
      <c r="B680" s="151"/>
      <c r="C680" s="151"/>
      <c r="D680" s="151"/>
      <c r="E680" s="152"/>
    </row>
    <row r="681">
      <c r="A681" s="151"/>
      <c r="B681" s="151"/>
      <c r="C681" s="151"/>
      <c r="D681" s="151"/>
      <c r="E681" s="152"/>
    </row>
    <row r="682">
      <c r="A682" s="151"/>
      <c r="B682" s="151"/>
      <c r="C682" s="151"/>
      <c r="D682" s="151"/>
      <c r="E682" s="152"/>
    </row>
    <row r="683">
      <c r="A683" s="151"/>
      <c r="B683" s="151"/>
      <c r="C683" s="151"/>
      <c r="D683" s="151"/>
      <c r="E683" s="152"/>
    </row>
    <row r="684">
      <c r="A684" s="151"/>
      <c r="B684" s="151"/>
      <c r="C684" s="151"/>
      <c r="D684" s="151"/>
      <c r="E684" s="152"/>
    </row>
    <row r="685">
      <c r="A685" s="151"/>
      <c r="B685" s="151"/>
      <c r="C685" s="151"/>
      <c r="D685" s="151"/>
      <c r="E685" s="152"/>
    </row>
    <row r="686">
      <c r="A686" s="151"/>
      <c r="B686" s="151"/>
      <c r="C686" s="151"/>
      <c r="D686" s="151"/>
      <c r="E686" s="152"/>
    </row>
    <row r="687">
      <c r="A687" s="151"/>
      <c r="B687" s="151"/>
      <c r="C687" s="151"/>
      <c r="D687" s="151"/>
      <c r="E687" s="152"/>
    </row>
    <row r="688">
      <c r="A688" s="151"/>
      <c r="B688" s="151"/>
      <c r="C688" s="151"/>
      <c r="D688" s="151"/>
      <c r="E688" s="152"/>
    </row>
    <row r="689">
      <c r="A689" s="151"/>
      <c r="B689" s="151"/>
      <c r="C689" s="151"/>
      <c r="D689" s="151"/>
      <c r="E689" s="152"/>
    </row>
    <row r="690">
      <c r="A690" s="151"/>
      <c r="B690" s="151"/>
      <c r="C690" s="151"/>
      <c r="D690" s="151"/>
      <c r="E690" s="152"/>
    </row>
    <row r="691">
      <c r="A691" s="151"/>
      <c r="B691" s="151"/>
      <c r="C691" s="151"/>
      <c r="D691" s="151"/>
      <c r="E691" s="152"/>
    </row>
    <row r="692">
      <c r="A692" s="151"/>
      <c r="B692" s="151"/>
      <c r="C692" s="151"/>
      <c r="D692" s="151"/>
      <c r="E692" s="152"/>
    </row>
    <row r="693">
      <c r="A693" s="151"/>
      <c r="B693" s="151"/>
      <c r="C693" s="151"/>
      <c r="D693" s="151"/>
      <c r="E693" s="152"/>
    </row>
    <row r="694">
      <c r="A694" s="151"/>
      <c r="B694" s="151"/>
      <c r="C694" s="151"/>
      <c r="D694" s="151"/>
      <c r="E694" s="152"/>
    </row>
    <row r="695">
      <c r="A695" s="151"/>
      <c r="B695" s="151"/>
      <c r="C695" s="151"/>
      <c r="D695" s="151"/>
      <c r="E695" s="152"/>
    </row>
    <row r="696">
      <c r="A696" s="151"/>
      <c r="B696" s="151"/>
      <c r="C696" s="151"/>
      <c r="D696" s="151"/>
      <c r="E696" s="152"/>
    </row>
    <row r="697">
      <c r="A697" s="151"/>
      <c r="B697" s="151"/>
      <c r="C697" s="151"/>
      <c r="D697" s="151"/>
      <c r="E697" s="152"/>
    </row>
    <row r="698">
      <c r="A698" s="151"/>
      <c r="B698" s="151"/>
      <c r="C698" s="151"/>
      <c r="D698" s="151"/>
      <c r="E698" s="152"/>
    </row>
    <row r="699">
      <c r="A699" s="151"/>
      <c r="B699" s="151"/>
      <c r="C699" s="151"/>
      <c r="D699" s="151"/>
      <c r="E699" s="152"/>
    </row>
    <row r="700">
      <c r="A700" s="151"/>
      <c r="B700" s="151"/>
      <c r="C700" s="151"/>
      <c r="D700" s="151"/>
      <c r="E700" s="152"/>
    </row>
    <row r="701">
      <c r="A701" s="151"/>
      <c r="B701" s="151"/>
      <c r="C701" s="151"/>
      <c r="D701" s="151"/>
      <c r="E701" s="152"/>
    </row>
    <row r="702">
      <c r="A702" s="151"/>
      <c r="B702" s="151"/>
      <c r="C702" s="151"/>
      <c r="D702" s="151"/>
      <c r="E702" s="152"/>
    </row>
    <row r="703">
      <c r="A703" s="151"/>
      <c r="B703" s="151"/>
      <c r="C703" s="151"/>
      <c r="D703" s="151"/>
      <c r="E703" s="152"/>
    </row>
    <row r="704">
      <c r="A704" s="151"/>
      <c r="B704" s="151"/>
      <c r="C704" s="151"/>
      <c r="D704" s="151"/>
      <c r="E704" s="152"/>
    </row>
    <row r="705">
      <c r="A705" s="151"/>
      <c r="B705" s="151"/>
      <c r="C705" s="151"/>
      <c r="D705" s="151"/>
      <c r="E705" s="152"/>
    </row>
    <row r="706">
      <c r="A706" s="151"/>
      <c r="B706" s="151"/>
      <c r="C706" s="151"/>
      <c r="D706" s="151"/>
      <c r="E706" s="152"/>
    </row>
    <row r="707">
      <c r="A707" s="151"/>
      <c r="B707" s="151"/>
      <c r="C707" s="151"/>
      <c r="D707" s="151"/>
      <c r="E707" s="152"/>
    </row>
    <row r="708">
      <c r="A708" s="151"/>
      <c r="B708" s="151"/>
      <c r="C708" s="151"/>
      <c r="D708" s="151"/>
      <c r="E708" s="152"/>
    </row>
    <row r="709">
      <c r="A709" s="151"/>
      <c r="B709" s="151"/>
      <c r="C709" s="151"/>
      <c r="D709" s="151"/>
      <c r="E709" s="152"/>
    </row>
    <row r="710">
      <c r="A710" s="151"/>
      <c r="B710" s="151"/>
      <c r="C710" s="151"/>
      <c r="D710" s="151"/>
      <c r="E710" s="152"/>
    </row>
    <row r="711">
      <c r="A711" s="151"/>
      <c r="B711" s="151"/>
      <c r="C711" s="151"/>
      <c r="D711" s="151"/>
      <c r="E711" s="152"/>
    </row>
    <row r="712">
      <c r="A712" s="151"/>
      <c r="B712" s="151"/>
      <c r="C712" s="151"/>
      <c r="D712" s="151"/>
      <c r="E712" s="152"/>
    </row>
    <row r="713">
      <c r="A713" s="151"/>
      <c r="B713" s="151"/>
      <c r="C713" s="151"/>
      <c r="D713" s="151"/>
      <c r="E713" s="152"/>
    </row>
    <row r="714">
      <c r="A714" s="151"/>
      <c r="B714" s="151"/>
      <c r="C714" s="151"/>
      <c r="D714" s="151"/>
      <c r="E714" s="152"/>
    </row>
    <row r="715">
      <c r="A715" s="151"/>
      <c r="B715" s="151"/>
      <c r="C715" s="151"/>
      <c r="D715" s="151"/>
      <c r="E715" s="152"/>
    </row>
    <row r="716">
      <c r="A716" s="151"/>
      <c r="B716" s="151"/>
      <c r="C716" s="151"/>
      <c r="D716" s="151"/>
      <c r="E716" s="152"/>
    </row>
    <row r="717">
      <c r="A717" s="151"/>
      <c r="B717" s="151"/>
      <c r="C717" s="151"/>
      <c r="D717" s="151"/>
      <c r="E717" s="152"/>
    </row>
    <row r="718">
      <c r="A718" s="151"/>
      <c r="B718" s="151"/>
      <c r="C718" s="151"/>
      <c r="D718" s="151"/>
      <c r="E718" s="152"/>
    </row>
    <row r="719">
      <c r="A719" s="151"/>
      <c r="B719" s="151"/>
      <c r="C719" s="151"/>
      <c r="D719" s="151"/>
      <c r="E719" s="152"/>
    </row>
    <row r="720">
      <c r="A720" s="151"/>
      <c r="B720" s="151"/>
      <c r="C720" s="151"/>
      <c r="D720" s="151"/>
      <c r="E720" s="152"/>
    </row>
    <row r="721">
      <c r="A721" s="151"/>
      <c r="B721" s="151"/>
      <c r="C721" s="151"/>
      <c r="D721" s="151"/>
      <c r="E721" s="152"/>
    </row>
    <row r="722">
      <c r="A722" s="151"/>
      <c r="B722" s="151"/>
      <c r="C722" s="151"/>
      <c r="D722" s="151"/>
      <c r="E722" s="152"/>
    </row>
    <row r="723">
      <c r="A723" s="151"/>
      <c r="B723" s="151"/>
      <c r="C723" s="151"/>
      <c r="D723" s="151"/>
      <c r="E723" s="152"/>
    </row>
    <row r="724">
      <c r="A724" s="151"/>
      <c r="B724" s="151"/>
      <c r="C724" s="151"/>
      <c r="D724" s="151"/>
      <c r="E724" s="152"/>
    </row>
    <row r="725">
      <c r="A725" s="151"/>
      <c r="B725" s="151"/>
      <c r="C725" s="151"/>
      <c r="D725" s="151"/>
      <c r="E725" s="152"/>
    </row>
    <row r="726">
      <c r="A726" s="151"/>
      <c r="B726" s="151"/>
      <c r="C726" s="151"/>
      <c r="D726" s="151"/>
      <c r="E726" s="152"/>
    </row>
    <row r="727">
      <c r="A727" s="151"/>
      <c r="B727" s="151"/>
      <c r="C727" s="151"/>
      <c r="D727" s="151"/>
      <c r="E727" s="152"/>
    </row>
    <row r="728">
      <c r="A728" s="151"/>
      <c r="B728" s="151"/>
      <c r="C728" s="151"/>
      <c r="D728" s="151"/>
      <c r="E728" s="152"/>
    </row>
    <row r="729">
      <c r="A729" s="151"/>
      <c r="B729" s="151"/>
      <c r="C729" s="151"/>
      <c r="D729" s="151"/>
      <c r="E729" s="152"/>
    </row>
    <row r="730">
      <c r="A730" s="151"/>
      <c r="B730" s="151"/>
      <c r="C730" s="151"/>
      <c r="D730" s="151"/>
      <c r="E730" s="152"/>
    </row>
    <row r="731">
      <c r="A731" s="151"/>
      <c r="B731" s="151"/>
      <c r="C731" s="151"/>
      <c r="D731" s="151"/>
      <c r="E731" s="152"/>
    </row>
    <row r="732">
      <c r="A732" s="151"/>
      <c r="B732" s="151"/>
      <c r="C732" s="151"/>
      <c r="D732" s="151"/>
      <c r="E732" s="152"/>
    </row>
    <row r="733">
      <c r="A733" s="151"/>
      <c r="B733" s="151"/>
      <c r="C733" s="151"/>
      <c r="D733" s="151"/>
      <c r="E733" s="152"/>
    </row>
    <row r="734">
      <c r="A734" s="151"/>
      <c r="B734" s="151"/>
      <c r="C734" s="151"/>
      <c r="D734" s="151"/>
      <c r="E734" s="152"/>
    </row>
    <row r="735">
      <c r="A735" s="151"/>
      <c r="B735" s="151"/>
      <c r="C735" s="151"/>
      <c r="D735" s="151"/>
      <c r="E735" s="152"/>
    </row>
    <row r="736">
      <c r="A736" s="151"/>
      <c r="B736" s="151"/>
      <c r="C736" s="151"/>
      <c r="D736" s="151"/>
      <c r="E736" s="152"/>
    </row>
    <row r="737">
      <c r="A737" s="151"/>
      <c r="B737" s="151"/>
      <c r="C737" s="151"/>
      <c r="D737" s="151"/>
      <c r="E737" s="152"/>
    </row>
    <row r="738">
      <c r="A738" s="151"/>
      <c r="B738" s="151"/>
      <c r="C738" s="151"/>
      <c r="D738" s="151"/>
      <c r="E738" s="152"/>
    </row>
    <row r="739">
      <c r="A739" s="151"/>
      <c r="B739" s="151"/>
      <c r="C739" s="151"/>
      <c r="D739" s="151"/>
      <c r="E739" s="152"/>
    </row>
    <row r="740">
      <c r="A740" s="151"/>
      <c r="B740" s="151"/>
      <c r="C740" s="151"/>
      <c r="D740" s="151"/>
      <c r="E740" s="152"/>
    </row>
    <row r="741">
      <c r="A741" s="151"/>
      <c r="B741" s="151"/>
      <c r="C741" s="151"/>
      <c r="D741" s="151"/>
      <c r="E741" s="152"/>
    </row>
    <row r="742">
      <c r="A742" s="151"/>
      <c r="B742" s="151"/>
      <c r="C742" s="151"/>
      <c r="D742" s="151"/>
      <c r="E742" s="152"/>
    </row>
    <row r="743">
      <c r="A743" s="151"/>
      <c r="B743" s="151"/>
      <c r="C743" s="151"/>
      <c r="D743" s="151"/>
      <c r="E743" s="152"/>
    </row>
    <row r="744">
      <c r="A744" s="151"/>
      <c r="B744" s="151"/>
      <c r="C744" s="151"/>
      <c r="D744" s="151"/>
      <c r="E744" s="152"/>
    </row>
    <row r="745">
      <c r="A745" s="151"/>
      <c r="B745" s="151"/>
      <c r="C745" s="151"/>
      <c r="D745" s="151"/>
      <c r="E745" s="152"/>
    </row>
    <row r="746">
      <c r="A746" s="151"/>
      <c r="B746" s="151"/>
      <c r="C746" s="151"/>
      <c r="D746" s="151"/>
      <c r="E746" s="152"/>
    </row>
    <row r="747">
      <c r="A747" s="151"/>
      <c r="B747" s="151"/>
      <c r="C747" s="151"/>
      <c r="D747" s="151"/>
      <c r="E747" s="152"/>
    </row>
    <row r="748">
      <c r="A748" s="151"/>
      <c r="B748" s="151"/>
      <c r="C748" s="151"/>
      <c r="D748" s="151"/>
      <c r="E748" s="152"/>
    </row>
    <row r="749">
      <c r="A749" s="151"/>
      <c r="B749" s="151"/>
      <c r="C749" s="151"/>
      <c r="D749" s="151"/>
      <c r="E749" s="152"/>
    </row>
    <row r="750">
      <c r="A750" s="151"/>
      <c r="B750" s="151"/>
      <c r="C750" s="151"/>
      <c r="D750" s="151"/>
      <c r="E750" s="152"/>
    </row>
    <row r="751">
      <c r="A751" s="151"/>
      <c r="B751" s="151"/>
      <c r="C751" s="151"/>
      <c r="D751" s="151"/>
      <c r="E751" s="152"/>
    </row>
    <row r="752">
      <c r="A752" s="151"/>
      <c r="B752" s="151"/>
      <c r="C752" s="151"/>
      <c r="D752" s="151"/>
      <c r="E752" s="152"/>
    </row>
    <row r="753">
      <c r="A753" s="151"/>
      <c r="B753" s="151"/>
      <c r="C753" s="151"/>
      <c r="D753" s="151"/>
      <c r="E753" s="152"/>
    </row>
    <row r="754">
      <c r="A754" s="151"/>
      <c r="B754" s="151"/>
      <c r="C754" s="151"/>
      <c r="D754" s="151"/>
      <c r="E754" s="152"/>
    </row>
    <row r="755">
      <c r="A755" s="151"/>
      <c r="B755" s="151"/>
      <c r="C755" s="151"/>
      <c r="D755" s="151"/>
      <c r="E755" s="152"/>
    </row>
    <row r="756">
      <c r="A756" s="151"/>
      <c r="B756" s="151"/>
      <c r="C756" s="151"/>
      <c r="D756" s="151"/>
      <c r="E756" s="152"/>
    </row>
    <row r="757">
      <c r="A757" s="151"/>
      <c r="B757" s="151"/>
      <c r="C757" s="151"/>
      <c r="D757" s="151"/>
      <c r="E757" s="152"/>
    </row>
    <row r="758">
      <c r="A758" s="151"/>
      <c r="B758" s="151"/>
      <c r="C758" s="151"/>
      <c r="D758" s="151"/>
      <c r="E758" s="152"/>
    </row>
    <row r="759">
      <c r="A759" s="151"/>
      <c r="B759" s="151"/>
      <c r="C759" s="151"/>
      <c r="D759" s="151"/>
      <c r="E759" s="152"/>
    </row>
    <row r="760">
      <c r="A760" s="151"/>
      <c r="B760" s="151"/>
      <c r="C760" s="151"/>
      <c r="D760" s="151"/>
      <c r="E760" s="152"/>
    </row>
    <row r="761">
      <c r="A761" s="151"/>
      <c r="B761" s="151"/>
      <c r="C761" s="151"/>
      <c r="D761" s="151"/>
      <c r="E761" s="152"/>
    </row>
    <row r="762">
      <c r="A762" s="151"/>
      <c r="B762" s="151"/>
      <c r="C762" s="151"/>
      <c r="D762" s="151"/>
      <c r="E762" s="152"/>
    </row>
    <row r="763">
      <c r="A763" s="151"/>
      <c r="B763" s="151"/>
      <c r="C763" s="151"/>
      <c r="D763" s="151"/>
      <c r="E763" s="152"/>
    </row>
    <row r="764">
      <c r="A764" s="151"/>
      <c r="B764" s="151"/>
      <c r="C764" s="151"/>
      <c r="D764" s="151"/>
      <c r="E764" s="152"/>
    </row>
    <row r="765">
      <c r="A765" s="151"/>
      <c r="B765" s="151"/>
      <c r="C765" s="151"/>
      <c r="D765" s="151"/>
      <c r="E765" s="152"/>
    </row>
    <row r="766">
      <c r="A766" s="151"/>
      <c r="B766" s="151"/>
      <c r="C766" s="151"/>
      <c r="D766" s="151"/>
      <c r="E766" s="152"/>
    </row>
    <row r="767">
      <c r="A767" s="151"/>
      <c r="B767" s="151"/>
      <c r="C767" s="151"/>
      <c r="D767" s="151"/>
      <c r="E767" s="152"/>
    </row>
    <row r="768">
      <c r="A768" s="151"/>
      <c r="B768" s="151"/>
      <c r="C768" s="151"/>
      <c r="D768" s="151"/>
      <c r="E768" s="152"/>
    </row>
    <row r="769">
      <c r="A769" s="151"/>
      <c r="B769" s="151"/>
      <c r="C769" s="151"/>
      <c r="D769" s="151"/>
      <c r="E769" s="152"/>
    </row>
    <row r="770">
      <c r="A770" s="151"/>
      <c r="B770" s="151"/>
      <c r="C770" s="151"/>
      <c r="D770" s="151"/>
      <c r="E770" s="152"/>
    </row>
    <row r="771">
      <c r="A771" s="151"/>
      <c r="B771" s="151"/>
      <c r="C771" s="151"/>
      <c r="D771" s="151"/>
      <c r="E771" s="152"/>
    </row>
    <row r="772">
      <c r="A772" s="151"/>
      <c r="B772" s="151"/>
      <c r="C772" s="151"/>
      <c r="D772" s="151"/>
      <c r="E772" s="152"/>
    </row>
    <row r="773">
      <c r="A773" s="151"/>
      <c r="B773" s="151"/>
      <c r="C773" s="151"/>
      <c r="D773" s="151"/>
      <c r="E773" s="152"/>
    </row>
    <row r="774">
      <c r="A774" s="151"/>
      <c r="B774" s="151"/>
      <c r="C774" s="151"/>
      <c r="D774" s="151"/>
      <c r="E774" s="152"/>
    </row>
    <row r="775">
      <c r="A775" s="151"/>
      <c r="B775" s="151"/>
      <c r="C775" s="151"/>
      <c r="D775" s="151"/>
      <c r="E775" s="152"/>
    </row>
    <row r="776">
      <c r="A776" s="151"/>
      <c r="B776" s="151"/>
      <c r="C776" s="151"/>
      <c r="D776" s="151"/>
      <c r="E776" s="152"/>
    </row>
    <row r="777">
      <c r="A777" s="151"/>
      <c r="B777" s="151"/>
      <c r="C777" s="151"/>
      <c r="D777" s="151"/>
      <c r="E777" s="152"/>
    </row>
    <row r="778">
      <c r="A778" s="151"/>
      <c r="B778" s="151"/>
      <c r="C778" s="151"/>
      <c r="D778" s="151"/>
      <c r="E778" s="152"/>
    </row>
    <row r="779">
      <c r="A779" s="151"/>
      <c r="B779" s="151"/>
      <c r="C779" s="151"/>
      <c r="D779" s="151"/>
      <c r="E779" s="152"/>
    </row>
    <row r="780">
      <c r="A780" s="151"/>
      <c r="B780" s="151"/>
      <c r="C780" s="151"/>
      <c r="D780" s="151"/>
      <c r="E780" s="152"/>
    </row>
    <row r="781">
      <c r="A781" s="151"/>
      <c r="B781" s="151"/>
      <c r="C781" s="151"/>
      <c r="D781" s="151"/>
      <c r="E781" s="152"/>
    </row>
    <row r="782">
      <c r="A782" s="151"/>
      <c r="B782" s="151"/>
      <c r="C782" s="151"/>
      <c r="D782" s="151"/>
      <c r="E782" s="152"/>
    </row>
    <row r="783">
      <c r="A783" s="151"/>
      <c r="B783" s="151"/>
      <c r="C783" s="151"/>
      <c r="D783" s="151"/>
      <c r="E783" s="152"/>
    </row>
    <row r="784">
      <c r="A784" s="151"/>
      <c r="B784" s="151"/>
      <c r="C784" s="151"/>
      <c r="D784" s="151"/>
      <c r="E784" s="152"/>
    </row>
    <row r="785">
      <c r="A785" s="151"/>
      <c r="B785" s="151"/>
      <c r="C785" s="151"/>
      <c r="D785" s="151"/>
      <c r="E785" s="152"/>
    </row>
    <row r="786">
      <c r="A786" s="151"/>
      <c r="B786" s="151"/>
      <c r="C786" s="151"/>
      <c r="D786" s="151"/>
      <c r="E786" s="152"/>
    </row>
    <row r="787">
      <c r="A787" s="151"/>
      <c r="B787" s="151"/>
      <c r="C787" s="151"/>
      <c r="D787" s="151"/>
      <c r="E787" s="152"/>
    </row>
    <row r="788">
      <c r="A788" s="151"/>
      <c r="B788" s="151"/>
      <c r="C788" s="151"/>
      <c r="D788" s="151"/>
      <c r="E788" s="152"/>
    </row>
    <row r="789">
      <c r="A789" s="151"/>
      <c r="B789" s="151"/>
      <c r="C789" s="151"/>
      <c r="D789" s="151"/>
      <c r="E789" s="152"/>
    </row>
    <row r="790">
      <c r="A790" s="151"/>
      <c r="B790" s="151"/>
      <c r="C790" s="151"/>
      <c r="D790" s="151"/>
      <c r="E790" s="152"/>
    </row>
    <row r="791">
      <c r="A791" s="151"/>
      <c r="B791" s="151"/>
      <c r="C791" s="151"/>
      <c r="D791" s="151"/>
      <c r="E791" s="152"/>
    </row>
    <row r="792">
      <c r="A792" s="151"/>
      <c r="B792" s="151"/>
      <c r="C792" s="151"/>
      <c r="D792" s="151"/>
      <c r="E792" s="152"/>
    </row>
    <row r="793">
      <c r="A793" s="151"/>
      <c r="B793" s="151"/>
      <c r="C793" s="151"/>
      <c r="D793" s="151"/>
      <c r="E793" s="152"/>
    </row>
    <row r="794">
      <c r="A794" s="151"/>
      <c r="B794" s="151"/>
      <c r="C794" s="151"/>
      <c r="D794" s="151"/>
      <c r="E794" s="152"/>
    </row>
    <row r="795">
      <c r="A795" s="151"/>
      <c r="B795" s="151"/>
      <c r="C795" s="151"/>
      <c r="D795" s="151"/>
      <c r="E795" s="152"/>
    </row>
    <row r="796">
      <c r="A796" s="151"/>
      <c r="B796" s="151"/>
      <c r="C796" s="151"/>
      <c r="D796" s="151"/>
      <c r="E796" s="152"/>
    </row>
    <row r="797">
      <c r="A797" s="151"/>
      <c r="B797" s="151"/>
      <c r="C797" s="151"/>
      <c r="D797" s="151"/>
      <c r="E797" s="152"/>
    </row>
    <row r="798">
      <c r="A798" s="151"/>
      <c r="B798" s="151"/>
      <c r="C798" s="151"/>
      <c r="D798" s="151"/>
      <c r="E798" s="152"/>
    </row>
    <row r="799">
      <c r="A799" s="151"/>
      <c r="B799" s="151"/>
      <c r="C799" s="151"/>
      <c r="D799" s="151"/>
      <c r="E799" s="152"/>
    </row>
    <row r="800">
      <c r="A800" s="151"/>
      <c r="B800" s="151"/>
      <c r="C800" s="151"/>
      <c r="D800" s="151"/>
      <c r="E800" s="152"/>
    </row>
    <row r="801">
      <c r="A801" s="151"/>
      <c r="B801" s="151"/>
      <c r="C801" s="151"/>
      <c r="D801" s="151"/>
      <c r="E801" s="152"/>
    </row>
    <row r="802">
      <c r="A802" s="151"/>
      <c r="B802" s="151"/>
      <c r="C802" s="151"/>
      <c r="D802" s="151"/>
      <c r="E802" s="152"/>
    </row>
    <row r="803">
      <c r="A803" s="151"/>
      <c r="B803" s="151"/>
      <c r="C803" s="151"/>
      <c r="D803" s="151"/>
      <c r="E803" s="152"/>
    </row>
    <row r="804">
      <c r="A804" s="151"/>
      <c r="B804" s="151"/>
      <c r="C804" s="151"/>
      <c r="D804" s="151"/>
      <c r="E804" s="152"/>
    </row>
    <row r="805">
      <c r="A805" s="151"/>
      <c r="B805" s="151"/>
      <c r="C805" s="151"/>
      <c r="D805" s="151"/>
      <c r="E805" s="152"/>
    </row>
    <row r="806">
      <c r="A806" s="151"/>
      <c r="B806" s="151"/>
      <c r="C806" s="151"/>
      <c r="D806" s="151"/>
      <c r="E806" s="152"/>
    </row>
    <row r="807">
      <c r="A807" s="151"/>
      <c r="B807" s="151"/>
      <c r="C807" s="151"/>
      <c r="D807" s="151"/>
      <c r="E807" s="152"/>
    </row>
    <row r="808">
      <c r="A808" s="151"/>
      <c r="B808" s="151"/>
      <c r="C808" s="151"/>
      <c r="D808" s="151"/>
      <c r="E808" s="152"/>
    </row>
    <row r="809">
      <c r="A809" s="151"/>
      <c r="B809" s="151"/>
      <c r="C809" s="151"/>
      <c r="D809" s="151"/>
      <c r="E809" s="152"/>
    </row>
    <row r="810">
      <c r="A810" s="151"/>
      <c r="B810" s="151"/>
      <c r="C810" s="151"/>
      <c r="D810" s="151"/>
      <c r="E810" s="152"/>
    </row>
    <row r="811">
      <c r="A811" s="151"/>
      <c r="B811" s="151"/>
      <c r="C811" s="151"/>
      <c r="D811" s="151"/>
      <c r="E811" s="152"/>
    </row>
    <row r="812">
      <c r="A812" s="151"/>
      <c r="B812" s="151"/>
      <c r="C812" s="151"/>
      <c r="D812" s="151"/>
      <c r="E812" s="152"/>
    </row>
    <row r="813">
      <c r="A813" s="151"/>
      <c r="B813" s="151"/>
      <c r="C813" s="151"/>
      <c r="D813" s="151"/>
      <c r="E813" s="152"/>
    </row>
    <row r="814">
      <c r="A814" s="151"/>
      <c r="B814" s="151"/>
      <c r="C814" s="151"/>
      <c r="D814" s="151"/>
      <c r="E814" s="152"/>
    </row>
    <row r="815">
      <c r="A815" s="151"/>
      <c r="B815" s="151"/>
      <c r="C815" s="151"/>
      <c r="D815" s="151"/>
      <c r="E815" s="152"/>
    </row>
    <row r="816">
      <c r="A816" s="151"/>
      <c r="B816" s="151"/>
      <c r="C816" s="151"/>
      <c r="D816" s="151"/>
      <c r="E816" s="152"/>
    </row>
    <row r="817">
      <c r="A817" s="151"/>
      <c r="B817" s="151"/>
      <c r="C817" s="151"/>
      <c r="D817" s="151"/>
      <c r="E817" s="152"/>
    </row>
    <row r="818">
      <c r="A818" s="151"/>
      <c r="B818" s="151"/>
      <c r="C818" s="151"/>
      <c r="D818" s="151"/>
      <c r="E818" s="152"/>
    </row>
    <row r="819">
      <c r="A819" s="151"/>
      <c r="B819" s="151"/>
      <c r="C819" s="151"/>
      <c r="D819" s="151"/>
      <c r="E819" s="152"/>
    </row>
    <row r="820">
      <c r="A820" s="151"/>
      <c r="B820" s="151"/>
      <c r="C820" s="151"/>
      <c r="D820" s="151"/>
      <c r="E820" s="152"/>
    </row>
    <row r="821">
      <c r="A821" s="151"/>
      <c r="B821" s="151"/>
      <c r="C821" s="151"/>
      <c r="D821" s="151"/>
      <c r="E821" s="152"/>
    </row>
    <row r="822">
      <c r="A822" s="151"/>
      <c r="B822" s="151"/>
      <c r="C822" s="151"/>
      <c r="D822" s="151"/>
      <c r="E822" s="152"/>
    </row>
    <row r="823">
      <c r="A823" s="151"/>
      <c r="B823" s="151"/>
      <c r="C823" s="151"/>
      <c r="D823" s="151"/>
      <c r="E823" s="152"/>
    </row>
    <row r="824">
      <c r="A824" s="151"/>
      <c r="B824" s="151"/>
      <c r="C824" s="151"/>
      <c r="D824" s="151"/>
      <c r="E824" s="152"/>
    </row>
    <row r="825">
      <c r="A825" s="151"/>
      <c r="B825" s="151"/>
      <c r="C825" s="151"/>
      <c r="D825" s="151"/>
      <c r="E825" s="152"/>
    </row>
    <row r="826">
      <c r="A826" s="151"/>
      <c r="B826" s="151"/>
      <c r="C826" s="151"/>
      <c r="D826" s="151"/>
      <c r="E826" s="152"/>
    </row>
    <row r="827">
      <c r="A827" s="151"/>
      <c r="B827" s="151"/>
      <c r="C827" s="151"/>
      <c r="D827" s="151"/>
      <c r="E827" s="152"/>
    </row>
    <row r="828">
      <c r="A828" s="151"/>
      <c r="B828" s="151"/>
      <c r="C828" s="151"/>
      <c r="D828" s="151"/>
      <c r="E828" s="152"/>
    </row>
    <row r="829">
      <c r="A829" s="151"/>
      <c r="B829" s="151"/>
      <c r="C829" s="151"/>
      <c r="D829" s="151"/>
      <c r="E829" s="152"/>
    </row>
    <row r="830">
      <c r="A830" s="151"/>
      <c r="B830" s="151"/>
      <c r="C830" s="151"/>
      <c r="D830" s="151"/>
      <c r="E830" s="152"/>
    </row>
    <row r="831">
      <c r="A831" s="151"/>
      <c r="B831" s="151"/>
      <c r="C831" s="151"/>
      <c r="D831" s="151"/>
      <c r="E831" s="152"/>
    </row>
    <row r="832">
      <c r="A832" s="151"/>
      <c r="B832" s="151"/>
      <c r="C832" s="151"/>
      <c r="D832" s="151"/>
      <c r="E832" s="152"/>
    </row>
    <row r="833">
      <c r="A833" s="151"/>
      <c r="B833" s="151"/>
      <c r="C833" s="151"/>
      <c r="D833" s="151"/>
      <c r="E833" s="152"/>
    </row>
    <row r="834">
      <c r="A834" s="151"/>
      <c r="B834" s="151"/>
      <c r="C834" s="151"/>
      <c r="D834" s="151"/>
      <c r="E834" s="152"/>
    </row>
    <row r="835">
      <c r="A835" s="151"/>
      <c r="B835" s="151"/>
      <c r="C835" s="151"/>
      <c r="D835" s="151"/>
      <c r="E835" s="152"/>
    </row>
    <row r="836">
      <c r="A836" s="151"/>
      <c r="B836" s="151"/>
      <c r="C836" s="151"/>
      <c r="D836" s="151"/>
      <c r="E836" s="152"/>
    </row>
    <row r="837">
      <c r="A837" s="151"/>
      <c r="B837" s="151"/>
      <c r="C837" s="151"/>
      <c r="D837" s="151"/>
      <c r="E837" s="152"/>
    </row>
    <row r="838">
      <c r="A838" s="151"/>
      <c r="B838" s="151"/>
      <c r="C838" s="151"/>
      <c r="D838" s="151"/>
      <c r="E838" s="152"/>
    </row>
    <row r="839">
      <c r="A839" s="151"/>
      <c r="B839" s="151"/>
      <c r="C839" s="151"/>
      <c r="D839" s="151"/>
      <c r="E839" s="152"/>
    </row>
    <row r="840">
      <c r="A840" s="151"/>
      <c r="B840" s="151"/>
      <c r="C840" s="151"/>
      <c r="D840" s="151"/>
      <c r="E840" s="152"/>
    </row>
    <row r="841">
      <c r="A841" s="151"/>
      <c r="B841" s="151"/>
      <c r="C841" s="151"/>
      <c r="D841" s="151"/>
      <c r="E841" s="152"/>
    </row>
    <row r="842">
      <c r="A842" s="151"/>
      <c r="B842" s="151"/>
      <c r="C842" s="151"/>
      <c r="D842" s="151"/>
      <c r="E842" s="152"/>
    </row>
    <row r="843">
      <c r="A843" s="151"/>
      <c r="B843" s="151"/>
      <c r="C843" s="151"/>
      <c r="D843" s="151"/>
      <c r="E843" s="152"/>
    </row>
    <row r="844">
      <c r="A844" s="151"/>
      <c r="B844" s="151"/>
      <c r="C844" s="151"/>
      <c r="D844" s="151"/>
      <c r="E844" s="152"/>
    </row>
    <row r="845">
      <c r="A845" s="151"/>
      <c r="B845" s="151"/>
      <c r="C845" s="151"/>
      <c r="D845" s="151"/>
      <c r="E845" s="152"/>
    </row>
    <row r="846">
      <c r="A846" s="151"/>
      <c r="B846" s="151"/>
      <c r="C846" s="151"/>
      <c r="D846" s="151"/>
      <c r="E846" s="152"/>
    </row>
    <row r="847">
      <c r="A847" s="151"/>
      <c r="B847" s="151"/>
      <c r="C847" s="151"/>
      <c r="D847" s="151"/>
      <c r="E847" s="152"/>
    </row>
    <row r="848">
      <c r="A848" s="151"/>
      <c r="B848" s="151"/>
      <c r="C848" s="151"/>
      <c r="D848" s="151"/>
      <c r="E848" s="152"/>
    </row>
    <row r="849">
      <c r="A849" s="151"/>
      <c r="B849" s="151"/>
      <c r="C849" s="151"/>
      <c r="D849" s="151"/>
      <c r="E849" s="152"/>
    </row>
    <row r="850">
      <c r="A850" s="151"/>
      <c r="B850" s="151"/>
      <c r="C850" s="151"/>
      <c r="D850" s="151"/>
      <c r="E850" s="152"/>
    </row>
    <row r="851">
      <c r="A851" s="151"/>
      <c r="B851" s="151"/>
      <c r="C851" s="151"/>
      <c r="D851" s="151"/>
      <c r="E851" s="152"/>
    </row>
    <row r="852">
      <c r="A852" s="151"/>
      <c r="B852" s="151"/>
      <c r="C852" s="151"/>
      <c r="D852" s="151"/>
      <c r="E852" s="152"/>
    </row>
    <row r="853">
      <c r="A853" s="151"/>
      <c r="B853" s="151"/>
      <c r="C853" s="151"/>
      <c r="D853" s="151"/>
      <c r="E853" s="152"/>
    </row>
    <row r="854">
      <c r="A854" s="151"/>
      <c r="B854" s="151"/>
      <c r="C854" s="151"/>
      <c r="D854" s="151"/>
      <c r="E854" s="152"/>
    </row>
    <row r="855">
      <c r="A855" s="151"/>
      <c r="B855" s="151"/>
      <c r="C855" s="151"/>
      <c r="D855" s="151"/>
      <c r="E855" s="152"/>
    </row>
    <row r="856">
      <c r="A856" s="151"/>
      <c r="B856" s="151"/>
      <c r="C856" s="151"/>
      <c r="D856" s="151"/>
      <c r="E856" s="152"/>
    </row>
    <row r="857">
      <c r="A857" s="151"/>
      <c r="B857" s="151"/>
      <c r="C857" s="151"/>
      <c r="D857" s="151"/>
      <c r="E857" s="152"/>
    </row>
    <row r="858">
      <c r="A858" s="151"/>
      <c r="B858" s="151"/>
      <c r="C858" s="151"/>
      <c r="D858" s="151"/>
      <c r="E858" s="152"/>
    </row>
    <row r="859">
      <c r="A859" s="151"/>
      <c r="B859" s="151"/>
      <c r="C859" s="151"/>
      <c r="D859" s="151"/>
      <c r="E859" s="152"/>
    </row>
    <row r="860">
      <c r="A860" s="151"/>
      <c r="B860" s="151"/>
      <c r="C860" s="151"/>
      <c r="D860" s="151"/>
      <c r="E860" s="152"/>
    </row>
    <row r="861">
      <c r="A861" s="151"/>
      <c r="B861" s="151"/>
      <c r="C861" s="151"/>
      <c r="D861" s="151"/>
      <c r="E861" s="152"/>
    </row>
    <row r="862">
      <c r="A862" s="151"/>
      <c r="B862" s="151"/>
      <c r="C862" s="151"/>
      <c r="D862" s="151"/>
      <c r="E862" s="152"/>
    </row>
    <row r="863">
      <c r="A863" s="151"/>
      <c r="B863" s="151"/>
      <c r="C863" s="151"/>
      <c r="D863" s="151"/>
      <c r="E863" s="152"/>
    </row>
    <row r="864">
      <c r="A864" s="151"/>
      <c r="B864" s="151"/>
      <c r="C864" s="151"/>
      <c r="D864" s="151"/>
      <c r="E864" s="152"/>
    </row>
    <row r="865">
      <c r="A865" s="151"/>
      <c r="B865" s="151"/>
      <c r="C865" s="151"/>
      <c r="D865" s="151"/>
      <c r="E865" s="152"/>
    </row>
    <row r="866">
      <c r="A866" s="151"/>
      <c r="B866" s="151"/>
      <c r="C866" s="151"/>
      <c r="D866" s="151"/>
      <c r="E866" s="152"/>
    </row>
    <row r="867">
      <c r="A867" s="151"/>
      <c r="B867" s="151"/>
      <c r="C867" s="151"/>
      <c r="D867" s="151"/>
      <c r="E867" s="152"/>
    </row>
    <row r="868">
      <c r="A868" s="151"/>
      <c r="B868" s="151"/>
      <c r="C868" s="151"/>
      <c r="D868" s="151"/>
      <c r="E868" s="152"/>
    </row>
    <row r="869">
      <c r="A869" s="151"/>
      <c r="B869" s="151"/>
      <c r="C869" s="151"/>
      <c r="D869" s="151"/>
      <c r="E869" s="152"/>
    </row>
    <row r="870">
      <c r="A870" s="151"/>
      <c r="B870" s="151"/>
      <c r="C870" s="151"/>
      <c r="D870" s="151"/>
      <c r="E870" s="152"/>
    </row>
    <row r="871">
      <c r="A871" s="151"/>
      <c r="B871" s="151"/>
      <c r="C871" s="151"/>
      <c r="D871" s="151"/>
      <c r="E871" s="152"/>
    </row>
    <row r="872">
      <c r="A872" s="151"/>
      <c r="B872" s="151"/>
      <c r="C872" s="151"/>
      <c r="D872" s="151"/>
      <c r="E872" s="152"/>
    </row>
    <row r="873">
      <c r="A873" s="151"/>
      <c r="B873" s="151"/>
      <c r="C873" s="151"/>
      <c r="D873" s="151"/>
      <c r="E873" s="152"/>
    </row>
    <row r="874">
      <c r="A874" s="151"/>
      <c r="B874" s="151"/>
      <c r="C874" s="151"/>
      <c r="D874" s="151"/>
      <c r="E874" s="152"/>
    </row>
    <row r="875">
      <c r="A875" s="151"/>
      <c r="B875" s="151"/>
      <c r="C875" s="151"/>
      <c r="D875" s="151"/>
      <c r="E875" s="152"/>
    </row>
    <row r="876">
      <c r="A876" s="151"/>
      <c r="B876" s="151"/>
      <c r="C876" s="151"/>
      <c r="D876" s="151"/>
      <c r="E876" s="152"/>
    </row>
    <row r="877">
      <c r="A877" s="151"/>
      <c r="B877" s="151"/>
      <c r="C877" s="151"/>
      <c r="D877" s="151"/>
      <c r="E877" s="152"/>
    </row>
    <row r="878">
      <c r="A878" s="151"/>
      <c r="B878" s="151"/>
      <c r="C878" s="151"/>
      <c r="D878" s="151"/>
      <c r="E878" s="152"/>
    </row>
    <row r="879">
      <c r="A879" s="151"/>
      <c r="B879" s="151"/>
      <c r="C879" s="151"/>
      <c r="D879" s="151"/>
      <c r="E879" s="152"/>
    </row>
    <row r="880">
      <c r="A880" s="151"/>
      <c r="B880" s="151"/>
      <c r="C880" s="151"/>
      <c r="D880" s="151"/>
      <c r="E880" s="152"/>
    </row>
    <row r="881">
      <c r="A881" s="151"/>
      <c r="B881" s="151"/>
      <c r="C881" s="151"/>
      <c r="D881" s="151"/>
      <c r="E881" s="152"/>
    </row>
    <row r="882">
      <c r="A882" s="151"/>
      <c r="B882" s="151"/>
      <c r="C882" s="151"/>
      <c r="D882" s="151"/>
      <c r="E882" s="152"/>
    </row>
    <row r="883">
      <c r="A883" s="151"/>
      <c r="B883" s="151"/>
      <c r="C883" s="151"/>
      <c r="D883" s="151"/>
      <c r="E883" s="152"/>
    </row>
    <row r="884">
      <c r="A884" s="151"/>
      <c r="B884" s="151"/>
      <c r="C884" s="151"/>
      <c r="D884" s="151"/>
      <c r="E884" s="152"/>
    </row>
    <row r="885">
      <c r="A885" s="151"/>
      <c r="B885" s="151"/>
      <c r="C885" s="151"/>
      <c r="D885" s="151"/>
      <c r="E885" s="152"/>
    </row>
    <row r="886">
      <c r="A886" s="151"/>
      <c r="B886" s="151"/>
      <c r="C886" s="151"/>
      <c r="D886" s="151"/>
      <c r="E886" s="152"/>
    </row>
    <row r="887">
      <c r="A887" s="151"/>
      <c r="B887" s="151"/>
      <c r="C887" s="151"/>
      <c r="D887" s="151"/>
      <c r="E887" s="152"/>
    </row>
    <row r="888">
      <c r="A888" s="151"/>
      <c r="B888" s="151"/>
      <c r="C888" s="151"/>
      <c r="D888" s="151"/>
      <c r="E888" s="152"/>
    </row>
    <row r="889">
      <c r="A889" s="151"/>
      <c r="B889" s="151"/>
      <c r="C889" s="151"/>
      <c r="D889" s="151"/>
      <c r="E889" s="152"/>
    </row>
    <row r="890">
      <c r="A890" s="151"/>
      <c r="B890" s="151"/>
      <c r="C890" s="151"/>
      <c r="D890" s="151"/>
      <c r="E890" s="152"/>
    </row>
    <row r="891">
      <c r="A891" s="151"/>
      <c r="B891" s="151"/>
      <c r="C891" s="151"/>
      <c r="D891" s="151"/>
      <c r="E891" s="152"/>
    </row>
    <row r="892">
      <c r="A892" s="151"/>
      <c r="B892" s="151"/>
      <c r="C892" s="151"/>
      <c r="D892" s="151"/>
      <c r="E892" s="152"/>
    </row>
    <row r="893">
      <c r="A893" s="151"/>
      <c r="B893" s="151"/>
      <c r="C893" s="151"/>
      <c r="D893" s="151"/>
      <c r="E893" s="152"/>
    </row>
    <row r="894">
      <c r="A894" s="151"/>
      <c r="B894" s="151"/>
      <c r="C894" s="151"/>
      <c r="D894" s="151"/>
      <c r="E894" s="152"/>
    </row>
    <row r="895">
      <c r="A895" s="151"/>
      <c r="B895" s="151"/>
      <c r="C895" s="151"/>
      <c r="D895" s="151"/>
      <c r="E895" s="152"/>
    </row>
    <row r="896">
      <c r="A896" s="151"/>
      <c r="B896" s="151"/>
      <c r="C896" s="151"/>
      <c r="D896" s="151"/>
      <c r="E896" s="152"/>
    </row>
    <row r="897">
      <c r="A897" s="151"/>
      <c r="B897" s="151"/>
      <c r="C897" s="151"/>
      <c r="D897" s="151"/>
      <c r="E897" s="152"/>
    </row>
    <row r="898">
      <c r="A898" s="151"/>
      <c r="B898" s="151"/>
      <c r="C898" s="151"/>
      <c r="D898" s="151"/>
      <c r="E898" s="152"/>
    </row>
    <row r="899">
      <c r="A899" s="151"/>
      <c r="B899" s="151"/>
      <c r="C899" s="151"/>
      <c r="D899" s="151"/>
      <c r="E899" s="152"/>
    </row>
    <row r="900">
      <c r="A900" s="151"/>
      <c r="B900" s="151"/>
      <c r="C900" s="151"/>
      <c r="D900" s="151"/>
      <c r="E900" s="152"/>
    </row>
    <row r="901">
      <c r="A901" s="151"/>
      <c r="B901" s="151"/>
      <c r="C901" s="151"/>
      <c r="D901" s="151"/>
      <c r="E901" s="152"/>
    </row>
    <row r="902">
      <c r="A902" s="151"/>
      <c r="B902" s="151"/>
      <c r="C902" s="151"/>
      <c r="D902" s="151"/>
      <c r="E902" s="152"/>
    </row>
    <row r="903">
      <c r="A903" s="151"/>
      <c r="B903" s="151"/>
      <c r="C903" s="151"/>
      <c r="D903" s="151"/>
      <c r="E903" s="152"/>
    </row>
    <row r="904">
      <c r="A904" s="151"/>
      <c r="B904" s="151"/>
      <c r="C904" s="151"/>
      <c r="D904" s="151"/>
      <c r="E904" s="152"/>
    </row>
    <row r="905">
      <c r="A905" s="151"/>
      <c r="B905" s="151"/>
      <c r="C905" s="151"/>
      <c r="D905" s="151"/>
      <c r="E905" s="152"/>
    </row>
    <row r="906">
      <c r="A906" s="151"/>
      <c r="B906" s="151"/>
      <c r="C906" s="151"/>
      <c r="D906" s="151"/>
      <c r="E906" s="152"/>
    </row>
    <row r="907">
      <c r="A907" s="151"/>
      <c r="B907" s="151"/>
      <c r="C907" s="151"/>
      <c r="D907" s="151"/>
      <c r="E907" s="152"/>
    </row>
    <row r="908">
      <c r="A908" s="151"/>
      <c r="B908" s="151"/>
      <c r="C908" s="151"/>
      <c r="D908" s="151"/>
      <c r="E908" s="152"/>
    </row>
    <row r="909">
      <c r="A909" s="151"/>
      <c r="B909" s="151"/>
      <c r="C909" s="151"/>
      <c r="D909" s="151"/>
      <c r="E909" s="152"/>
    </row>
    <row r="910">
      <c r="A910" s="151"/>
      <c r="B910" s="151"/>
      <c r="C910" s="151"/>
      <c r="D910" s="151"/>
      <c r="E910" s="152"/>
    </row>
    <row r="911">
      <c r="A911" s="151"/>
      <c r="B911" s="151"/>
      <c r="C911" s="151"/>
      <c r="D911" s="151"/>
      <c r="E911" s="152"/>
    </row>
    <row r="912">
      <c r="A912" s="151"/>
      <c r="B912" s="151"/>
      <c r="C912" s="151"/>
      <c r="D912" s="151"/>
      <c r="E912" s="152"/>
    </row>
    <row r="913">
      <c r="A913" s="151"/>
      <c r="B913" s="151"/>
      <c r="C913" s="151"/>
      <c r="D913" s="151"/>
      <c r="E913" s="152"/>
    </row>
    <row r="914">
      <c r="A914" s="151"/>
      <c r="B914" s="151"/>
      <c r="C914" s="151"/>
      <c r="D914" s="151"/>
      <c r="E914" s="152"/>
    </row>
    <row r="915">
      <c r="A915" s="151"/>
      <c r="B915" s="151"/>
      <c r="C915" s="151"/>
      <c r="D915" s="151"/>
      <c r="E915" s="152"/>
    </row>
    <row r="916">
      <c r="A916" s="151"/>
      <c r="B916" s="151"/>
      <c r="C916" s="151"/>
      <c r="D916" s="151"/>
      <c r="E916" s="152"/>
    </row>
    <row r="917">
      <c r="A917" s="151"/>
      <c r="B917" s="151"/>
      <c r="C917" s="151"/>
      <c r="D917" s="151"/>
      <c r="E917" s="152"/>
    </row>
    <row r="918">
      <c r="A918" s="151"/>
      <c r="B918" s="151"/>
      <c r="C918" s="151"/>
      <c r="D918" s="151"/>
      <c r="E918" s="152"/>
    </row>
    <row r="919">
      <c r="A919" s="151"/>
      <c r="B919" s="151"/>
      <c r="C919" s="151"/>
      <c r="D919" s="151"/>
      <c r="E919" s="152"/>
    </row>
    <row r="920">
      <c r="A920" s="151"/>
      <c r="B920" s="151"/>
      <c r="C920" s="151"/>
      <c r="D920" s="151"/>
      <c r="E920" s="152"/>
    </row>
    <row r="921">
      <c r="A921" s="151"/>
      <c r="B921" s="151"/>
      <c r="C921" s="151"/>
      <c r="D921" s="151"/>
      <c r="E921" s="152"/>
    </row>
    <row r="922">
      <c r="A922" s="151"/>
      <c r="B922" s="151"/>
      <c r="C922" s="151"/>
      <c r="D922" s="151"/>
      <c r="E922" s="152"/>
    </row>
    <row r="923">
      <c r="A923" s="151"/>
      <c r="B923" s="151"/>
      <c r="C923" s="151"/>
      <c r="D923" s="151"/>
      <c r="E923" s="152"/>
    </row>
    <row r="924">
      <c r="A924" s="151"/>
      <c r="B924" s="151"/>
      <c r="C924" s="151"/>
      <c r="D924" s="151"/>
      <c r="E924" s="152"/>
    </row>
    <row r="925">
      <c r="A925" s="151"/>
      <c r="B925" s="151"/>
      <c r="C925" s="151"/>
      <c r="D925" s="151"/>
      <c r="E925" s="152"/>
    </row>
    <row r="926">
      <c r="A926" s="151"/>
      <c r="B926" s="151"/>
      <c r="C926" s="151"/>
      <c r="D926" s="151"/>
      <c r="E926" s="152"/>
    </row>
    <row r="927">
      <c r="A927" s="151"/>
      <c r="B927" s="151"/>
      <c r="C927" s="151"/>
      <c r="D927" s="151"/>
      <c r="E927" s="152"/>
    </row>
    <row r="928">
      <c r="A928" s="151"/>
      <c r="B928" s="151"/>
      <c r="C928" s="151"/>
      <c r="D928" s="151"/>
      <c r="E928" s="152"/>
    </row>
    <row r="929">
      <c r="A929" s="151"/>
      <c r="B929" s="151"/>
      <c r="C929" s="151"/>
      <c r="D929" s="151"/>
      <c r="E929" s="152"/>
    </row>
    <row r="930">
      <c r="A930" s="151"/>
      <c r="B930" s="151"/>
      <c r="C930" s="151"/>
      <c r="D930" s="151"/>
      <c r="E930" s="152"/>
    </row>
    <row r="931">
      <c r="A931" s="151"/>
      <c r="B931" s="151"/>
      <c r="C931" s="151"/>
      <c r="D931" s="151"/>
      <c r="E931" s="152"/>
    </row>
    <row r="932">
      <c r="A932" s="151"/>
      <c r="B932" s="151"/>
      <c r="C932" s="151"/>
      <c r="D932" s="151"/>
      <c r="E932" s="152"/>
    </row>
    <row r="933">
      <c r="A933" s="151"/>
      <c r="B933" s="151"/>
      <c r="C933" s="151"/>
      <c r="D933" s="151"/>
      <c r="E933" s="152"/>
    </row>
    <row r="934">
      <c r="A934" s="151"/>
      <c r="B934" s="151"/>
      <c r="C934" s="151"/>
      <c r="D934" s="151"/>
      <c r="E934" s="152"/>
    </row>
    <row r="935">
      <c r="A935" s="151"/>
      <c r="B935" s="151"/>
      <c r="C935" s="151"/>
      <c r="D935" s="151"/>
      <c r="E935" s="152"/>
    </row>
    <row r="936">
      <c r="A936" s="151"/>
      <c r="B936" s="151"/>
      <c r="C936" s="151"/>
      <c r="D936" s="151"/>
      <c r="E936" s="152"/>
    </row>
    <row r="937">
      <c r="A937" s="151"/>
      <c r="B937" s="151"/>
      <c r="C937" s="151"/>
      <c r="D937" s="151"/>
      <c r="E937" s="152"/>
    </row>
    <row r="938">
      <c r="A938" s="151"/>
      <c r="B938" s="151"/>
      <c r="C938" s="151"/>
      <c r="D938" s="151"/>
      <c r="E938" s="152"/>
    </row>
    <row r="939">
      <c r="A939" s="151"/>
      <c r="B939" s="151"/>
      <c r="C939" s="151"/>
      <c r="D939" s="151"/>
      <c r="E939" s="152"/>
    </row>
    <row r="940">
      <c r="A940" s="151"/>
      <c r="B940" s="151"/>
      <c r="C940" s="151"/>
      <c r="D940" s="151"/>
      <c r="E940" s="152"/>
    </row>
    <row r="941">
      <c r="A941" s="151"/>
      <c r="B941" s="151"/>
      <c r="C941" s="151"/>
      <c r="D941" s="151"/>
      <c r="E941" s="152"/>
    </row>
    <row r="942">
      <c r="A942" s="151"/>
      <c r="B942" s="151"/>
      <c r="C942" s="151"/>
      <c r="D942" s="151"/>
      <c r="E942" s="152"/>
    </row>
    <row r="943">
      <c r="A943" s="151"/>
      <c r="B943" s="151"/>
      <c r="C943" s="151"/>
      <c r="D943" s="151"/>
      <c r="E943" s="152"/>
    </row>
    <row r="944">
      <c r="A944" s="151"/>
      <c r="B944" s="151"/>
      <c r="C944" s="151"/>
      <c r="D944" s="151"/>
      <c r="E944" s="152"/>
    </row>
    <row r="945">
      <c r="A945" s="151"/>
      <c r="B945" s="151"/>
      <c r="C945" s="151"/>
      <c r="D945" s="151"/>
      <c r="E945" s="152"/>
    </row>
    <row r="946">
      <c r="A946" s="151"/>
      <c r="B946" s="151"/>
      <c r="C946" s="151"/>
      <c r="D946" s="151"/>
      <c r="E946" s="152"/>
    </row>
    <row r="947">
      <c r="A947" s="151"/>
      <c r="B947" s="151"/>
      <c r="C947" s="151"/>
      <c r="D947" s="151"/>
      <c r="E947" s="152"/>
    </row>
    <row r="948">
      <c r="A948" s="151"/>
      <c r="B948" s="151"/>
      <c r="C948" s="151"/>
      <c r="D948" s="151"/>
      <c r="E948" s="152"/>
    </row>
    <row r="949">
      <c r="A949" s="151"/>
      <c r="B949" s="151"/>
      <c r="C949" s="151"/>
      <c r="D949" s="151"/>
      <c r="E949" s="152"/>
    </row>
    <row r="950">
      <c r="A950" s="151"/>
      <c r="B950" s="151"/>
      <c r="C950" s="151"/>
      <c r="D950" s="151"/>
      <c r="E950" s="152"/>
    </row>
    <row r="951">
      <c r="A951" s="151"/>
      <c r="B951" s="151"/>
      <c r="C951" s="151"/>
      <c r="D951" s="151"/>
      <c r="E951" s="152"/>
    </row>
    <row r="952">
      <c r="A952" s="151"/>
      <c r="B952" s="151"/>
      <c r="C952" s="151"/>
      <c r="D952" s="151"/>
      <c r="E952" s="152"/>
    </row>
    <row r="953">
      <c r="A953" s="151"/>
      <c r="B953" s="151"/>
      <c r="C953" s="151"/>
      <c r="D953" s="151"/>
      <c r="E953" s="152"/>
    </row>
    <row r="954">
      <c r="A954" s="151"/>
      <c r="B954" s="151"/>
      <c r="C954" s="151"/>
      <c r="D954" s="151"/>
      <c r="E954" s="152"/>
    </row>
    <row r="955">
      <c r="A955" s="151"/>
      <c r="B955" s="151"/>
      <c r="C955" s="151"/>
      <c r="D955" s="151"/>
      <c r="E955" s="152"/>
    </row>
    <row r="956">
      <c r="A956" s="151"/>
      <c r="B956" s="151"/>
      <c r="C956" s="151"/>
      <c r="D956" s="151"/>
      <c r="E956" s="152"/>
    </row>
    <row r="957">
      <c r="A957" s="151"/>
      <c r="B957" s="151"/>
      <c r="C957" s="151"/>
      <c r="D957" s="151"/>
      <c r="E957" s="152"/>
    </row>
    <row r="958">
      <c r="A958" s="151"/>
      <c r="B958" s="151"/>
      <c r="C958" s="151"/>
      <c r="D958" s="151"/>
      <c r="E958" s="152"/>
    </row>
    <row r="959">
      <c r="A959" s="151"/>
      <c r="B959" s="151"/>
      <c r="C959" s="151"/>
      <c r="D959" s="151"/>
      <c r="E959" s="152"/>
    </row>
    <row r="960">
      <c r="A960" s="151"/>
      <c r="B960" s="151"/>
      <c r="C960" s="151"/>
      <c r="D960" s="151"/>
      <c r="E960" s="152"/>
    </row>
    <row r="961">
      <c r="A961" s="151"/>
      <c r="B961" s="151"/>
      <c r="C961" s="151"/>
      <c r="D961" s="151"/>
      <c r="E961" s="152"/>
    </row>
    <row r="962">
      <c r="A962" s="151"/>
      <c r="B962" s="151"/>
      <c r="C962" s="151"/>
      <c r="D962" s="151"/>
      <c r="E962" s="152"/>
    </row>
    <row r="963">
      <c r="A963" s="151"/>
      <c r="B963" s="151"/>
      <c r="C963" s="151"/>
      <c r="D963" s="151"/>
      <c r="E963" s="152"/>
    </row>
    <row r="964">
      <c r="A964" s="151"/>
      <c r="B964" s="151"/>
      <c r="C964" s="151"/>
      <c r="D964" s="151"/>
      <c r="E964" s="152"/>
    </row>
    <row r="965">
      <c r="A965" s="151"/>
      <c r="B965" s="151"/>
      <c r="C965" s="151"/>
      <c r="D965" s="151"/>
      <c r="E965" s="152"/>
    </row>
    <row r="966">
      <c r="A966" s="151"/>
      <c r="B966" s="151"/>
      <c r="C966" s="151"/>
      <c r="D966" s="151"/>
      <c r="E966" s="152"/>
    </row>
    <row r="967">
      <c r="A967" s="151"/>
      <c r="B967" s="151"/>
      <c r="C967" s="151"/>
      <c r="D967" s="151"/>
      <c r="E967" s="152"/>
    </row>
    <row r="968">
      <c r="A968" s="151"/>
      <c r="B968" s="151"/>
      <c r="C968" s="151"/>
      <c r="D968" s="151"/>
      <c r="E968" s="152"/>
    </row>
    <row r="969">
      <c r="A969" s="151"/>
      <c r="B969" s="151"/>
      <c r="C969" s="151"/>
      <c r="D969" s="151"/>
      <c r="E969" s="152"/>
    </row>
    <row r="970">
      <c r="A970" s="151"/>
      <c r="B970" s="151"/>
      <c r="C970" s="151"/>
      <c r="D970" s="151"/>
      <c r="E970" s="152"/>
    </row>
    <row r="971">
      <c r="A971" s="151"/>
      <c r="B971" s="151"/>
      <c r="C971" s="151"/>
      <c r="D971" s="151"/>
      <c r="E971" s="152"/>
    </row>
    <row r="972">
      <c r="A972" s="151"/>
      <c r="B972" s="151"/>
      <c r="C972" s="151"/>
      <c r="D972" s="151"/>
      <c r="E972" s="152"/>
    </row>
    <row r="973">
      <c r="A973" s="151"/>
      <c r="B973" s="151"/>
      <c r="C973" s="151"/>
      <c r="D973" s="151"/>
      <c r="E973" s="152"/>
    </row>
    <row r="974">
      <c r="A974" s="151"/>
      <c r="B974" s="151"/>
      <c r="C974" s="151"/>
      <c r="D974" s="151"/>
      <c r="E974" s="152"/>
    </row>
    <row r="975">
      <c r="A975" s="151"/>
      <c r="B975" s="151"/>
      <c r="C975" s="151"/>
      <c r="D975" s="151"/>
      <c r="E975" s="152"/>
    </row>
    <row r="976">
      <c r="A976" s="151"/>
      <c r="B976" s="151"/>
      <c r="C976" s="151"/>
      <c r="D976" s="151"/>
      <c r="E976" s="152"/>
    </row>
    <row r="977">
      <c r="A977" s="151"/>
      <c r="B977" s="151"/>
      <c r="C977" s="151"/>
      <c r="D977" s="151"/>
      <c r="E977" s="152"/>
    </row>
    <row r="978">
      <c r="A978" s="151"/>
      <c r="B978" s="151"/>
      <c r="C978" s="151"/>
      <c r="D978" s="151"/>
      <c r="E978" s="152"/>
    </row>
    <row r="979">
      <c r="A979" s="151"/>
      <c r="B979" s="151"/>
      <c r="C979" s="151"/>
      <c r="D979" s="151"/>
      <c r="E979" s="152"/>
    </row>
    <row r="980">
      <c r="A980" s="151"/>
      <c r="B980" s="151"/>
      <c r="C980" s="151"/>
      <c r="D980" s="151"/>
      <c r="E980" s="152"/>
    </row>
    <row r="981">
      <c r="A981" s="151"/>
      <c r="B981" s="151"/>
      <c r="C981" s="151"/>
      <c r="D981" s="151"/>
      <c r="E981" s="152"/>
    </row>
    <row r="982">
      <c r="A982" s="151"/>
      <c r="B982" s="151"/>
      <c r="C982" s="151"/>
      <c r="D982" s="151"/>
      <c r="E982" s="152"/>
    </row>
    <row r="983">
      <c r="A983" s="151"/>
      <c r="B983" s="151"/>
      <c r="C983" s="151"/>
      <c r="D983" s="151"/>
      <c r="E983" s="152"/>
    </row>
    <row r="984">
      <c r="A984" s="151"/>
      <c r="B984" s="151"/>
      <c r="C984" s="151"/>
      <c r="D984" s="151"/>
      <c r="E984" s="152"/>
    </row>
    <row r="985">
      <c r="A985" s="151"/>
      <c r="B985" s="151"/>
      <c r="C985" s="151"/>
      <c r="D985" s="151"/>
      <c r="E985" s="152"/>
    </row>
    <row r="986">
      <c r="A986" s="151"/>
      <c r="B986" s="151"/>
      <c r="C986" s="151"/>
      <c r="D986" s="151"/>
      <c r="E986" s="152"/>
    </row>
    <row r="987">
      <c r="A987" s="151"/>
      <c r="B987" s="151"/>
      <c r="C987" s="151"/>
      <c r="D987" s="151"/>
      <c r="E987" s="152"/>
    </row>
    <row r="988">
      <c r="A988" s="151"/>
      <c r="B988" s="151"/>
      <c r="C988" s="151"/>
      <c r="D988" s="151"/>
      <c r="E988" s="152"/>
    </row>
    <row r="989">
      <c r="A989" s="151"/>
      <c r="B989" s="151"/>
      <c r="C989" s="151"/>
      <c r="D989" s="151"/>
      <c r="E989" s="152"/>
    </row>
    <row r="990">
      <c r="A990" s="151"/>
      <c r="B990" s="151"/>
      <c r="C990" s="151"/>
      <c r="D990" s="151"/>
      <c r="E990" s="152"/>
    </row>
    <row r="991">
      <c r="A991" s="151"/>
      <c r="B991" s="151"/>
      <c r="C991" s="151"/>
      <c r="D991" s="151"/>
      <c r="E991" s="152"/>
    </row>
    <row r="992">
      <c r="A992" s="151"/>
      <c r="B992" s="151"/>
      <c r="C992" s="151"/>
      <c r="D992" s="151"/>
      <c r="E992" s="152"/>
    </row>
    <row r="993">
      <c r="A993" s="151"/>
      <c r="B993" s="151"/>
      <c r="C993" s="151"/>
      <c r="D993" s="151"/>
      <c r="E993" s="152"/>
    </row>
    <row r="994">
      <c r="A994" s="151"/>
      <c r="B994" s="151"/>
      <c r="C994" s="151"/>
      <c r="D994" s="151"/>
      <c r="E994" s="152"/>
    </row>
    <row r="995">
      <c r="A995" s="151"/>
      <c r="B995" s="151"/>
      <c r="C995" s="151"/>
      <c r="D995" s="151"/>
      <c r="E995" s="152"/>
    </row>
    <row r="996">
      <c r="A996" s="151"/>
      <c r="B996" s="151"/>
      <c r="C996" s="151"/>
      <c r="D996" s="151"/>
      <c r="E996" s="152"/>
    </row>
  </sheetData>
  <conditionalFormatting sqref="Q82">
    <cfRule type="notContainsBlanks" dxfId="7" priority="1">
      <formula>LEN(TRIM(Q82))&gt;0</formula>
    </cfRule>
  </conditionalFormatting>
  <conditionalFormatting sqref="R83">
    <cfRule type="notContainsBlanks" dxfId="7" priority="2">
      <formula>LEN(TRIM(R83))&gt;0</formula>
    </cfRule>
  </conditionalFormatting>
  <conditionalFormatting sqref="A2:C996">
    <cfRule type="expression" dxfId="8" priority="3">
      <formula>$R2="Approved (Recertified) – All set, active client"</formula>
    </cfRule>
  </conditionalFormatting>
  <conditionalFormatting sqref="R66">
    <cfRule type="notContainsBlanks" dxfId="7" priority="4">
      <formula>LEN(TRIM(R66))&gt;0</formula>
    </cfRule>
  </conditionalFormatting>
  <conditionalFormatting sqref="A1:C1">
    <cfRule type="notContainsBlanks" dxfId="7" priority="5">
      <formula>LEN(TRIM(A1))&gt;0</formula>
    </cfRule>
  </conditionalFormatting>
  <conditionalFormatting sqref="A2:C996">
    <cfRule type="expression" dxfId="9" priority="6">
      <formula>$R2="Denied / Ineligible – Determined not to qualify"</formula>
    </cfRule>
  </conditionalFormatting>
  <dataValidations>
    <dataValidation type="list" allowBlank="1" showErrorMessage="1" sqref="K2:K109">
      <formula1>"Yes,Not Yet"</formula1>
    </dataValidation>
    <dataValidation type="list" allowBlank="1" showErrorMessage="1" sqref="H2:H116">
      <formula1>"Yes,No ,LVM,Unable to LVM"</formula1>
    </dataValidation>
    <dataValidation type="list" allowBlank="1" showErrorMessage="1" sqref="R2:R177">
      <formula1>"Approved (Recertified) – All set, active client,Denied / Ineligible – Determined not to qualify,In Progress (Working with CW) – CW working with FFA,Pending (Initial contact made, no CW contact yet),Pending Client Response – Client has been contacted and t"&amp;"old to recertify, awaiting CW form,Pending Contact – Attempted contact, but have not spoken to client yet (e.g., voicemail left),Not Yet Informed – Client hasn’t been contacted or told about recertifying"</formula1>
    </dataValidation>
    <dataValidation type="list" allowBlank="1" showErrorMessage="1" sqref="O2:O142">
      <formula1>"Yes ,No,Not Needed - CW in contact with FFA"</formula1>
    </dataValidation>
    <dataValidation type="list" allowBlank="1" showErrorMessage="1" sqref="J2:J114">
      <formula1>"Yes,No,Recertified - Removed Banner"</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5" width="27.63"/>
  </cols>
  <sheetData>
    <row r="1">
      <c r="A1" s="161" t="s">
        <v>5168</v>
      </c>
      <c r="B1" s="161" t="s">
        <v>5169</v>
      </c>
      <c r="C1" s="161" t="s">
        <v>5170</v>
      </c>
      <c r="D1" s="161" t="s">
        <v>5171</v>
      </c>
      <c r="E1" s="161" t="s">
        <v>4291</v>
      </c>
      <c r="F1" s="162"/>
      <c r="G1" s="162"/>
      <c r="H1" s="162"/>
      <c r="I1" s="162"/>
      <c r="J1" s="162"/>
      <c r="K1" s="162"/>
      <c r="L1" s="162"/>
      <c r="M1" s="162"/>
      <c r="N1" s="162"/>
      <c r="O1" s="162"/>
      <c r="P1" s="162"/>
      <c r="Q1" s="162"/>
      <c r="R1" s="162"/>
      <c r="S1" s="162"/>
      <c r="T1" s="162"/>
      <c r="U1" s="162"/>
      <c r="V1" s="162"/>
      <c r="W1" s="162"/>
      <c r="X1" s="162"/>
      <c r="Y1" s="162"/>
    </row>
    <row r="2">
      <c r="A2" s="144" t="s">
        <v>5172</v>
      </c>
      <c r="B2" s="144" t="s">
        <v>5173</v>
      </c>
      <c r="C2" s="144" t="s">
        <v>5174</v>
      </c>
      <c r="D2" s="163">
        <v>45826.0</v>
      </c>
      <c r="E2" s="144" t="s">
        <v>5175</v>
      </c>
      <c r="F2" s="152"/>
      <c r="G2" s="152"/>
      <c r="H2" s="152"/>
      <c r="I2" s="152"/>
      <c r="J2" s="152"/>
      <c r="K2" s="152"/>
      <c r="L2" s="152"/>
      <c r="M2" s="152"/>
      <c r="N2" s="152"/>
      <c r="O2" s="152"/>
      <c r="P2" s="152"/>
      <c r="Q2" s="152"/>
      <c r="R2" s="152"/>
      <c r="S2" s="152"/>
      <c r="T2" s="152"/>
      <c r="U2" s="152"/>
      <c r="V2" s="152"/>
      <c r="W2" s="152"/>
      <c r="X2" s="152"/>
      <c r="Y2" s="152"/>
    </row>
    <row r="3">
      <c r="A3" s="144" t="s">
        <v>5176</v>
      </c>
      <c r="B3" s="144" t="s">
        <v>5177</v>
      </c>
      <c r="C3" s="144" t="s">
        <v>5178</v>
      </c>
      <c r="D3" s="163">
        <v>45827.0</v>
      </c>
      <c r="E3" s="144" t="s">
        <v>5175</v>
      </c>
      <c r="F3" s="152"/>
      <c r="G3" s="152"/>
      <c r="H3" s="152"/>
      <c r="I3" s="152"/>
      <c r="J3" s="152"/>
      <c r="K3" s="152"/>
      <c r="L3" s="152"/>
      <c r="M3" s="152"/>
      <c r="N3" s="152"/>
      <c r="O3" s="152"/>
      <c r="P3" s="152"/>
      <c r="Q3" s="152"/>
      <c r="R3" s="152"/>
      <c r="S3" s="152"/>
      <c r="T3" s="152"/>
      <c r="U3" s="152"/>
      <c r="V3" s="152"/>
      <c r="W3" s="152"/>
      <c r="X3" s="152"/>
      <c r="Y3" s="152"/>
    </row>
    <row r="4">
      <c r="A4" s="144" t="s">
        <v>5179</v>
      </c>
      <c r="B4" s="144" t="s">
        <v>5180</v>
      </c>
      <c r="C4" s="144" t="s">
        <v>5181</v>
      </c>
      <c r="D4" s="163">
        <v>45831.0</v>
      </c>
      <c r="E4" s="144" t="s">
        <v>5175</v>
      </c>
      <c r="F4" s="152"/>
      <c r="G4" s="152"/>
      <c r="H4" s="152"/>
      <c r="I4" s="152"/>
      <c r="J4" s="152"/>
      <c r="K4" s="152"/>
      <c r="L4" s="152"/>
      <c r="M4" s="152"/>
      <c r="N4" s="152"/>
      <c r="O4" s="152"/>
      <c r="P4" s="152"/>
      <c r="Q4" s="152"/>
      <c r="R4" s="152"/>
      <c r="S4" s="152"/>
      <c r="T4" s="152"/>
      <c r="U4" s="152"/>
      <c r="V4" s="152"/>
      <c r="W4" s="152"/>
      <c r="X4" s="152"/>
      <c r="Y4" s="152"/>
    </row>
    <row r="5">
      <c r="A5" s="144" t="s">
        <v>5182</v>
      </c>
      <c r="B5" s="144" t="s">
        <v>543</v>
      </c>
      <c r="C5" s="144" t="s">
        <v>5183</v>
      </c>
      <c r="D5" s="163">
        <v>45831.0</v>
      </c>
      <c r="E5" s="144" t="s">
        <v>5175</v>
      </c>
      <c r="F5" s="152"/>
      <c r="G5" s="152"/>
      <c r="H5" s="152"/>
      <c r="I5" s="152"/>
      <c r="J5" s="152"/>
      <c r="K5" s="152"/>
      <c r="L5" s="152"/>
      <c r="M5" s="152"/>
      <c r="N5" s="152"/>
      <c r="O5" s="152"/>
      <c r="P5" s="152"/>
      <c r="Q5" s="152"/>
      <c r="R5" s="152"/>
      <c r="S5" s="152"/>
      <c r="T5" s="152"/>
      <c r="U5" s="152"/>
      <c r="V5" s="152"/>
      <c r="W5" s="152"/>
      <c r="X5" s="152"/>
      <c r="Y5" s="152"/>
    </row>
    <row r="6">
      <c r="A6" s="144" t="s">
        <v>5184</v>
      </c>
      <c r="B6" s="144" t="s">
        <v>5185</v>
      </c>
      <c r="C6" s="144" t="s">
        <v>5186</v>
      </c>
      <c r="D6" s="163">
        <v>45833.0</v>
      </c>
      <c r="E6" s="144" t="s">
        <v>5175</v>
      </c>
      <c r="F6" s="152"/>
      <c r="G6" s="152"/>
      <c r="H6" s="152"/>
      <c r="I6" s="152"/>
      <c r="J6" s="152"/>
      <c r="K6" s="152"/>
      <c r="L6" s="152"/>
      <c r="M6" s="152"/>
      <c r="N6" s="152"/>
      <c r="O6" s="152"/>
      <c r="P6" s="152"/>
      <c r="Q6" s="152"/>
      <c r="R6" s="152"/>
      <c r="S6" s="152"/>
      <c r="T6" s="152"/>
      <c r="U6" s="152"/>
      <c r="V6" s="152"/>
      <c r="W6" s="152"/>
      <c r="X6" s="152"/>
      <c r="Y6" s="152"/>
    </row>
    <row r="7">
      <c r="A7" s="144" t="s">
        <v>5187</v>
      </c>
      <c r="B7" s="144" t="s">
        <v>5188</v>
      </c>
      <c r="C7" s="144" t="s">
        <v>5189</v>
      </c>
      <c r="D7" s="163">
        <v>45833.0</v>
      </c>
      <c r="E7" s="144" t="s">
        <v>5190</v>
      </c>
      <c r="F7" s="152"/>
      <c r="G7" s="152"/>
      <c r="H7" s="152"/>
      <c r="I7" s="152"/>
      <c r="J7" s="152"/>
      <c r="K7" s="152"/>
      <c r="L7" s="152"/>
      <c r="M7" s="152"/>
      <c r="N7" s="152"/>
      <c r="O7" s="152"/>
      <c r="P7" s="152"/>
      <c r="Q7" s="152"/>
      <c r="R7" s="152"/>
      <c r="S7" s="152"/>
      <c r="T7" s="152"/>
      <c r="U7" s="152"/>
      <c r="V7" s="152"/>
      <c r="W7" s="152"/>
      <c r="X7" s="152"/>
      <c r="Y7" s="152"/>
    </row>
    <row r="8">
      <c r="A8" s="144" t="s">
        <v>5191</v>
      </c>
      <c r="B8" s="144" t="s">
        <v>1306</v>
      </c>
      <c r="C8" s="144" t="s">
        <v>5192</v>
      </c>
      <c r="D8" s="163">
        <v>45833.0</v>
      </c>
      <c r="E8" s="144" t="s">
        <v>5175</v>
      </c>
      <c r="F8" s="152"/>
      <c r="G8" s="152"/>
      <c r="H8" s="152"/>
      <c r="I8" s="152"/>
      <c r="J8" s="152"/>
      <c r="K8" s="152"/>
      <c r="L8" s="152"/>
      <c r="M8" s="152"/>
      <c r="N8" s="152"/>
      <c r="O8" s="152"/>
      <c r="P8" s="152"/>
      <c r="Q8" s="152"/>
      <c r="R8" s="152"/>
      <c r="S8" s="152"/>
      <c r="T8" s="152"/>
      <c r="U8" s="152"/>
      <c r="V8" s="152"/>
      <c r="W8" s="152"/>
      <c r="X8" s="152"/>
      <c r="Y8" s="152"/>
    </row>
    <row r="9">
      <c r="A9" s="144" t="s">
        <v>5193</v>
      </c>
      <c r="B9" s="144" t="s">
        <v>5194</v>
      </c>
      <c r="C9" s="144" t="s">
        <v>5195</v>
      </c>
      <c r="D9" s="163">
        <v>45833.0</v>
      </c>
      <c r="E9" s="144" t="s">
        <v>5196</v>
      </c>
      <c r="F9" s="152"/>
      <c r="G9" s="152"/>
      <c r="H9" s="152"/>
      <c r="I9" s="152"/>
      <c r="J9" s="152"/>
      <c r="K9" s="152"/>
      <c r="L9" s="152"/>
      <c r="M9" s="152"/>
      <c r="N9" s="152"/>
      <c r="O9" s="152"/>
      <c r="P9" s="152"/>
      <c r="Q9" s="152"/>
      <c r="R9" s="152"/>
      <c r="S9" s="152"/>
      <c r="T9" s="152"/>
      <c r="U9" s="152"/>
      <c r="V9" s="152"/>
      <c r="W9" s="152"/>
      <c r="X9" s="152"/>
      <c r="Y9" s="152"/>
    </row>
    <row r="10">
      <c r="A10" s="144" t="s">
        <v>5197</v>
      </c>
      <c r="B10" s="144" t="s">
        <v>5198</v>
      </c>
      <c r="C10" s="144" t="s">
        <v>5199</v>
      </c>
      <c r="D10" s="163">
        <v>45834.0</v>
      </c>
      <c r="E10" s="144" t="s">
        <v>5175</v>
      </c>
      <c r="F10" s="152"/>
      <c r="G10" s="152"/>
      <c r="H10" s="152"/>
      <c r="I10" s="152"/>
      <c r="J10" s="152"/>
      <c r="K10" s="152"/>
      <c r="L10" s="152"/>
      <c r="M10" s="152"/>
      <c r="N10" s="152"/>
      <c r="O10" s="152"/>
      <c r="P10" s="152"/>
      <c r="Q10" s="152"/>
      <c r="R10" s="152"/>
      <c r="S10" s="152"/>
      <c r="T10" s="152"/>
      <c r="U10" s="152"/>
      <c r="V10" s="152"/>
      <c r="W10" s="152"/>
      <c r="X10" s="152"/>
      <c r="Y10" s="152"/>
    </row>
    <row r="11">
      <c r="A11" s="144" t="s">
        <v>5200</v>
      </c>
      <c r="B11" s="144" t="s">
        <v>3957</v>
      </c>
      <c r="C11" s="144" t="s">
        <v>5201</v>
      </c>
      <c r="D11" s="163">
        <v>45835.0</v>
      </c>
      <c r="E11" s="144" t="s">
        <v>5175</v>
      </c>
      <c r="F11" s="152"/>
      <c r="G11" s="152"/>
      <c r="H11" s="152"/>
      <c r="I11" s="152"/>
      <c r="J11" s="152"/>
      <c r="K11" s="152"/>
      <c r="L11" s="152"/>
      <c r="M11" s="152"/>
      <c r="N11" s="152"/>
      <c r="O11" s="152"/>
      <c r="P11" s="152"/>
      <c r="Q11" s="152"/>
      <c r="R11" s="152"/>
      <c r="S11" s="152"/>
      <c r="T11" s="152"/>
      <c r="U11" s="152"/>
      <c r="V11" s="152"/>
      <c r="W11" s="152"/>
      <c r="X11" s="152"/>
      <c r="Y11" s="152"/>
    </row>
    <row r="12">
      <c r="A12" s="144" t="s">
        <v>3073</v>
      </c>
      <c r="B12" s="144" t="s">
        <v>5202</v>
      </c>
      <c r="C12" s="144" t="s">
        <v>3072</v>
      </c>
      <c r="D12" s="163">
        <v>45836.0</v>
      </c>
      <c r="E12" s="144" t="s">
        <v>5203</v>
      </c>
      <c r="F12" s="152"/>
      <c r="G12" s="152"/>
      <c r="H12" s="152"/>
      <c r="I12" s="152"/>
      <c r="J12" s="152"/>
      <c r="K12" s="152"/>
      <c r="L12" s="152"/>
      <c r="M12" s="152"/>
      <c r="N12" s="152"/>
      <c r="O12" s="152"/>
      <c r="P12" s="152"/>
      <c r="Q12" s="152"/>
      <c r="R12" s="152"/>
      <c r="S12" s="152"/>
      <c r="T12" s="152"/>
      <c r="U12" s="152"/>
      <c r="V12" s="152"/>
      <c r="W12" s="152"/>
      <c r="X12" s="152"/>
      <c r="Y12" s="152"/>
    </row>
    <row r="13">
      <c r="A13" s="144" t="s">
        <v>5204</v>
      </c>
      <c r="B13" s="144" t="s">
        <v>586</v>
      </c>
      <c r="C13" s="144" t="s">
        <v>5205</v>
      </c>
      <c r="D13" s="163">
        <v>45839.0</v>
      </c>
      <c r="E13" s="144" t="s">
        <v>5175</v>
      </c>
      <c r="F13" s="152"/>
      <c r="G13" s="152"/>
      <c r="H13" s="152"/>
      <c r="I13" s="152"/>
      <c r="J13" s="152"/>
      <c r="K13" s="152"/>
      <c r="L13" s="152"/>
      <c r="M13" s="152"/>
      <c r="N13" s="152"/>
      <c r="O13" s="152"/>
      <c r="P13" s="152"/>
      <c r="Q13" s="152"/>
      <c r="R13" s="152"/>
      <c r="S13" s="152"/>
      <c r="T13" s="152"/>
      <c r="U13" s="152"/>
      <c r="V13" s="152"/>
      <c r="W13" s="152"/>
      <c r="X13" s="152"/>
      <c r="Y13" s="152"/>
    </row>
    <row r="14">
      <c r="A14" s="144" t="s">
        <v>5206</v>
      </c>
      <c r="B14" s="144" t="s">
        <v>5207</v>
      </c>
      <c r="C14" s="144" t="s">
        <v>5208</v>
      </c>
      <c r="D14" s="163">
        <v>45840.0</v>
      </c>
      <c r="E14" s="144" t="s">
        <v>5209</v>
      </c>
      <c r="F14" s="152"/>
      <c r="G14" s="152"/>
      <c r="H14" s="152"/>
      <c r="I14" s="152"/>
      <c r="J14" s="152"/>
      <c r="K14" s="152"/>
      <c r="L14" s="152"/>
      <c r="M14" s="152"/>
      <c r="N14" s="152"/>
      <c r="O14" s="152"/>
      <c r="P14" s="152"/>
      <c r="Q14" s="152"/>
      <c r="R14" s="152"/>
      <c r="S14" s="152"/>
      <c r="T14" s="152"/>
      <c r="U14" s="152"/>
      <c r="V14" s="152"/>
      <c r="W14" s="152"/>
      <c r="X14" s="152"/>
      <c r="Y14" s="152"/>
    </row>
    <row r="15">
      <c r="A15" s="144" t="s">
        <v>5210</v>
      </c>
      <c r="B15" s="144" t="s">
        <v>311</v>
      </c>
      <c r="C15" s="144" t="s">
        <v>5211</v>
      </c>
      <c r="D15" s="163">
        <v>45841.0</v>
      </c>
      <c r="E15" s="144" t="s">
        <v>5175</v>
      </c>
      <c r="F15" s="152"/>
      <c r="G15" s="152"/>
      <c r="H15" s="152"/>
      <c r="I15" s="152"/>
      <c r="J15" s="152"/>
      <c r="K15" s="152"/>
      <c r="L15" s="152"/>
      <c r="M15" s="152"/>
      <c r="N15" s="152"/>
      <c r="O15" s="152"/>
      <c r="P15" s="152"/>
      <c r="Q15" s="152"/>
      <c r="R15" s="152"/>
      <c r="S15" s="152"/>
      <c r="T15" s="152"/>
      <c r="U15" s="152"/>
      <c r="V15" s="152"/>
      <c r="W15" s="152"/>
      <c r="X15" s="152"/>
      <c r="Y15" s="152"/>
    </row>
    <row r="16">
      <c r="A16" s="144" t="s">
        <v>5212</v>
      </c>
      <c r="B16" s="144" t="s">
        <v>5213</v>
      </c>
      <c r="C16" s="144" t="s">
        <v>5214</v>
      </c>
      <c r="D16" s="163">
        <v>45841.0</v>
      </c>
      <c r="E16" s="144" t="s">
        <v>5175</v>
      </c>
      <c r="F16" s="152"/>
      <c r="G16" s="152"/>
      <c r="H16" s="152"/>
      <c r="I16" s="152"/>
      <c r="J16" s="152"/>
      <c r="K16" s="152"/>
      <c r="L16" s="152"/>
      <c r="M16" s="152"/>
      <c r="N16" s="152"/>
      <c r="O16" s="152"/>
      <c r="P16" s="152"/>
      <c r="Q16" s="152"/>
      <c r="R16" s="152"/>
      <c r="S16" s="152"/>
      <c r="T16" s="152"/>
      <c r="U16" s="152"/>
      <c r="V16" s="152"/>
      <c r="W16" s="152"/>
      <c r="X16" s="152"/>
      <c r="Y16" s="152"/>
    </row>
    <row r="17">
      <c r="A17" s="144" t="s">
        <v>926</v>
      </c>
      <c r="B17" s="144" t="s">
        <v>5215</v>
      </c>
      <c r="C17" s="144" t="s">
        <v>5216</v>
      </c>
      <c r="D17" s="163">
        <v>45846.0</v>
      </c>
      <c r="E17" s="144" t="s">
        <v>5175</v>
      </c>
      <c r="F17" s="152"/>
      <c r="G17" s="152"/>
      <c r="H17" s="152"/>
      <c r="I17" s="152"/>
      <c r="J17" s="152"/>
      <c r="K17" s="152"/>
      <c r="L17" s="152"/>
      <c r="M17" s="152"/>
      <c r="N17" s="152"/>
      <c r="O17" s="152"/>
      <c r="P17" s="152"/>
      <c r="Q17" s="152"/>
      <c r="R17" s="152"/>
      <c r="S17" s="152"/>
      <c r="T17" s="152"/>
      <c r="U17" s="152"/>
      <c r="V17" s="152"/>
      <c r="W17" s="152"/>
      <c r="X17" s="152"/>
      <c r="Y17" s="152"/>
    </row>
    <row r="18">
      <c r="A18" s="144" t="s">
        <v>5217</v>
      </c>
      <c r="B18" s="144" t="s">
        <v>5218</v>
      </c>
      <c r="C18" s="144" t="s">
        <v>5219</v>
      </c>
      <c r="D18" s="163">
        <v>45847.0</v>
      </c>
      <c r="E18" s="144" t="s">
        <v>5220</v>
      </c>
      <c r="F18" s="152"/>
      <c r="G18" s="152"/>
      <c r="H18" s="152"/>
      <c r="I18" s="152"/>
      <c r="J18" s="152"/>
      <c r="K18" s="152"/>
      <c r="L18" s="152"/>
      <c r="M18" s="152"/>
      <c r="N18" s="152"/>
      <c r="O18" s="152"/>
      <c r="P18" s="152"/>
      <c r="Q18" s="152"/>
      <c r="R18" s="152"/>
      <c r="S18" s="152"/>
      <c r="T18" s="152"/>
      <c r="U18" s="152"/>
      <c r="V18" s="152"/>
      <c r="W18" s="152"/>
      <c r="X18" s="152"/>
      <c r="Y18" s="152"/>
    </row>
    <row r="19">
      <c r="A19" s="144" t="s">
        <v>5221</v>
      </c>
      <c r="B19" s="144" t="s">
        <v>5222</v>
      </c>
      <c r="C19" s="144" t="s">
        <v>5223</v>
      </c>
      <c r="D19" s="163">
        <v>45849.0</v>
      </c>
      <c r="E19" s="144" t="s">
        <v>5224</v>
      </c>
      <c r="F19" s="152"/>
      <c r="G19" s="152"/>
      <c r="H19" s="152"/>
      <c r="I19" s="152"/>
      <c r="J19" s="152"/>
      <c r="K19" s="152"/>
      <c r="L19" s="152"/>
      <c r="M19" s="152"/>
      <c r="N19" s="152"/>
      <c r="O19" s="152"/>
      <c r="P19" s="152"/>
      <c r="Q19" s="152"/>
      <c r="R19" s="152"/>
      <c r="S19" s="152"/>
      <c r="T19" s="152"/>
      <c r="U19" s="152"/>
      <c r="V19" s="152"/>
      <c r="W19" s="152"/>
      <c r="X19" s="152"/>
      <c r="Y19" s="152"/>
    </row>
    <row r="20">
      <c r="A20" s="144" t="s">
        <v>5225</v>
      </c>
      <c r="B20" s="144" t="s">
        <v>5226</v>
      </c>
      <c r="C20" s="144" t="s">
        <v>5227</v>
      </c>
      <c r="D20" s="163">
        <v>45850.0</v>
      </c>
      <c r="E20" s="144" t="s">
        <v>5175</v>
      </c>
      <c r="F20" s="152"/>
      <c r="G20" s="152"/>
      <c r="H20" s="152"/>
      <c r="I20" s="152"/>
      <c r="J20" s="152"/>
      <c r="K20" s="152"/>
      <c r="L20" s="152"/>
      <c r="M20" s="152"/>
      <c r="N20" s="152"/>
      <c r="O20" s="152"/>
      <c r="P20" s="152"/>
      <c r="Q20" s="152"/>
      <c r="R20" s="152"/>
      <c r="S20" s="152"/>
      <c r="T20" s="152"/>
      <c r="U20" s="152"/>
      <c r="V20" s="152"/>
      <c r="W20" s="152"/>
      <c r="X20" s="152"/>
      <c r="Y20" s="152"/>
    </row>
    <row r="21">
      <c r="A21" s="144" t="s">
        <v>5228</v>
      </c>
      <c r="B21" s="144" t="s">
        <v>2239</v>
      </c>
      <c r="C21" s="144" t="s">
        <v>5229</v>
      </c>
      <c r="D21" s="163">
        <v>45854.0</v>
      </c>
      <c r="E21" s="144" t="s">
        <v>5175</v>
      </c>
      <c r="F21" s="152"/>
      <c r="G21" s="152"/>
      <c r="H21" s="152"/>
      <c r="I21" s="152"/>
      <c r="J21" s="152"/>
      <c r="K21" s="152"/>
      <c r="L21" s="152"/>
      <c r="M21" s="152"/>
      <c r="N21" s="152"/>
      <c r="O21" s="152"/>
      <c r="P21" s="152"/>
      <c r="Q21" s="152"/>
      <c r="R21" s="152"/>
      <c r="S21" s="152"/>
      <c r="T21" s="152"/>
      <c r="U21" s="152"/>
      <c r="V21" s="152"/>
      <c r="W21" s="152"/>
      <c r="X21" s="152"/>
      <c r="Y21" s="152"/>
    </row>
    <row r="22">
      <c r="A22" s="144" t="s">
        <v>5230</v>
      </c>
      <c r="B22" s="144" t="s">
        <v>5231</v>
      </c>
      <c r="C22" s="144" t="s">
        <v>5232</v>
      </c>
      <c r="D22" s="163">
        <v>45854.0</v>
      </c>
      <c r="E22" s="144" t="s">
        <v>5175</v>
      </c>
      <c r="F22" s="152"/>
      <c r="G22" s="152"/>
      <c r="H22" s="152"/>
      <c r="I22" s="152"/>
      <c r="J22" s="152"/>
      <c r="K22" s="152"/>
      <c r="L22" s="152"/>
      <c r="M22" s="152"/>
      <c r="N22" s="152"/>
      <c r="O22" s="152"/>
      <c r="P22" s="152"/>
      <c r="Q22" s="152"/>
      <c r="R22" s="152"/>
      <c r="S22" s="152"/>
      <c r="T22" s="152"/>
      <c r="U22" s="152"/>
      <c r="V22" s="152"/>
      <c r="W22" s="152"/>
      <c r="X22" s="152"/>
      <c r="Y22" s="152"/>
    </row>
    <row r="23">
      <c r="A23" s="144" t="s">
        <v>5233</v>
      </c>
      <c r="B23" s="144" t="s">
        <v>5234</v>
      </c>
      <c r="C23" s="144" t="s">
        <v>5235</v>
      </c>
      <c r="D23" s="163">
        <v>45854.0</v>
      </c>
      <c r="E23" s="144" t="s">
        <v>5175</v>
      </c>
      <c r="F23" s="152"/>
      <c r="G23" s="152"/>
      <c r="H23" s="152"/>
      <c r="I23" s="152"/>
      <c r="J23" s="152"/>
      <c r="K23" s="152"/>
      <c r="L23" s="152"/>
      <c r="M23" s="152"/>
      <c r="N23" s="152"/>
      <c r="O23" s="152"/>
      <c r="P23" s="152"/>
      <c r="Q23" s="152"/>
      <c r="R23" s="152"/>
      <c r="S23" s="152"/>
      <c r="T23" s="152"/>
      <c r="U23" s="152"/>
      <c r="V23" s="152"/>
      <c r="W23" s="152"/>
      <c r="X23" s="152"/>
      <c r="Y23" s="152"/>
    </row>
    <row r="24">
      <c r="A24" s="144" t="s">
        <v>5236</v>
      </c>
      <c r="B24" s="144" t="s">
        <v>5237</v>
      </c>
      <c r="C24" s="144" t="s">
        <v>2731</v>
      </c>
      <c r="D24" s="163">
        <v>45855.0</v>
      </c>
      <c r="E24" s="144" t="s">
        <v>5238</v>
      </c>
      <c r="F24" s="152"/>
      <c r="G24" s="152"/>
      <c r="H24" s="152"/>
      <c r="I24" s="152"/>
      <c r="J24" s="152"/>
      <c r="K24" s="152"/>
      <c r="L24" s="152"/>
      <c r="M24" s="152"/>
      <c r="N24" s="152"/>
      <c r="O24" s="152"/>
      <c r="P24" s="152"/>
      <c r="Q24" s="152"/>
      <c r="R24" s="152"/>
      <c r="S24" s="152"/>
      <c r="T24" s="152"/>
      <c r="U24" s="152"/>
      <c r="V24" s="152"/>
      <c r="W24" s="152"/>
      <c r="X24" s="152"/>
      <c r="Y24" s="152"/>
    </row>
    <row r="25">
      <c r="A25" s="144" t="s">
        <v>5239</v>
      </c>
      <c r="B25" s="144" t="s">
        <v>116</v>
      </c>
      <c r="C25" s="144" t="s">
        <v>5240</v>
      </c>
      <c r="D25" s="163">
        <v>45855.0</v>
      </c>
      <c r="E25" s="144" t="s">
        <v>5175</v>
      </c>
      <c r="F25" s="152"/>
      <c r="G25" s="152"/>
      <c r="H25" s="152"/>
      <c r="I25" s="152"/>
      <c r="J25" s="152"/>
      <c r="K25" s="152"/>
      <c r="L25" s="152"/>
      <c r="M25" s="152"/>
      <c r="N25" s="152"/>
      <c r="O25" s="152"/>
      <c r="P25" s="152"/>
      <c r="Q25" s="152"/>
      <c r="R25" s="152"/>
      <c r="S25" s="152"/>
      <c r="T25" s="152"/>
      <c r="U25" s="152"/>
      <c r="V25" s="152"/>
      <c r="W25" s="152"/>
      <c r="X25" s="152"/>
      <c r="Y25" s="152"/>
    </row>
    <row r="26">
      <c r="A26" s="144" t="s">
        <v>2973</v>
      </c>
      <c r="B26" s="144" t="s">
        <v>5241</v>
      </c>
      <c r="C26" s="144" t="s">
        <v>2972</v>
      </c>
      <c r="D26" s="163">
        <v>45859.0</v>
      </c>
      <c r="E26" s="144" t="s">
        <v>5242</v>
      </c>
      <c r="F26" s="152"/>
      <c r="G26" s="152"/>
      <c r="H26" s="152"/>
      <c r="I26" s="152"/>
      <c r="J26" s="152"/>
      <c r="K26" s="152"/>
      <c r="L26" s="152"/>
      <c r="M26" s="152"/>
      <c r="N26" s="152"/>
      <c r="O26" s="152"/>
      <c r="P26" s="152"/>
      <c r="Q26" s="152"/>
      <c r="R26" s="152"/>
      <c r="S26" s="152"/>
      <c r="T26" s="152"/>
      <c r="U26" s="152"/>
      <c r="V26" s="152"/>
      <c r="W26" s="152"/>
      <c r="X26" s="152"/>
      <c r="Y26" s="152"/>
    </row>
    <row r="27">
      <c r="A27" s="144" t="s">
        <v>5243</v>
      </c>
      <c r="B27" s="144" t="s">
        <v>5180</v>
      </c>
      <c r="C27" s="144" t="s">
        <v>5244</v>
      </c>
      <c r="D27" s="163">
        <v>45859.0</v>
      </c>
      <c r="E27" s="144" t="s">
        <v>5245</v>
      </c>
      <c r="F27" s="152"/>
      <c r="G27" s="152"/>
      <c r="H27" s="152"/>
      <c r="I27" s="152"/>
      <c r="J27" s="152"/>
      <c r="K27" s="152"/>
      <c r="L27" s="152"/>
      <c r="M27" s="152"/>
      <c r="N27" s="152"/>
      <c r="O27" s="152"/>
      <c r="P27" s="152"/>
      <c r="Q27" s="152"/>
      <c r="R27" s="152"/>
      <c r="S27" s="152"/>
      <c r="T27" s="152"/>
      <c r="U27" s="152"/>
      <c r="V27" s="152"/>
      <c r="W27" s="152"/>
      <c r="X27" s="152"/>
      <c r="Y27" s="152"/>
    </row>
    <row r="28">
      <c r="A28" s="144" t="s">
        <v>5246</v>
      </c>
      <c r="B28" s="144" t="s">
        <v>5247</v>
      </c>
      <c r="C28" s="144" t="s">
        <v>5248</v>
      </c>
      <c r="D28" s="163">
        <v>45861.0</v>
      </c>
      <c r="E28" s="144" t="s">
        <v>5175</v>
      </c>
      <c r="F28" s="152"/>
      <c r="G28" s="152"/>
      <c r="H28" s="152"/>
      <c r="I28" s="152"/>
      <c r="J28" s="152"/>
      <c r="K28" s="152"/>
      <c r="L28" s="152"/>
      <c r="M28" s="152"/>
      <c r="N28" s="152"/>
      <c r="O28" s="152"/>
      <c r="P28" s="152"/>
      <c r="Q28" s="152"/>
      <c r="R28" s="152"/>
      <c r="S28" s="152"/>
      <c r="T28" s="152"/>
      <c r="U28" s="152"/>
      <c r="V28" s="152"/>
      <c r="W28" s="152"/>
      <c r="X28" s="152"/>
      <c r="Y28" s="152"/>
    </row>
    <row r="29">
      <c r="A29" s="144" t="s">
        <v>5249</v>
      </c>
      <c r="B29" s="144" t="s">
        <v>5250</v>
      </c>
      <c r="C29" s="144" t="s">
        <v>5251</v>
      </c>
      <c r="D29" s="163">
        <v>45861.0</v>
      </c>
      <c r="E29" s="144" t="s">
        <v>5175</v>
      </c>
      <c r="F29" s="152"/>
      <c r="G29" s="152"/>
      <c r="H29" s="152"/>
      <c r="I29" s="152"/>
      <c r="J29" s="152"/>
      <c r="K29" s="152"/>
      <c r="L29" s="152"/>
      <c r="M29" s="152"/>
      <c r="N29" s="152"/>
      <c r="O29" s="152"/>
      <c r="P29" s="152"/>
      <c r="Q29" s="152"/>
      <c r="R29" s="152"/>
      <c r="S29" s="152"/>
      <c r="T29" s="152"/>
      <c r="U29" s="152"/>
      <c r="V29" s="152"/>
      <c r="W29" s="152"/>
      <c r="X29" s="152"/>
      <c r="Y29" s="152"/>
    </row>
    <row r="30">
      <c r="A30" s="144" t="s">
        <v>873</v>
      </c>
      <c r="B30" s="144" t="s">
        <v>874</v>
      </c>
      <c r="C30" s="144" t="s">
        <v>872</v>
      </c>
      <c r="D30" s="163">
        <v>45868.0</v>
      </c>
      <c r="E30" s="144" t="s">
        <v>5175</v>
      </c>
      <c r="F30" s="152"/>
      <c r="G30" s="152"/>
      <c r="H30" s="152"/>
      <c r="I30" s="152"/>
      <c r="J30" s="152"/>
      <c r="K30" s="152"/>
      <c r="L30" s="152"/>
      <c r="M30" s="152"/>
      <c r="N30" s="152"/>
      <c r="O30" s="152"/>
      <c r="P30" s="152"/>
      <c r="Q30" s="152"/>
      <c r="R30" s="152"/>
      <c r="S30" s="152"/>
      <c r="T30" s="152"/>
      <c r="U30" s="152"/>
      <c r="V30" s="152"/>
      <c r="W30" s="152"/>
      <c r="X30" s="152"/>
      <c r="Y30" s="152"/>
    </row>
    <row r="31">
      <c r="A31" s="144" t="s">
        <v>5252</v>
      </c>
      <c r="B31" s="144" t="s">
        <v>5253</v>
      </c>
      <c r="C31" s="144" t="s">
        <v>5254</v>
      </c>
      <c r="D31" s="163">
        <v>45868.0</v>
      </c>
      <c r="E31" s="144" t="s">
        <v>5175</v>
      </c>
      <c r="F31" s="152"/>
      <c r="G31" s="152"/>
      <c r="H31" s="152"/>
      <c r="I31" s="152"/>
      <c r="J31" s="152"/>
      <c r="K31" s="152"/>
      <c r="L31" s="152"/>
      <c r="M31" s="152"/>
      <c r="N31" s="152"/>
      <c r="O31" s="152"/>
      <c r="P31" s="152"/>
      <c r="Q31" s="152"/>
      <c r="R31" s="152"/>
      <c r="S31" s="152"/>
      <c r="T31" s="152"/>
      <c r="U31" s="152"/>
      <c r="V31" s="152"/>
      <c r="W31" s="152"/>
      <c r="X31" s="152"/>
      <c r="Y31" s="152"/>
    </row>
    <row r="32">
      <c r="A32" s="164" t="s">
        <v>5255</v>
      </c>
      <c r="B32" s="164" t="s">
        <v>5256</v>
      </c>
      <c r="C32" s="164" t="s">
        <v>5257</v>
      </c>
      <c r="D32" s="165">
        <v>45871.0</v>
      </c>
      <c r="E32" s="164" t="s">
        <v>5175</v>
      </c>
      <c r="F32" s="152"/>
      <c r="G32" s="152"/>
      <c r="H32" s="152"/>
      <c r="I32" s="152"/>
      <c r="J32" s="152"/>
      <c r="K32" s="152"/>
      <c r="L32" s="152"/>
      <c r="M32" s="152"/>
      <c r="N32" s="152"/>
      <c r="O32" s="152"/>
      <c r="P32" s="152"/>
      <c r="Q32" s="152"/>
      <c r="R32" s="152"/>
      <c r="S32" s="152"/>
      <c r="T32" s="152"/>
      <c r="U32" s="152"/>
      <c r="V32" s="152"/>
      <c r="W32" s="152"/>
      <c r="X32" s="152"/>
      <c r="Y32" s="152"/>
    </row>
    <row r="33">
      <c r="A33" s="144" t="s">
        <v>5258</v>
      </c>
      <c r="B33" s="144" t="s">
        <v>5259</v>
      </c>
      <c r="C33" s="144" t="s">
        <v>5260</v>
      </c>
      <c r="D33" s="163">
        <v>45874.0</v>
      </c>
      <c r="E33" s="144" t="s">
        <v>5175</v>
      </c>
      <c r="F33" s="152"/>
      <c r="G33" s="152"/>
      <c r="H33" s="152"/>
      <c r="I33" s="152"/>
      <c r="J33" s="152"/>
      <c r="K33" s="152"/>
      <c r="L33" s="152"/>
      <c r="M33" s="152"/>
      <c r="N33" s="152"/>
      <c r="O33" s="152"/>
      <c r="P33" s="152"/>
      <c r="Q33" s="152"/>
      <c r="R33" s="152"/>
      <c r="S33" s="152"/>
      <c r="T33" s="152"/>
      <c r="U33" s="152"/>
      <c r="V33" s="152"/>
      <c r="W33" s="152"/>
      <c r="X33" s="152"/>
      <c r="Y33" s="152"/>
    </row>
    <row r="34">
      <c r="A34" s="144" t="s">
        <v>5261</v>
      </c>
      <c r="B34" s="144" t="s">
        <v>5262</v>
      </c>
      <c r="C34" s="144" t="s">
        <v>5263</v>
      </c>
      <c r="D34" s="163">
        <v>45887.0</v>
      </c>
      <c r="E34" s="144" t="s">
        <v>5175</v>
      </c>
      <c r="F34" s="152"/>
      <c r="G34" s="152"/>
      <c r="H34" s="152"/>
      <c r="I34" s="152"/>
      <c r="J34" s="152"/>
      <c r="K34" s="152"/>
      <c r="L34" s="152"/>
      <c r="M34" s="152"/>
      <c r="N34" s="152"/>
      <c r="O34" s="152"/>
      <c r="P34" s="152"/>
      <c r="Q34" s="152"/>
      <c r="R34" s="152"/>
      <c r="S34" s="152"/>
      <c r="T34" s="152"/>
      <c r="U34" s="152"/>
      <c r="V34" s="152"/>
      <c r="W34" s="152"/>
      <c r="X34" s="152"/>
      <c r="Y34" s="152"/>
    </row>
    <row r="35">
      <c r="A35" s="144" t="s">
        <v>1717</v>
      </c>
      <c r="B35" s="144" t="s">
        <v>5247</v>
      </c>
      <c r="C35" s="144" t="s">
        <v>1716</v>
      </c>
      <c r="D35" s="163">
        <v>45890.0</v>
      </c>
      <c r="E35" s="144" t="s">
        <v>5175</v>
      </c>
      <c r="F35" s="152"/>
      <c r="G35" s="152"/>
      <c r="H35" s="152"/>
      <c r="I35" s="152"/>
      <c r="J35" s="152"/>
      <c r="K35" s="152"/>
      <c r="L35" s="152"/>
      <c r="M35" s="152"/>
      <c r="N35" s="152"/>
      <c r="O35" s="152"/>
      <c r="P35" s="152"/>
      <c r="Q35" s="152"/>
      <c r="R35" s="152"/>
      <c r="S35" s="152"/>
      <c r="T35" s="152"/>
      <c r="U35" s="152"/>
      <c r="V35" s="152"/>
      <c r="W35" s="152"/>
      <c r="X35" s="152"/>
      <c r="Y35" s="152"/>
    </row>
    <row r="36">
      <c r="A36" s="144" t="s">
        <v>5258</v>
      </c>
      <c r="B36" s="144" t="s">
        <v>5253</v>
      </c>
      <c r="C36" s="144" t="s">
        <v>5260</v>
      </c>
      <c r="D36" s="163">
        <v>45890.0</v>
      </c>
      <c r="E36" s="144" t="s">
        <v>5264</v>
      </c>
      <c r="F36" s="152"/>
      <c r="G36" s="152"/>
      <c r="H36" s="152"/>
      <c r="I36" s="152"/>
      <c r="J36" s="152"/>
      <c r="K36" s="152"/>
      <c r="L36" s="152"/>
      <c r="M36" s="152"/>
      <c r="N36" s="152"/>
      <c r="O36" s="152"/>
      <c r="P36" s="152"/>
      <c r="Q36" s="152"/>
      <c r="R36" s="152"/>
      <c r="S36" s="152"/>
      <c r="T36" s="152"/>
      <c r="U36" s="152"/>
      <c r="V36" s="152"/>
      <c r="W36" s="152"/>
      <c r="X36" s="152"/>
      <c r="Y36" s="152"/>
    </row>
    <row r="37">
      <c r="A37" s="144" t="s">
        <v>5258</v>
      </c>
      <c r="B37" s="144" t="s">
        <v>5253</v>
      </c>
      <c r="C37" s="144" t="s">
        <v>5260</v>
      </c>
      <c r="D37" s="163">
        <v>45890.0</v>
      </c>
      <c r="E37" s="144" t="s">
        <v>5265</v>
      </c>
      <c r="F37" s="152"/>
      <c r="G37" s="152"/>
      <c r="H37" s="152"/>
      <c r="I37" s="152"/>
      <c r="J37" s="152"/>
      <c r="K37" s="152"/>
      <c r="L37" s="152"/>
      <c r="M37" s="152"/>
      <c r="N37" s="152"/>
      <c r="O37" s="152"/>
      <c r="P37" s="152"/>
      <c r="Q37" s="152"/>
      <c r="R37" s="152"/>
      <c r="S37" s="152"/>
      <c r="T37" s="152"/>
      <c r="U37" s="152"/>
      <c r="V37" s="152"/>
      <c r="W37" s="152"/>
      <c r="X37" s="152"/>
      <c r="Y37" s="152"/>
    </row>
    <row r="38">
      <c r="A38" s="144" t="s">
        <v>5258</v>
      </c>
      <c r="B38" s="144" t="s">
        <v>5253</v>
      </c>
      <c r="C38" s="144" t="s">
        <v>5260</v>
      </c>
      <c r="D38" s="163">
        <v>45890.0</v>
      </c>
      <c r="E38" s="144" t="s">
        <v>5266</v>
      </c>
      <c r="F38" s="152"/>
      <c r="G38" s="152"/>
      <c r="H38" s="152"/>
      <c r="I38" s="152"/>
      <c r="J38" s="152"/>
      <c r="K38" s="152"/>
      <c r="L38" s="152"/>
      <c r="M38" s="152"/>
      <c r="N38" s="152"/>
      <c r="O38" s="152"/>
      <c r="P38" s="152"/>
      <c r="Q38" s="152"/>
      <c r="R38" s="152"/>
      <c r="S38" s="152"/>
      <c r="T38" s="152"/>
      <c r="U38" s="152"/>
      <c r="V38" s="152"/>
      <c r="W38" s="152"/>
      <c r="X38" s="152"/>
      <c r="Y38" s="152"/>
    </row>
    <row r="39">
      <c r="A39" s="144" t="s">
        <v>5258</v>
      </c>
      <c r="B39" s="144" t="s">
        <v>5253</v>
      </c>
      <c r="C39" s="144" t="s">
        <v>5260</v>
      </c>
      <c r="D39" s="163">
        <v>45890.0</v>
      </c>
      <c r="E39" s="144" t="s">
        <v>5267</v>
      </c>
      <c r="F39" s="152"/>
      <c r="G39" s="152"/>
      <c r="H39" s="152"/>
      <c r="I39" s="152"/>
      <c r="J39" s="152"/>
      <c r="K39" s="152"/>
      <c r="L39" s="152"/>
      <c r="M39" s="152"/>
      <c r="N39" s="152"/>
      <c r="O39" s="152"/>
      <c r="P39" s="152"/>
      <c r="Q39" s="152"/>
      <c r="R39" s="152"/>
      <c r="S39" s="152"/>
      <c r="T39" s="152"/>
      <c r="U39" s="152"/>
      <c r="V39" s="152"/>
      <c r="W39" s="152"/>
      <c r="X39" s="152"/>
      <c r="Y39" s="152"/>
    </row>
    <row r="40">
      <c r="A40" s="144" t="s">
        <v>5258</v>
      </c>
      <c r="B40" s="144" t="s">
        <v>5253</v>
      </c>
      <c r="C40" s="144" t="s">
        <v>5260</v>
      </c>
      <c r="D40" s="163">
        <v>45890.0</v>
      </c>
      <c r="E40" s="144" t="s">
        <v>5268</v>
      </c>
      <c r="F40" s="152"/>
      <c r="G40" s="152"/>
      <c r="H40" s="152"/>
      <c r="I40" s="152"/>
      <c r="J40" s="152"/>
      <c r="K40" s="152"/>
      <c r="L40" s="152"/>
      <c r="M40" s="152"/>
      <c r="N40" s="152"/>
      <c r="O40" s="152"/>
      <c r="P40" s="152"/>
      <c r="Q40" s="152"/>
      <c r="R40" s="152"/>
      <c r="S40" s="152"/>
      <c r="T40" s="152"/>
      <c r="U40" s="152"/>
      <c r="V40" s="152"/>
      <c r="W40" s="152"/>
      <c r="X40" s="152"/>
      <c r="Y40" s="152"/>
    </row>
    <row r="41">
      <c r="A41" s="144" t="s">
        <v>5269</v>
      </c>
      <c r="B41" s="144" t="s">
        <v>311</v>
      </c>
      <c r="C41" s="144" t="s">
        <v>5270</v>
      </c>
      <c r="D41" s="163">
        <v>45896.0</v>
      </c>
      <c r="E41" s="144" t="s">
        <v>5271</v>
      </c>
      <c r="F41" s="152"/>
      <c r="G41" s="152"/>
      <c r="H41" s="152"/>
      <c r="I41" s="152"/>
      <c r="J41" s="152"/>
      <c r="K41" s="152"/>
      <c r="L41" s="152"/>
      <c r="M41" s="152"/>
      <c r="N41" s="152"/>
      <c r="O41" s="152"/>
      <c r="P41" s="152"/>
      <c r="Q41" s="152"/>
      <c r="R41" s="152"/>
      <c r="S41" s="152"/>
      <c r="T41" s="152"/>
      <c r="U41" s="152"/>
      <c r="V41" s="152"/>
      <c r="W41" s="152"/>
      <c r="X41" s="152"/>
      <c r="Y41" s="152"/>
    </row>
    <row r="42">
      <c r="A42" s="144" t="s">
        <v>5272</v>
      </c>
      <c r="B42" s="144" t="s">
        <v>5273</v>
      </c>
      <c r="C42" s="144" t="s">
        <v>5274</v>
      </c>
      <c r="D42" s="163">
        <v>45904.0</v>
      </c>
      <c r="E42" s="144" t="s">
        <v>5175</v>
      </c>
      <c r="F42" s="152"/>
      <c r="G42" s="152"/>
      <c r="H42" s="152"/>
      <c r="I42" s="152"/>
      <c r="J42" s="152"/>
      <c r="K42" s="152"/>
      <c r="L42" s="152"/>
      <c r="M42" s="152"/>
      <c r="N42" s="152"/>
      <c r="O42" s="152"/>
      <c r="P42" s="152"/>
      <c r="Q42" s="152"/>
      <c r="R42" s="152"/>
      <c r="S42" s="152"/>
      <c r="T42" s="152"/>
      <c r="U42" s="152"/>
      <c r="V42" s="152"/>
      <c r="W42" s="152"/>
      <c r="X42" s="152"/>
      <c r="Y42" s="152"/>
    </row>
    <row r="43">
      <c r="A43" s="144" t="s">
        <v>5275</v>
      </c>
      <c r="B43" s="144" t="s">
        <v>5276</v>
      </c>
      <c r="C43" s="144" t="s">
        <v>5277</v>
      </c>
      <c r="D43" s="163">
        <v>45917.0</v>
      </c>
      <c r="E43" s="144" t="s">
        <v>5175</v>
      </c>
      <c r="F43" s="152"/>
      <c r="G43" s="152"/>
      <c r="H43" s="152"/>
      <c r="I43" s="152"/>
      <c r="J43" s="152"/>
      <c r="K43" s="152"/>
      <c r="L43" s="152"/>
      <c r="M43" s="152"/>
      <c r="N43" s="152"/>
      <c r="O43" s="152"/>
      <c r="P43" s="152"/>
      <c r="Q43" s="152"/>
      <c r="R43" s="152"/>
      <c r="S43" s="152"/>
      <c r="T43" s="152"/>
      <c r="U43" s="152"/>
      <c r="V43" s="152"/>
      <c r="W43" s="152"/>
      <c r="X43" s="152"/>
      <c r="Y43" s="152"/>
    </row>
    <row r="44">
      <c r="A44" s="144" t="s">
        <v>5278</v>
      </c>
      <c r="B44" s="144" t="s">
        <v>5279</v>
      </c>
      <c r="C44" s="144" t="s">
        <v>4029</v>
      </c>
      <c r="D44" s="163">
        <v>45922.0</v>
      </c>
      <c r="E44" s="144" t="s">
        <v>5175</v>
      </c>
      <c r="F44" s="152"/>
      <c r="G44" s="152"/>
      <c r="H44" s="152"/>
      <c r="I44" s="152"/>
      <c r="J44" s="152"/>
      <c r="K44" s="152"/>
      <c r="L44" s="152"/>
      <c r="M44" s="152"/>
      <c r="N44" s="152"/>
      <c r="O44" s="152"/>
      <c r="P44" s="152"/>
      <c r="Q44" s="152"/>
      <c r="R44" s="152"/>
      <c r="S44" s="152"/>
      <c r="T44" s="152"/>
      <c r="U44" s="152"/>
      <c r="V44" s="152"/>
      <c r="W44" s="152"/>
      <c r="X44" s="152"/>
      <c r="Y44" s="152"/>
    </row>
    <row r="45">
      <c r="A45" s="152"/>
      <c r="B45" s="152"/>
      <c r="C45" s="152"/>
      <c r="D45" s="152"/>
      <c r="E45" s="152"/>
      <c r="F45" s="152"/>
      <c r="G45" s="152"/>
      <c r="H45" s="152"/>
      <c r="I45" s="152"/>
      <c r="J45" s="152"/>
      <c r="K45" s="152"/>
      <c r="L45" s="152"/>
      <c r="M45" s="152"/>
      <c r="N45" s="152"/>
      <c r="O45" s="152"/>
      <c r="P45" s="152"/>
      <c r="Q45" s="152"/>
      <c r="R45" s="152"/>
      <c r="S45" s="152"/>
      <c r="T45" s="152"/>
      <c r="U45" s="152"/>
      <c r="V45" s="152"/>
      <c r="W45" s="152"/>
      <c r="X45" s="152"/>
      <c r="Y45" s="152"/>
    </row>
    <row r="46">
      <c r="A46" s="152"/>
      <c r="B46" s="152"/>
      <c r="C46" s="152"/>
      <c r="D46" s="152"/>
      <c r="E46" s="152"/>
      <c r="F46" s="152"/>
      <c r="G46" s="152"/>
      <c r="H46" s="152"/>
      <c r="I46" s="152"/>
      <c r="J46" s="152"/>
      <c r="K46" s="152"/>
      <c r="L46" s="152"/>
      <c r="M46" s="152"/>
      <c r="N46" s="152"/>
      <c r="O46" s="152"/>
      <c r="P46" s="152"/>
      <c r="Q46" s="152"/>
      <c r="R46" s="152"/>
      <c r="S46" s="152"/>
      <c r="T46" s="152"/>
      <c r="U46" s="152"/>
      <c r="V46" s="152"/>
      <c r="W46" s="152"/>
      <c r="X46" s="152"/>
      <c r="Y46" s="152"/>
    </row>
    <row r="47">
      <c r="A47" s="152"/>
      <c r="B47" s="152"/>
      <c r="C47" s="152"/>
      <c r="D47" s="152"/>
      <c r="E47" s="152"/>
      <c r="F47" s="152"/>
      <c r="G47" s="152"/>
      <c r="H47" s="152"/>
      <c r="I47" s="152"/>
      <c r="J47" s="152"/>
      <c r="K47" s="152"/>
      <c r="L47" s="152"/>
      <c r="M47" s="152"/>
      <c r="N47" s="152"/>
      <c r="O47" s="152"/>
      <c r="P47" s="152"/>
      <c r="Q47" s="152"/>
      <c r="R47" s="152"/>
      <c r="S47" s="152"/>
      <c r="T47" s="152"/>
      <c r="U47" s="152"/>
      <c r="V47" s="152"/>
      <c r="W47" s="152"/>
      <c r="X47" s="152"/>
      <c r="Y47" s="152"/>
    </row>
    <row r="48">
      <c r="A48" s="152"/>
      <c r="B48" s="152"/>
      <c r="C48" s="152"/>
      <c r="D48" s="152"/>
      <c r="E48" s="152"/>
      <c r="F48" s="152"/>
      <c r="G48" s="152"/>
      <c r="H48" s="152"/>
      <c r="I48" s="152"/>
      <c r="J48" s="152"/>
      <c r="K48" s="152"/>
      <c r="L48" s="152"/>
      <c r="M48" s="152"/>
      <c r="N48" s="152"/>
      <c r="O48" s="152"/>
      <c r="P48" s="152"/>
      <c r="Q48" s="152"/>
      <c r="R48" s="152"/>
      <c r="S48" s="152"/>
      <c r="T48" s="152"/>
      <c r="U48" s="152"/>
      <c r="V48" s="152"/>
      <c r="W48" s="152"/>
      <c r="X48" s="152"/>
      <c r="Y48" s="152"/>
    </row>
    <row r="49">
      <c r="A49" s="152"/>
      <c r="B49" s="152"/>
      <c r="C49" s="152"/>
      <c r="D49" s="152"/>
      <c r="E49" s="152"/>
      <c r="F49" s="152"/>
      <c r="G49" s="152"/>
      <c r="H49" s="152"/>
      <c r="I49" s="152"/>
      <c r="J49" s="152"/>
      <c r="K49" s="152"/>
      <c r="L49" s="152"/>
      <c r="M49" s="152"/>
      <c r="N49" s="152"/>
      <c r="O49" s="152"/>
      <c r="P49" s="152"/>
      <c r="Q49" s="152"/>
      <c r="R49" s="152"/>
      <c r="S49" s="152"/>
      <c r="T49" s="152"/>
      <c r="U49" s="152"/>
      <c r="V49" s="152"/>
      <c r="W49" s="152"/>
      <c r="X49" s="152"/>
      <c r="Y49" s="152"/>
    </row>
    <row r="50">
      <c r="A50" s="152"/>
      <c r="B50" s="152"/>
      <c r="C50" s="152"/>
      <c r="D50" s="152"/>
      <c r="E50" s="152"/>
      <c r="F50" s="152"/>
      <c r="G50" s="152"/>
      <c r="H50" s="152"/>
      <c r="I50" s="152"/>
      <c r="J50" s="152"/>
      <c r="K50" s="152"/>
      <c r="L50" s="152"/>
      <c r="M50" s="152"/>
      <c r="N50" s="152"/>
      <c r="O50" s="152"/>
      <c r="P50" s="152"/>
      <c r="Q50" s="152"/>
      <c r="R50" s="152"/>
      <c r="S50" s="152"/>
      <c r="T50" s="152"/>
      <c r="U50" s="152"/>
      <c r="V50" s="152"/>
      <c r="W50" s="152"/>
      <c r="X50" s="152"/>
      <c r="Y50" s="152"/>
    </row>
    <row r="51">
      <c r="A51" s="152"/>
      <c r="B51" s="152"/>
      <c r="C51" s="152"/>
      <c r="D51" s="152"/>
      <c r="E51" s="152"/>
      <c r="F51" s="152"/>
      <c r="G51" s="152"/>
      <c r="H51" s="152"/>
      <c r="I51" s="152"/>
      <c r="J51" s="152"/>
      <c r="K51" s="152"/>
      <c r="L51" s="152"/>
      <c r="M51" s="152"/>
      <c r="N51" s="152"/>
      <c r="O51" s="152"/>
      <c r="P51" s="152"/>
      <c r="Q51" s="152"/>
      <c r="R51" s="152"/>
      <c r="S51" s="152"/>
      <c r="T51" s="152"/>
      <c r="U51" s="152"/>
      <c r="V51" s="152"/>
      <c r="W51" s="152"/>
      <c r="X51" s="152"/>
      <c r="Y51" s="152"/>
    </row>
    <row r="52">
      <c r="A52" s="152"/>
      <c r="B52" s="152"/>
      <c r="C52" s="152"/>
      <c r="D52" s="152"/>
      <c r="E52" s="152"/>
      <c r="F52" s="152"/>
      <c r="G52" s="152"/>
      <c r="H52" s="152"/>
      <c r="I52" s="152"/>
      <c r="J52" s="152"/>
      <c r="K52" s="152"/>
      <c r="L52" s="152"/>
      <c r="M52" s="152"/>
      <c r="N52" s="152"/>
      <c r="O52" s="152"/>
      <c r="P52" s="152"/>
      <c r="Q52" s="152"/>
      <c r="R52" s="152"/>
      <c r="S52" s="152"/>
      <c r="T52" s="152"/>
      <c r="U52" s="152"/>
      <c r="V52" s="152"/>
      <c r="W52" s="152"/>
      <c r="X52" s="152"/>
      <c r="Y52" s="152"/>
    </row>
    <row r="53">
      <c r="A53" s="152"/>
      <c r="B53" s="152"/>
      <c r="C53" s="152"/>
      <c r="D53" s="152"/>
      <c r="E53" s="152"/>
      <c r="F53" s="152"/>
      <c r="G53" s="152"/>
      <c r="H53" s="152"/>
      <c r="I53" s="152"/>
      <c r="J53" s="152"/>
      <c r="K53" s="152"/>
      <c r="L53" s="152"/>
      <c r="M53" s="152"/>
      <c r="N53" s="152"/>
      <c r="O53" s="152"/>
      <c r="P53" s="152"/>
      <c r="Q53" s="152"/>
      <c r="R53" s="152"/>
      <c r="S53" s="152"/>
      <c r="T53" s="152"/>
      <c r="U53" s="152"/>
      <c r="V53" s="152"/>
      <c r="W53" s="152"/>
      <c r="X53" s="152"/>
      <c r="Y53" s="152"/>
    </row>
    <row r="54">
      <c r="A54" s="152"/>
      <c r="B54" s="152"/>
      <c r="C54" s="152"/>
      <c r="D54" s="152"/>
      <c r="E54" s="152"/>
      <c r="F54" s="152"/>
      <c r="G54" s="152"/>
      <c r="H54" s="152"/>
      <c r="I54" s="152"/>
      <c r="J54" s="152"/>
      <c r="K54" s="152"/>
      <c r="L54" s="152"/>
      <c r="M54" s="152"/>
      <c r="N54" s="152"/>
      <c r="O54" s="152"/>
      <c r="P54" s="152"/>
      <c r="Q54" s="152"/>
      <c r="R54" s="152"/>
      <c r="S54" s="152"/>
      <c r="T54" s="152"/>
      <c r="U54" s="152"/>
      <c r="V54" s="152"/>
      <c r="W54" s="152"/>
      <c r="X54" s="152"/>
      <c r="Y54" s="152"/>
    </row>
    <row r="55">
      <c r="A55" s="152"/>
      <c r="B55" s="152"/>
      <c r="C55" s="152"/>
      <c r="D55" s="152"/>
      <c r="E55" s="152"/>
      <c r="F55" s="152"/>
      <c r="G55" s="152"/>
      <c r="H55" s="152"/>
      <c r="I55" s="152"/>
      <c r="J55" s="152"/>
      <c r="K55" s="152"/>
      <c r="L55" s="152"/>
      <c r="M55" s="152"/>
      <c r="N55" s="152"/>
      <c r="O55" s="152"/>
      <c r="P55" s="152"/>
      <c r="Q55" s="152"/>
      <c r="R55" s="152"/>
      <c r="S55" s="152"/>
      <c r="T55" s="152"/>
      <c r="U55" s="152"/>
      <c r="V55" s="152"/>
      <c r="W55" s="152"/>
      <c r="X55" s="152"/>
      <c r="Y55" s="152"/>
    </row>
    <row r="56">
      <c r="A56" s="152"/>
      <c r="B56" s="152"/>
      <c r="C56" s="152"/>
      <c r="D56" s="152"/>
      <c r="E56" s="152"/>
      <c r="F56" s="152"/>
      <c r="G56" s="152"/>
      <c r="H56" s="152"/>
      <c r="I56" s="152"/>
      <c r="J56" s="152"/>
      <c r="K56" s="152"/>
      <c r="L56" s="152"/>
      <c r="M56" s="152"/>
      <c r="N56" s="152"/>
      <c r="O56" s="152"/>
      <c r="P56" s="152"/>
      <c r="Q56" s="152"/>
      <c r="R56" s="152"/>
      <c r="S56" s="152"/>
      <c r="T56" s="152"/>
      <c r="U56" s="152"/>
      <c r="V56" s="152"/>
      <c r="W56" s="152"/>
      <c r="X56" s="152"/>
      <c r="Y56" s="152"/>
    </row>
    <row r="57">
      <c r="A57" s="152"/>
      <c r="B57" s="152"/>
      <c r="C57" s="152"/>
      <c r="D57" s="152"/>
      <c r="E57" s="152"/>
      <c r="F57" s="152"/>
      <c r="G57" s="152"/>
      <c r="H57" s="152"/>
      <c r="I57" s="152"/>
      <c r="J57" s="152"/>
      <c r="K57" s="152"/>
      <c r="L57" s="152"/>
      <c r="M57" s="152"/>
      <c r="N57" s="152"/>
      <c r="O57" s="152"/>
      <c r="P57" s="152"/>
      <c r="Q57" s="152"/>
      <c r="R57" s="152"/>
      <c r="S57" s="152"/>
      <c r="T57" s="152"/>
      <c r="U57" s="152"/>
      <c r="V57" s="152"/>
      <c r="W57" s="152"/>
      <c r="X57" s="152"/>
      <c r="Y57" s="152"/>
    </row>
    <row r="58">
      <c r="A58" s="152"/>
      <c r="B58" s="152"/>
      <c r="C58" s="152"/>
      <c r="D58" s="152"/>
      <c r="E58" s="152"/>
      <c r="F58" s="152"/>
      <c r="G58" s="152"/>
      <c r="H58" s="152"/>
      <c r="I58" s="152"/>
      <c r="J58" s="152"/>
      <c r="K58" s="152"/>
      <c r="L58" s="152"/>
      <c r="M58" s="152"/>
      <c r="N58" s="152"/>
      <c r="O58" s="152"/>
      <c r="P58" s="152"/>
      <c r="Q58" s="152"/>
      <c r="R58" s="152"/>
      <c r="S58" s="152"/>
      <c r="T58" s="152"/>
      <c r="U58" s="152"/>
      <c r="V58" s="152"/>
      <c r="W58" s="152"/>
      <c r="X58" s="152"/>
      <c r="Y58" s="152"/>
    </row>
    <row r="59">
      <c r="A59" s="152"/>
      <c r="B59" s="152"/>
      <c r="C59" s="152"/>
      <c r="D59" s="152"/>
      <c r="E59" s="152"/>
      <c r="F59" s="152"/>
      <c r="G59" s="152"/>
      <c r="H59" s="152"/>
      <c r="I59" s="152"/>
      <c r="J59" s="152"/>
      <c r="K59" s="152"/>
      <c r="L59" s="152"/>
      <c r="M59" s="152"/>
      <c r="N59" s="152"/>
      <c r="O59" s="152"/>
      <c r="P59" s="152"/>
      <c r="Q59" s="152"/>
      <c r="R59" s="152"/>
      <c r="S59" s="152"/>
      <c r="T59" s="152"/>
      <c r="U59" s="152"/>
      <c r="V59" s="152"/>
      <c r="W59" s="152"/>
      <c r="X59" s="152"/>
      <c r="Y59" s="152"/>
    </row>
    <row r="60">
      <c r="A60" s="152"/>
      <c r="B60" s="152"/>
      <c r="C60" s="152"/>
      <c r="D60" s="152"/>
      <c r="E60" s="152"/>
      <c r="F60" s="152"/>
      <c r="G60" s="152"/>
      <c r="H60" s="152"/>
      <c r="I60" s="152"/>
      <c r="J60" s="152"/>
      <c r="K60" s="152"/>
      <c r="L60" s="152"/>
      <c r="M60" s="152"/>
      <c r="N60" s="152"/>
      <c r="O60" s="152"/>
      <c r="P60" s="152"/>
      <c r="Q60" s="152"/>
      <c r="R60" s="152"/>
      <c r="S60" s="152"/>
      <c r="T60" s="152"/>
      <c r="U60" s="152"/>
      <c r="V60" s="152"/>
      <c r="W60" s="152"/>
      <c r="X60" s="152"/>
      <c r="Y60" s="152"/>
    </row>
    <row r="61">
      <c r="A61" s="152"/>
      <c r="B61" s="152"/>
      <c r="C61" s="152"/>
      <c r="D61" s="152"/>
      <c r="E61" s="152"/>
      <c r="F61" s="152"/>
      <c r="G61" s="152"/>
      <c r="H61" s="152"/>
      <c r="I61" s="152"/>
      <c r="J61" s="152"/>
      <c r="K61" s="152"/>
      <c r="L61" s="152"/>
      <c r="M61" s="152"/>
      <c r="N61" s="152"/>
      <c r="O61" s="152"/>
      <c r="P61" s="152"/>
      <c r="Q61" s="152"/>
      <c r="R61" s="152"/>
      <c r="S61" s="152"/>
      <c r="T61" s="152"/>
      <c r="U61" s="152"/>
      <c r="V61" s="152"/>
      <c r="W61" s="152"/>
      <c r="X61" s="152"/>
      <c r="Y61" s="152"/>
    </row>
    <row r="62">
      <c r="A62" s="152"/>
      <c r="B62" s="152"/>
      <c r="C62" s="152"/>
      <c r="D62" s="152"/>
      <c r="E62" s="152"/>
      <c r="F62" s="152"/>
      <c r="G62" s="152"/>
      <c r="H62" s="152"/>
      <c r="I62" s="152"/>
      <c r="J62" s="152"/>
      <c r="K62" s="152"/>
      <c r="L62" s="152"/>
      <c r="M62" s="152"/>
      <c r="N62" s="152"/>
      <c r="O62" s="152"/>
      <c r="P62" s="152"/>
      <c r="Q62" s="152"/>
      <c r="R62" s="152"/>
      <c r="S62" s="152"/>
      <c r="T62" s="152"/>
      <c r="U62" s="152"/>
      <c r="V62" s="152"/>
      <c r="W62" s="152"/>
      <c r="X62" s="152"/>
      <c r="Y62" s="152"/>
    </row>
    <row r="63">
      <c r="A63" s="152"/>
      <c r="B63" s="152"/>
      <c r="C63" s="152"/>
      <c r="D63" s="152"/>
      <c r="E63" s="152"/>
      <c r="F63" s="152"/>
      <c r="G63" s="152"/>
      <c r="H63" s="152"/>
      <c r="I63" s="152"/>
      <c r="J63" s="152"/>
      <c r="K63" s="152"/>
      <c r="L63" s="152"/>
      <c r="M63" s="152"/>
      <c r="N63" s="152"/>
      <c r="O63" s="152"/>
      <c r="P63" s="152"/>
      <c r="Q63" s="152"/>
      <c r="R63" s="152"/>
      <c r="S63" s="152"/>
      <c r="T63" s="152"/>
      <c r="U63" s="152"/>
      <c r="V63" s="152"/>
      <c r="W63" s="152"/>
      <c r="X63" s="152"/>
      <c r="Y63" s="152"/>
    </row>
    <row r="64">
      <c r="A64" s="152"/>
      <c r="B64" s="152"/>
      <c r="C64" s="152"/>
      <c r="D64" s="152"/>
      <c r="E64" s="152"/>
      <c r="F64" s="152"/>
      <c r="G64" s="152"/>
      <c r="H64" s="152"/>
      <c r="I64" s="152"/>
      <c r="J64" s="152"/>
      <c r="K64" s="152"/>
      <c r="L64" s="152"/>
      <c r="M64" s="152"/>
      <c r="N64" s="152"/>
      <c r="O64" s="152"/>
      <c r="P64" s="152"/>
      <c r="Q64" s="152"/>
      <c r="R64" s="152"/>
      <c r="S64" s="152"/>
      <c r="T64" s="152"/>
      <c r="U64" s="152"/>
      <c r="V64" s="152"/>
      <c r="W64" s="152"/>
      <c r="X64" s="152"/>
      <c r="Y64" s="152"/>
    </row>
    <row r="65">
      <c r="A65" s="152"/>
      <c r="B65" s="152"/>
      <c r="C65" s="152"/>
      <c r="D65" s="152"/>
      <c r="E65" s="152"/>
      <c r="F65" s="152"/>
      <c r="G65" s="152"/>
      <c r="H65" s="152"/>
      <c r="I65" s="152"/>
      <c r="J65" s="152"/>
      <c r="K65" s="152"/>
      <c r="L65" s="152"/>
      <c r="M65" s="152"/>
      <c r="N65" s="152"/>
      <c r="O65" s="152"/>
      <c r="P65" s="152"/>
      <c r="Q65" s="152"/>
      <c r="R65" s="152"/>
      <c r="S65" s="152"/>
      <c r="T65" s="152"/>
      <c r="U65" s="152"/>
      <c r="V65" s="152"/>
      <c r="W65" s="152"/>
      <c r="X65" s="152"/>
      <c r="Y65" s="152"/>
    </row>
    <row r="66">
      <c r="A66" s="152"/>
      <c r="B66" s="152"/>
      <c r="C66" s="152"/>
      <c r="D66" s="152"/>
      <c r="E66" s="152"/>
      <c r="F66" s="152"/>
      <c r="G66" s="152"/>
      <c r="H66" s="152"/>
      <c r="I66" s="152"/>
      <c r="J66" s="152"/>
      <c r="K66" s="152"/>
      <c r="L66" s="152"/>
      <c r="M66" s="152"/>
      <c r="N66" s="152"/>
      <c r="O66" s="152"/>
      <c r="P66" s="152"/>
      <c r="Q66" s="152"/>
      <c r="R66" s="152"/>
      <c r="S66" s="152"/>
      <c r="T66" s="152"/>
      <c r="U66" s="152"/>
      <c r="V66" s="152"/>
      <c r="W66" s="152"/>
      <c r="X66" s="152"/>
      <c r="Y66" s="152"/>
    </row>
    <row r="67">
      <c r="A67" s="152"/>
      <c r="B67" s="152"/>
      <c r="C67" s="152"/>
      <c r="D67" s="152"/>
      <c r="E67" s="152"/>
      <c r="F67" s="152"/>
      <c r="G67" s="152"/>
      <c r="H67" s="152"/>
      <c r="I67" s="152"/>
      <c r="J67" s="152"/>
      <c r="K67" s="152"/>
      <c r="L67" s="152"/>
      <c r="M67" s="152"/>
      <c r="N67" s="152"/>
      <c r="O67" s="152"/>
      <c r="P67" s="152"/>
      <c r="Q67" s="152"/>
      <c r="R67" s="152"/>
      <c r="S67" s="152"/>
      <c r="T67" s="152"/>
      <c r="U67" s="152"/>
      <c r="V67" s="152"/>
      <c r="W67" s="152"/>
      <c r="X67" s="152"/>
      <c r="Y67" s="152"/>
    </row>
    <row r="68">
      <c r="A68" s="152"/>
      <c r="B68" s="152"/>
      <c r="C68" s="152"/>
      <c r="D68" s="152"/>
      <c r="E68" s="152"/>
      <c r="F68" s="152"/>
      <c r="G68" s="152"/>
      <c r="H68" s="152"/>
      <c r="I68" s="152"/>
      <c r="J68" s="152"/>
      <c r="K68" s="152"/>
      <c r="L68" s="152"/>
      <c r="M68" s="152"/>
      <c r="N68" s="152"/>
      <c r="O68" s="152"/>
      <c r="P68" s="152"/>
      <c r="Q68" s="152"/>
      <c r="R68" s="152"/>
      <c r="S68" s="152"/>
      <c r="T68" s="152"/>
      <c r="U68" s="152"/>
      <c r="V68" s="152"/>
      <c r="W68" s="152"/>
      <c r="X68" s="152"/>
      <c r="Y68" s="152"/>
    </row>
    <row r="69">
      <c r="A69" s="152"/>
      <c r="B69" s="152"/>
      <c r="C69" s="152"/>
      <c r="D69" s="152"/>
      <c r="E69" s="152"/>
      <c r="F69" s="152"/>
      <c r="G69" s="152"/>
      <c r="H69" s="152"/>
      <c r="I69" s="152"/>
      <c r="J69" s="152"/>
      <c r="K69" s="152"/>
      <c r="L69" s="152"/>
      <c r="M69" s="152"/>
      <c r="N69" s="152"/>
      <c r="O69" s="152"/>
      <c r="P69" s="152"/>
      <c r="Q69" s="152"/>
      <c r="R69" s="152"/>
      <c r="S69" s="152"/>
      <c r="T69" s="152"/>
      <c r="U69" s="152"/>
      <c r="V69" s="152"/>
      <c r="W69" s="152"/>
      <c r="X69" s="152"/>
      <c r="Y69" s="152"/>
    </row>
    <row r="70">
      <c r="A70" s="152"/>
      <c r="B70" s="152"/>
      <c r="C70" s="152"/>
      <c r="D70" s="152"/>
      <c r="E70" s="152"/>
      <c r="F70" s="152"/>
      <c r="G70" s="152"/>
      <c r="H70" s="152"/>
      <c r="I70" s="152"/>
      <c r="J70" s="152"/>
      <c r="K70" s="152"/>
      <c r="L70" s="152"/>
      <c r="M70" s="152"/>
      <c r="N70" s="152"/>
      <c r="O70" s="152"/>
      <c r="P70" s="152"/>
      <c r="Q70" s="152"/>
      <c r="R70" s="152"/>
      <c r="S70" s="152"/>
      <c r="T70" s="152"/>
      <c r="U70" s="152"/>
      <c r="V70" s="152"/>
      <c r="W70" s="152"/>
      <c r="X70" s="152"/>
      <c r="Y70" s="152"/>
    </row>
    <row r="71">
      <c r="A71" s="152"/>
      <c r="B71" s="152"/>
      <c r="C71" s="152"/>
      <c r="D71" s="152"/>
      <c r="E71" s="152"/>
      <c r="F71" s="152"/>
      <c r="G71" s="152"/>
      <c r="H71" s="152"/>
      <c r="I71" s="152"/>
      <c r="J71" s="152"/>
      <c r="K71" s="152"/>
      <c r="L71" s="152"/>
      <c r="M71" s="152"/>
      <c r="N71" s="152"/>
      <c r="O71" s="152"/>
      <c r="P71" s="152"/>
      <c r="Q71" s="152"/>
      <c r="R71" s="152"/>
      <c r="S71" s="152"/>
      <c r="T71" s="152"/>
      <c r="U71" s="152"/>
      <c r="V71" s="152"/>
      <c r="W71" s="152"/>
      <c r="X71" s="152"/>
      <c r="Y71" s="152"/>
    </row>
    <row r="72">
      <c r="A72" s="152"/>
      <c r="B72" s="152"/>
      <c r="C72" s="152"/>
      <c r="D72" s="152"/>
      <c r="E72" s="152"/>
      <c r="F72" s="152"/>
      <c r="G72" s="152"/>
      <c r="H72" s="152"/>
      <c r="I72" s="152"/>
      <c r="J72" s="152"/>
      <c r="K72" s="152"/>
      <c r="L72" s="152"/>
      <c r="M72" s="152"/>
      <c r="N72" s="152"/>
      <c r="O72" s="152"/>
      <c r="P72" s="152"/>
      <c r="Q72" s="152"/>
      <c r="R72" s="152"/>
      <c r="S72" s="152"/>
      <c r="T72" s="152"/>
      <c r="U72" s="152"/>
      <c r="V72" s="152"/>
      <c r="W72" s="152"/>
      <c r="X72" s="152"/>
      <c r="Y72" s="152"/>
    </row>
    <row r="73">
      <c r="A73" s="152"/>
      <c r="B73" s="152"/>
      <c r="C73" s="152"/>
      <c r="D73" s="152"/>
      <c r="E73" s="152"/>
      <c r="F73" s="152"/>
      <c r="G73" s="152"/>
      <c r="H73" s="152"/>
      <c r="I73" s="152"/>
      <c r="J73" s="152"/>
      <c r="K73" s="152"/>
      <c r="L73" s="152"/>
      <c r="M73" s="152"/>
      <c r="N73" s="152"/>
      <c r="O73" s="152"/>
      <c r="P73" s="152"/>
      <c r="Q73" s="152"/>
      <c r="R73" s="152"/>
      <c r="S73" s="152"/>
      <c r="T73" s="152"/>
      <c r="U73" s="152"/>
      <c r="V73" s="152"/>
      <c r="W73" s="152"/>
      <c r="X73" s="152"/>
      <c r="Y73" s="152"/>
    </row>
    <row r="74">
      <c r="A74" s="152"/>
      <c r="B74" s="152"/>
      <c r="C74" s="152"/>
      <c r="D74" s="152"/>
      <c r="E74" s="152"/>
      <c r="F74" s="152"/>
      <c r="G74" s="152"/>
      <c r="H74" s="152"/>
      <c r="I74" s="152"/>
      <c r="J74" s="152"/>
      <c r="K74" s="152"/>
      <c r="L74" s="152"/>
      <c r="M74" s="152"/>
      <c r="N74" s="152"/>
      <c r="O74" s="152"/>
      <c r="P74" s="152"/>
      <c r="Q74" s="152"/>
      <c r="R74" s="152"/>
      <c r="S74" s="152"/>
      <c r="T74" s="152"/>
      <c r="U74" s="152"/>
      <c r="V74" s="152"/>
      <c r="W74" s="152"/>
      <c r="X74" s="152"/>
      <c r="Y74" s="152"/>
    </row>
    <row r="75">
      <c r="A75" s="152"/>
      <c r="B75" s="152"/>
      <c r="C75" s="152"/>
      <c r="D75" s="152"/>
      <c r="E75" s="152"/>
      <c r="F75" s="152"/>
      <c r="G75" s="152"/>
      <c r="H75" s="152"/>
      <c r="I75" s="152"/>
      <c r="J75" s="152"/>
      <c r="K75" s="152"/>
      <c r="L75" s="152"/>
      <c r="M75" s="152"/>
      <c r="N75" s="152"/>
      <c r="O75" s="152"/>
      <c r="P75" s="152"/>
      <c r="Q75" s="152"/>
      <c r="R75" s="152"/>
      <c r="S75" s="152"/>
      <c r="T75" s="152"/>
      <c r="U75" s="152"/>
      <c r="V75" s="152"/>
      <c r="W75" s="152"/>
      <c r="X75" s="152"/>
      <c r="Y75" s="152"/>
    </row>
    <row r="76">
      <c r="A76" s="152"/>
      <c r="B76" s="152"/>
      <c r="C76" s="152"/>
      <c r="D76" s="152"/>
      <c r="E76" s="152"/>
      <c r="F76" s="152"/>
      <c r="G76" s="152"/>
      <c r="H76" s="152"/>
      <c r="I76" s="152"/>
      <c r="J76" s="152"/>
      <c r="K76" s="152"/>
      <c r="L76" s="152"/>
      <c r="M76" s="152"/>
      <c r="N76" s="152"/>
      <c r="O76" s="152"/>
      <c r="P76" s="152"/>
      <c r="Q76" s="152"/>
      <c r="R76" s="152"/>
      <c r="S76" s="152"/>
      <c r="T76" s="152"/>
      <c r="U76" s="152"/>
      <c r="V76" s="152"/>
      <c r="W76" s="152"/>
      <c r="X76" s="152"/>
      <c r="Y76" s="152"/>
    </row>
    <row r="77">
      <c r="A77" s="152"/>
      <c r="B77" s="152"/>
      <c r="C77" s="152"/>
      <c r="D77" s="152"/>
      <c r="E77" s="152"/>
      <c r="F77" s="152"/>
      <c r="G77" s="152"/>
      <c r="H77" s="152"/>
      <c r="I77" s="152"/>
      <c r="J77" s="152"/>
      <c r="K77" s="152"/>
      <c r="L77" s="152"/>
      <c r="M77" s="152"/>
      <c r="N77" s="152"/>
      <c r="O77" s="152"/>
      <c r="P77" s="152"/>
      <c r="Q77" s="152"/>
      <c r="R77" s="152"/>
      <c r="S77" s="152"/>
      <c r="T77" s="152"/>
      <c r="U77" s="152"/>
      <c r="V77" s="152"/>
      <c r="W77" s="152"/>
      <c r="X77" s="152"/>
      <c r="Y77" s="152"/>
    </row>
    <row r="78">
      <c r="A78" s="152"/>
      <c r="B78" s="152"/>
      <c r="C78" s="152"/>
      <c r="D78" s="152"/>
      <c r="E78" s="152"/>
      <c r="F78" s="152"/>
      <c r="G78" s="152"/>
      <c r="H78" s="152"/>
      <c r="I78" s="152"/>
      <c r="J78" s="152"/>
      <c r="K78" s="152"/>
      <c r="L78" s="152"/>
      <c r="M78" s="152"/>
      <c r="N78" s="152"/>
      <c r="O78" s="152"/>
      <c r="P78" s="152"/>
      <c r="Q78" s="152"/>
      <c r="R78" s="152"/>
      <c r="S78" s="152"/>
      <c r="T78" s="152"/>
      <c r="U78" s="152"/>
      <c r="V78" s="152"/>
      <c r="W78" s="152"/>
      <c r="X78" s="152"/>
      <c r="Y78" s="152"/>
    </row>
    <row r="79">
      <c r="A79" s="152"/>
      <c r="B79" s="152"/>
      <c r="C79" s="152"/>
      <c r="D79" s="152"/>
      <c r="E79" s="152"/>
      <c r="F79" s="152"/>
      <c r="G79" s="152"/>
      <c r="H79" s="152"/>
      <c r="I79" s="152"/>
      <c r="J79" s="152"/>
      <c r="K79" s="152"/>
      <c r="L79" s="152"/>
      <c r="M79" s="152"/>
      <c r="N79" s="152"/>
      <c r="O79" s="152"/>
      <c r="P79" s="152"/>
      <c r="Q79" s="152"/>
      <c r="R79" s="152"/>
      <c r="S79" s="152"/>
      <c r="T79" s="152"/>
      <c r="U79" s="152"/>
      <c r="V79" s="152"/>
      <c r="W79" s="152"/>
      <c r="X79" s="152"/>
      <c r="Y79" s="152"/>
    </row>
    <row r="80">
      <c r="A80" s="152"/>
      <c r="B80" s="152"/>
      <c r="C80" s="152"/>
      <c r="D80" s="152"/>
      <c r="E80" s="152"/>
      <c r="F80" s="152"/>
      <c r="G80" s="152"/>
      <c r="H80" s="152"/>
      <c r="I80" s="152"/>
      <c r="J80" s="152"/>
      <c r="K80" s="152"/>
      <c r="L80" s="152"/>
      <c r="M80" s="152"/>
      <c r="N80" s="152"/>
      <c r="O80" s="152"/>
      <c r="P80" s="152"/>
      <c r="Q80" s="152"/>
      <c r="R80" s="152"/>
      <c r="S80" s="152"/>
      <c r="T80" s="152"/>
      <c r="U80" s="152"/>
      <c r="V80" s="152"/>
      <c r="W80" s="152"/>
      <c r="X80" s="152"/>
      <c r="Y80" s="152"/>
    </row>
    <row r="81">
      <c r="A81" s="152"/>
      <c r="B81" s="152"/>
      <c r="C81" s="152"/>
      <c r="D81" s="152"/>
      <c r="E81" s="152"/>
      <c r="F81" s="152"/>
      <c r="G81" s="152"/>
      <c r="H81" s="152"/>
      <c r="I81" s="152"/>
      <c r="J81" s="152"/>
      <c r="K81" s="152"/>
      <c r="L81" s="152"/>
      <c r="M81" s="152"/>
      <c r="N81" s="152"/>
      <c r="O81" s="152"/>
      <c r="P81" s="152"/>
      <c r="Q81" s="152"/>
      <c r="R81" s="152"/>
      <c r="S81" s="152"/>
      <c r="T81" s="152"/>
      <c r="U81" s="152"/>
      <c r="V81" s="152"/>
      <c r="W81" s="152"/>
      <c r="X81" s="152"/>
      <c r="Y81" s="152"/>
    </row>
    <row r="82">
      <c r="A82" s="152"/>
      <c r="B82" s="152"/>
      <c r="C82" s="152"/>
      <c r="D82" s="152"/>
      <c r="E82" s="152"/>
      <c r="F82" s="152"/>
      <c r="G82" s="152"/>
      <c r="H82" s="152"/>
      <c r="I82" s="152"/>
      <c r="J82" s="152"/>
      <c r="K82" s="152"/>
      <c r="L82" s="152"/>
      <c r="M82" s="152"/>
      <c r="N82" s="152"/>
      <c r="O82" s="152"/>
      <c r="P82" s="152"/>
      <c r="Q82" s="152"/>
      <c r="R82" s="152"/>
      <c r="S82" s="152"/>
      <c r="T82" s="152"/>
      <c r="U82" s="152"/>
      <c r="V82" s="152"/>
      <c r="W82" s="152"/>
      <c r="X82" s="152"/>
      <c r="Y82" s="152"/>
    </row>
    <row r="83">
      <c r="A83" s="152"/>
      <c r="B83" s="152"/>
      <c r="C83" s="152"/>
      <c r="D83" s="152"/>
      <c r="E83" s="152"/>
      <c r="F83" s="152"/>
      <c r="G83" s="152"/>
      <c r="H83" s="152"/>
      <c r="I83" s="152"/>
      <c r="J83" s="152"/>
      <c r="K83" s="152"/>
      <c r="L83" s="152"/>
      <c r="M83" s="152"/>
      <c r="N83" s="152"/>
      <c r="O83" s="152"/>
      <c r="P83" s="152"/>
      <c r="Q83" s="152"/>
      <c r="R83" s="152"/>
      <c r="S83" s="152"/>
      <c r="T83" s="152"/>
      <c r="U83" s="152"/>
      <c r="V83" s="152"/>
      <c r="W83" s="152"/>
      <c r="X83" s="152"/>
      <c r="Y83" s="152"/>
    </row>
    <row r="84">
      <c r="A84" s="152"/>
      <c r="B84" s="152"/>
      <c r="C84" s="152"/>
      <c r="D84" s="152"/>
      <c r="E84" s="152"/>
      <c r="F84" s="152"/>
      <c r="G84" s="152"/>
      <c r="H84" s="152"/>
      <c r="I84" s="152"/>
      <c r="J84" s="152"/>
      <c r="K84" s="152"/>
      <c r="L84" s="152"/>
      <c r="M84" s="152"/>
      <c r="N84" s="152"/>
      <c r="O84" s="152"/>
      <c r="P84" s="152"/>
      <c r="Q84" s="152"/>
      <c r="R84" s="152"/>
      <c r="S84" s="152"/>
      <c r="T84" s="152"/>
      <c r="U84" s="152"/>
      <c r="V84" s="152"/>
      <c r="W84" s="152"/>
      <c r="X84" s="152"/>
      <c r="Y84" s="152"/>
    </row>
    <row r="85">
      <c r="A85" s="152"/>
      <c r="B85" s="152"/>
      <c r="C85" s="152"/>
      <c r="D85" s="152"/>
      <c r="E85" s="152"/>
      <c r="F85" s="152"/>
      <c r="G85" s="152"/>
      <c r="H85" s="152"/>
      <c r="I85" s="152"/>
      <c r="J85" s="152"/>
      <c r="K85" s="152"/>
      <c r="L85" s="152"/>
      <c r="M85" s="152"/>
      <c r="N85" s="152"/>
      <c r="O85" s="152"/>
      <c r="P85" s="152"/>
      <c r="Q85" s="152"/>
      <c r="R85" s="152"/>
      <c r="S85" s="152"/>
      <c r="T85" s="152"/>
      <c r="U85" s="152"/>
      <c r="V85" s="152"/>
      <c r="W85" s="152"/>
      <c r="X85" s="152"/>
      <c r="Y85" s="152"/>
    </row>
    <row r="86">
      <c r="A86" s="152"/>
      <c r="B86" s="152"/>
      <c r="C86" s="152"/>
      <c r="D86" s="152"/>
      <c r="E86" s="152"/>
      <c r="F86" s="152"/>
      <c r="G86" s="152"/>
      <c r="H86" s="152"/>
      <c r="I86" s="152"/>
      <c r="J86" s="152"/>
      <c r="K86" s="152"/>
      <c r="L86" s="152"/>
      <c r="M86" s="152"/>
      <c r="N86" s="152"/>
      <c r="O86" s="152"/>
      <c r="P86" s="152"/>
      <c r="Q86" s="152"/>
      <c r="R86" s="152"/>
      <c r="S86" s="152"/>
      <c r="T86" s="152"/>
      <c r="U86" s="152"/>
      <c r="V86" s="152"/>
      <c r="W86" s="152"/>
      <c r="X86" s="152"/>
      <c r="Y86" s="152"/>
    </row>
    <row r="87">
      <c r="A87" s="152"/>
      <c r="B87" s="152"/>
      <c r="C87" s="152"/>
      <c r="D87" s="152"/>
      <c r="E87" s="152"/>
      <c r="F87" s="152"/>
      <c r="G87" s="152"/>
      <c r="H87" s="152"/>
      <c r="I87" s="152"/>
      <c r="J87" s="152"/>
      <c r="K87" s="152"/>
      <c r="L87" s="152"/>
      <c r="M87" s="152"/>
      <c r="N87" s="152"/>
      <c r="O87" s="152"/>
      <c r="P87" s="152"/>
      <c r="Q87" s="152"/>
      <c r="R87" s="152"/>
      <c r="S87" s="152"/>
      <c r="T87" s="152"/>
      <c r="U87" s="152"/>
      <c r="V87" s="152"/>
      <c r="W87" s="152"/>
      <c r="X87" s="152"/>
      <c r="Y87" s="152"/>
    </row>
    <row r="88">
      <c r="A88" s="152"/>
      <c r="B88" s="152"/>
      <c r="C88" s="152"/>
      <c r="D88" s="152"/>
      <c r="E88" s="152"/>
      <c r="F88" s="152"/>
      <c r="G88" s="152"/>
      <c r="H88" s="152"/>
      <c r="I88" s="152"/>
      <c r="J88" s="152"/>
      <c r="K88" s="152"/>
      <c r="L88" s="152"/>
      <c r="M88" s="152"/>
      <c r="N88" s="152"/>
      <c r="O88" s="152"/>
      <c r="P88" s="152"/>
      <c r="Q88" s="152"/>
      <c r="R88" s="152"/>
      <c r="S88" s="152"/>
      <c r="T88" s="152"/>
      <c r="U88" s="152"/>
      <c r="V88" s="152"/>
      <c r="W88" s="152"/>
      <c r="X88" s="152"/>
      <c r="Y88" s="152"/>
    </row>
    <row r="89">
      <c r="A89" s="152"/>
      <c r="B89" s="152"/>
      <c r="C89" s="152"/>
      <c r="D89" s="152"/>
      <c r="E89" s="152"/>
      <c r="F89" s="152"/>
      <c r="G89" s="152"/>
      <c r="H89" s="152"/>
      <c r="I89" s="152"/>
      <c r="J89" s="152"/>
      <c r="K89" s="152"/>
      <c r="L89" s="152"/>
      <c r="M89" s="152"/>
      <c r="N89" s="152"/>
      <c r="O89" s="152"/>
      <c r="P89" s="152"/>
      <c r="Q89" s="152"/>
      <c r="R89" s="152"/>
      <c r="S89" s="152"/>
      <c r="T89" s="152"/>
      <c r="U89" s="152"/>
      <c r="V89" s="152"/>
      <c r="W89" s="152"/>
      <c r="X89" s="152"/>
      <c r="Y89" s="152"/>
    </row>
    <row r="90">
      <c r="A90" s="152"/>
      <c r="B90" s="152"/>
      <c r="C90" s="152"/>
      <c r="D90" s="152"/>
      <c r="E90" s="152"/>
      <c r="F90" s="152"/>
      <c r="G90" s="152"/>
      <c r="H90" s="152"/>
      <c r="I90" s="152"/>
      <c r="J90" s="152"/>
      <c r="K90" s="152"/>
      <c r="L90" s="152"/>
      <c r="M90" s="152"/>
      <c r="N90" s="152"/>
      <c r="O90" s="152"/>
      <c r="P90" s="152"/>
      <c r="Q90" s="152"/>
      <c r="R90" s="152"/>
      <c r="S90" s="152"/>
      <c r="T90" s="152"/>
      <c r="U90" s="152"/>
      <c r="V90" s="152"/>
      <c r="W90" s="152"/>
      <c r="X90" s="152"/>
      <c r="Y90" s="152"/>
    </row>
    <row r="91">
      <c r="A91" s="152"/>
      <c r="B91" s="152"/>
      <c r="C91" s="152"/>
      <c r="D91" s="152"/>
      <c r="E91" s="152"/>
      <c r="F91" s="152"/>
      <c r="G91" s="152"/>
      <c r="H91" s="152"/>
      <c r="I91" s="152"/>
      <c r="J91" s="152"/>
      <c r="K91" s="152"/>
      <c r="L91" s="152"/>
      <c r="M91" s="152"/>
      <c r="N91" s="152"/>
      <c r="O91" s="152"/>
      <c r="P91" s="152"/>
      <c r="Q91" s="152"/>
      <c r="R91" s="152"/>
      <c r="S91" s="152"/>
      <c r="T91" s="152"/>
      <c r="U91" s="152"/>
      <c r="V91" s="152"/>
      <c r="W91" s="152"/>
      <c r="X91" s="152"/>
      <c r="Y91" s="152"/>
    </row>
    <row r="92">
      <c r="A92" s="152"/>
      <c r="B92" s="152"/>
      <c r="C92" s="152"/>
      <c r="D92" s="152"/>
      <c r="E92" s="152"/>
      <c r="F92" s="152"/>
      <c r="G92" s="152"/>
      <c r="H92" s="152"/>
      <c r="I92" s="152"/>
      <c r="J92" s="152"/>
      <c r="K92" s="152"/>
      <c r="L92" s="152"/>
      <c r="M92" s="152"/>
      <c r="N92" s="152"/>
      <c r="O92" s="152"/>
      <c r="P92" s="152"/>
      <c r="Q92" s="152"/>
      <c r="R92" s="152"/>
      <c r="S92" s="152"/>
      <c r="T92" s="152"/>
      <c r="U92" s="152"/>
      <c r="V92" s="152"/>
      <c r="W92" s="152"/>
      <c r="X92" s="152"/>
      <c r="Y92" s="152"/>
    </row>
    <row r="93">
      <c r="A93" s="152"/>
      <c r="B93" s="152"/>
      <c r="C93" s="152"/>
      <c r="D93" s="152"/>
      <c r="E93" s="152"/>
      <c r="F93" s="152"/>
      <c r="G93" s="152"/>
      <c r="H93" s="152"/>
      <c r="I93" s="152"/>
      <c r="J93" s="152"/>
      <c r="K93" s="152"/>
      <c r="L93" s="152"/>
      <c r="M93" s="152"/>
      <c r="N93" s="152"/>
      <c r="O93" s="152"/>
      <c r="P93" s="152"/>
      <c r="Q93" s="152"/>
      <c r="R93" s="152"/>
      <c r="S93" s="152"/>
      <c r="T93" s="152"/>
      <c r="U93" s="152"/>
      <c r="V93" s="152"/>
      <c r="W93" s="152"/>
      <c r="X93" s="152"/>
      <c r="Y93" s="152"/>
    </row>
    <row r="94">
      <c r="A94" s="152"/>
      <c r="B94" s="152"/>
      <c r="C94" s="152"/>
      <c r="D94" s="152"/>
      <c r="E94" s="152"/>
      <c r="F94" s="152"/>
      <c r="G94" s="152"/>
      <c r="H94" s="152"/>
      <c r="I94" s="152"/>
      <c r="J94" s="152"/>
      <c r="K94" s="152"/>
      <c r="L94" s="152"/>
      <c r="M94" s="152"/>
      <c r="N94" s="152"/>
      <c r="O94" s="152"/>
      <c r="P94" s="152"/>
      <c r="Q94" s="152"/>
      <c r="R94" s="152"/>
      <c r="S94" s="152"/>
      <c r="T94" s="152"/>
      <c r="U94" s="152"/>
      <c r="V94" s="152"/>
      <c r="W94" s="152"/>
      <c r="X94" s="152"/>
      <c r="Y94" s="152"/>
    </row>
    <row r="95">
      <c r="A95" s="152"/>
      <c r="B95" s="152"/>
      <c r="C95" s="152"/>
      <c r="D95" s="152"/>
      <c r="E95" s="152"/>
      <c r="F95" s="152"/>
      <c r="G95" s="152"/>
      <c r="H95" s="152"/>
      <c r="I95" s="152"/>
      <c r="J95" s="152"/>
      <c r="K95" s="152"/>
      <c r="L95" s="152"/>
      <c r="M95" s="152"/>
      <c r="N95" s="152"/>
      <c r="O95" s="152"/>
      <c r="P95" s="152"/>
      <c r="Q95" s="152"/>
      <c r="R95" s="152"/>
      <c r="S95" s="152"/>
      <c r="T95" s="152"/>
      <c r="U95" s="152"/>
      <c r="V95" s="152"/>
      <c r="W95" s="152"/>
      <c r="X95" s="152"/>
      <c r="Y95" s="152"/>
    </row>
    <row r="96">
      <c r="A96" s="152"/>
      <c r="B96" s="152"/>
      <c r="C96" s="152"/>
      <c r="D96" s="152"/>
      <c r="E96" s="152"/>
      <c r="F96" s="152"/>
      <c r="G96" s="152"/>
      <c r="H96" s="152"/>
      <c r="I96" s="152"/>
      <c r="J96" s="152"/>
      <c r="K96" s="152"/>
      <c r="L96" s="152"/>
      <c r="M96" s="152"/>
      <c r="N96" s="152"/>
      <c r="O96" s="152"/>
      <c r="P96" s="152"/>
      <c r="Q96" s="152"/>
      <c r="R96" s="152"/>
      <c r="S96" s="152"/>
      <c r="T96" s="152"/>
      <c r="U96" s="152"/>
      <c r="V96" s="152"/>
      <c r="W96" s="152"/>
      <c r="X96" s="152"/>
      <c r="Y96" s="152"/>
    </row>
    <row r="97">
      <c r="A97" s="152"/>
      <c r="B97" s="152"/>
      <c r="C97" s="152"/>
      <c r="D97" s="152"/>
      <c r="E97" s="152"/>
      <c r="F97" s="152"/>
      <c r="G97" s="152"/>
      <c r="H97" s="152"/>
      <c r="I97" s="152"/>
      <c r="J97" s="152"/>
      <c r="K97" s="152"/>
      <c r="L97" s="152"/>
      <c r="M97" s="152"/>
      <c r="N97" s="152"/>
      <c r="O97" s="152"/>
      <c r="P97" s="152"/>
      <c r="Q97" s="152"/>
      <c r="R97" s="152"/>
      <c r="S97" s="152"/>
      <c r="T97" s="152"/>
      <c r="U97" s="152"/>
      <c r="V97" s="152"/>
      <c r="W97" s="152"/>
      <c r="X97" s="152"/>
      <c r="Y97" s="152"/>
    </row>
    <row r="98">
      <c r="A98" s="152"/>
      <c r="B98" s="152"/>
      <c r="C98" s="152"/>
      <c r="D98" s="152"/>
      <c r="E98" s="152"/>
      <c r="F98" s="152"/>
      <c r="G98" s="152"/>
      <c r="H98" s="152"/>
      <c r="I98" s="152"/>
      <c r="J98" s="152"/>
      <c r="K98" s="152"/>
      <c r="L98" s="152"/>
      <c r="M98" s="152"/>
      <c r="N98" s="152"/>
      <c r="O98" s="152"/>
      <c r="P98" s="152"/>
      <c r="Q98" s="152"/>
      <c r="R98" s="152"/>
      <c r="S98" s="152"/>
      <c r="T98" s="152"/>
      <c r="U98" s="152"/>
      <c r="V98" s="152"/>
      <c r="W98" s="152"/>
      <c r="X98" s="152"/>
      <c r="Y98" s="152"/>
    </row>
    <row r="99">
      <c r="A99" s="152"/>
      <c r="B99" s="152"/>
      <c r="C99" s="152"/>
      <c r="D99" s="152"/>
      <c r="E99" s="152"/>
      <c r="F99" s="152"/>
      <c r="G99" s="152"/>
      <c r="H99" s="152"/>
      <c r="I99" s="152"/>
      <c r="J99" s="152"/>
      <c r="K99" s="152"/>
      <c r="L99" s="152"/>
      <c r="M99" s="152"/>
      <c r="N99" s="152"/>
      <c r="O99" s="152"/>
      <c r="P99" s="152"/>
      <c r="Q99" s="152"/>
      <c r="R99" s="152"/>
      <c r="S99" s="152"/>
      <c r="T99" s="152"/>
      <c r="U99" s="152"/>
      <c r="V99" s="152"/>
      <c r="W99" s="152"/>
      <c r="X99" s="152"/>
      <c r="Y99" s="152"/>
    </row>
    <row r="100">
      <c r="A100" s="152"/>
      <c r="B100" s="152"/>
      <c r="C100" s="152"/>
      <c r="D100" s="152"/>
      <c r="E100" s="152"/>
      <c r="F100" s="152"/>
      <c r="G100" s="152"/>
      <c r="H100" s="152"/>
      <c r="I100" s="152"/>
      <c r="J100" s="152"/>
      <c r="K100" s="152"/>
      <c r="L100" s="152"/>
      <c r="M100" s="152"/>
      <c r="N100" s="152"/>
      <c r="O100" s="152"/>
      <c r="P100" s="152"/>
      <c r="Q100" s="152"/>
      <c r="R100" s="152"/>
      <c r="S100" s="152"/>
      <c r="T100" s="152"/>
      <c r="U100" s="152"/>
      <c r="V100" s="152"/>
      <c r="W100" s="152"/>
      <c r="X100" s="152"/>
      <c r="Y100" s="152"/>
    </row>
    <row r="101">
      <c r="A101" s="152"/>
      <c r="B101" s="152"/>
      <c r="C101" s="152"/>
      <c r="D101" s="152"/>
      <c r="E101" s="152"/>
      <c r="F101" s="152"/>
      <c r="G101" s="152"/>
      <c r="H101" s="152"/>
      <c r="I101" s="152"/>
      <c r="J101" s="152"/>
      <c r="K101" s="152"/>
      <c r="L101" s="152"/>
      <c r="M101" s="152"/>
      <c r="N101" s="152"/>
      <c r="O101" s="152"/>
      <c r="P101" s="152"/>
      <c r="Q101" s="152"/>
      <c r="R101" s="152"/>
      <c r="S101" s="152"/>
      <c r="T101" s="152"/>
      <c r="U101" s="152"/>
      <c r="V101" s="152"/>
      <c r="W101" s="152"/>
      <c r="X101" s="152"/>
      <c r="Y101" s="152"/>
    </row>
    <row r="102">
      <c r="A102" s="152"/>
      <c r="B102" s="152"/>
      <c r="C102" s="152"/>
      <c r="D102" s="152"/>
      <c r="E102" s="152"/>
      <c r="F102" s="152"/>
      <c r="G102" s="152"/>
      <c r="H102" s="152"/>
      <c r="I102" s="152"/>
      <c r="J102" s="152"/>
      <c r="K102" s="152"/>
      <c r="L102" s="152"/>
      <c r="M102" s="152"/>
      <c r="N102" s="152"/>
      <c r="O102" s="152"/>
      <c r="P102" s="152"/>
      <c r="Q102" s="152"/>
      <c r="R102" s="152"/>
      <c r="S102" s="152"/>
      <c r="T102" s="152"/>
      <c r="U102" s="152"/>
      <c r="V102" s="152"/>
      <c r="W102" s="152"/>
      <c r="X102" s="152"/>
      <c r="Y102" s="152"/>
    </row>
    <row r="103">
      <c r="A103" s="152"/>
      <c r="B103" s="152"/>
      <c r="C103" s="152"/>
      <c r="D103" s="152"/>
      <c r="E103" s="152"/>
      <c r="F103" s="152"/>
      <c r="G103" s="152"/>
      <c r="H103" s="152"/>
      <c r="I103" s="152"/>
      <c r="J103" s="152"/>
      <c r="K103" s="152"/>
      <c r="L103" s="152"/>
      <c r="M103" s="152"/>
      <c r="N103" s="152"/>
      <c r="O103" s="152"/>
      <c r="P103" s="152"/>
      <c r="Q103" s="152"/>
      <c r="R103" s="152"/>
      <c r="S103" s="152"/>
      <c r="T103" s="152"/>
      <c r="U103" s="152"/>
      <c r="V103" s="152"/>
      <c r="W103" s="152"/>
      <c r="X103" s="152"/>
      <c r="Y103" s="152"/>
    </row>
    <row r="104">
      <c r="A104" s="152"/>
      <c r="B104" s="152"/>
      <c r="C104" s="152"/>
      <c r="D104" s="152"/>
      <c r="E104" s="152"/>
      <c r="F104" s="152"/>
      <c r="G104" s="152"/>
      <c r="H104" s="152"/>
      <c r="I104" s="152"/>
      <c r="J104" s="152"/>
      <c r="K104" s="152"/>
      <c r="L104" s="152"/>
      <c r="M104" s="152"/>
      <c r="N104" s="152"/>
      <c r="O104" s="152"/>
      <c r="P104" s="152"/>
      <c r="Q104" s="152"/>
      <c r="R104" s="152"/>
      <c r="S104" s="152"/>
      <c r="T104" s="152"/>
      <c r="U104" s="152"/>
      <c r="V104" s="152"/>
      <c r="W104" s="152"/>
      <c r="X104" s="152"/>
      <c r="Y104" s="152"/>
    </row>
    <row r="105">
      <c r="A105" s="152"/>
      <c r="B105" s="152"/>
      <c r="C105" s="152"/>
      <c r="D105" s="152"/>
      <c r="E105" s="152"/>
      <c r="F105" s="152"/>
      <c r="G105" s="152"/>
      <c r="H105" s="152"/>
      <c r="I105" s="152"/>
      <c r="J105" s="152"/>
      <c r="K105" s="152"/>
      <c r="L105" s="152"/>
      <c r="M105" s="152"/>
      <c r="N105" s="152"/>
      <c r="O105" s="152"/>
      <c r="P105" s="152"/>
      <c r="Q105" s="152"/>
      <c r="R105" s="152"/>
      <c r="S105" s="152"/>
      <c r="T105" s="152"/>
      <c r="U105" s="152"/>
      <c r="V105" s="152"/>
      <c r="W105" s="152"/>
      <c r="X105" s="152"/>
      <c r="Y105" s="152"/>
    </row>
    <row r="106">
      <c r="A106" s="152"/>
      <c r="B106" s="152"/>
      <c r="C106" s="152"/>
      <c r="D106" s="152"/>
      <c r="E106" s="152"/>
      <c r="F106" s="152"/>
      <c r="G106" s="152"/>
      <c r="H106" s="152"/>
      <c r="I106" s="152"/>
      <c r="J106" s="152"/>
      <c r="K106" s="152"/>
      <c r="L106" s="152"/>
      <c r="M106" s="152"/>
      <c r="N106" s="152"/>
      <c r="O106" s="152"/>
      <c r="P106" s="152"/>
      <c r="Q106" s="152"/>
      <c r="R106" s="152"/>
      <c r="S106" s="152"/>
      <c r="T106" s="152"/>
      <c r="U106" s="152"/>
      <c r="V106" s="152"/>
      <c r="W106" s="152"/>
      <c r="X106" s="152"/>
      <c r="Y106" s="152"/>
    </row>
    <row r="107">
      <c r="A107" s="152"/>
      <c r="B107" s="152"/>
      <c r="C107" s="152"/>
      <c r="D107" s="152"/>
      <c r="E107" s="152"/>
      <c r="F107" s="152"/>
      <c r="G107" s="152"/>
      <c r="H107" s="152"/>
      <c r="I107" s="152"/>
      <c r="J107" s="152"/>
      <c r="K107" s="152"/>
      <c r="L107" s="152"/>
      <c r="M107" s="152"/>
      <c r="N107" s="152"/>
      <c r="O107" s="152"/>
      <c r="P107" s="152"/>
      <c r="Q107" s="152"/>
      <c r="R107" s="152"/>
      <c r="S107" s="152"/>
      <c r="T107" s="152"/>
      <c r="U107" s="152"/>
      <c r="V107" s="152"/>
      <c r="W107" s="152"/>
      <c r="X107" s="152"/>
      <c r="Y107" s="152"/>
    </row>
    <row r="108">
      <c r="A108" s="152"/>
      <c r="B108" s="152"/>
      <c r="C108" s="152"/>
      <c r="D108" s="152"/>
      <c r="E108" s="152"/>
      <c r="F108" s="152"/>
      <c r="G108" s="152"/>
      <c r="H108" s="152"/>
      <c r="I108" s="152"/>
      <c r="J108" s="152"/>
      <c r="K108" s="152"/>
      <c r="L108" s="152"/>
      <c r="M108" s="152"/>
      <c r="N108" s="152"/>
      <c r="O108" s="152"/>
      <c r="P108" s="152"/>
      <c r="Q108" s="152"/>
      <c r="R108" s="152"/>
      <c r="S108" s="152"/>
      <c r="T108" s="152"/>
      <c r="U108" s="152"/>
      <c r="V108" s="152"/>
      <c r="W108" s="152"/>
      <c r="X108" s="152"/>
      <c r="Y108" s="152"/>
    </row>
    <row r="109">
      <c r="A109" s="152"/>
      <c r="B109" s="152"/>
      <c r="C109" s="152"/>
      <c r="D109" s="152"/>
      <c r="E109" s="152"/>
      <c r="F109" s="152"/>
      <c r="G109" s="152"/>
      <c r="H109" s="152"/>
      <c r="I109" s="152"/>
      <c r="J109" s="152"/>
      <c r="K109" s="152"/>
      <c r="L109" s="152"/>
      <c r="M109" s="152"/>
      <c r="N109" s="152"/>
      <c r="O109" s="152"/>
      <c r="P109" s="152"/>
      <c r="Q109" s="152"/>
      <c r="R109" s="152"/>
      <c r="S109" s="152"/>
      <c r="T109" s="152"/>
      <c r="U109" s="152"/>
      <c r="V109" s="152"/>
      <c r="W109" s="152"/>
      <c r="X109" s="152"/>
      <c r="Y109" s="152"/>
    </row>
    <row r="110">
      <c r="A110" s="152"/>
      <c r="B110" s="152"/>
      <c r="C110" s="152"/>
      <c r="D110" s="152"/>
      <c r="E110" s="152"/>
      <c r="F110" s="152"/>
      <c r="G110" s="152"/>
      <c r="H110" s="152"/>
      <c r="I110" s="152"/>
      <c r="J110" s="152"/>
      <c r="K110" s="152"/>
      <c r="L110" s="152"/>
      <c r="M110" s="152"/>
      <c r="N110" s="152"/>
      <c r="O110" s="152"/>
      <c r="P110" s="152"/>
      <c r="Q110" s="152"/>
      <c r="R110" s="152"/>
      <c r="S110" s="152"/>
      <c r="T110" s="152"/>
      <c r="U110" s="152"/>
      <c r="V110" s="152"/>
      <c r="W110" s="152"/>
      <c r="X110" s="152"/>
      <c r="Y110" s="152"/>
    </row>
    <row r="111">
      <c r="A111" s="152"/>
      <c r="B111" s="152"/>
      <c r="C111" s="152"/>
      <c r="D111" s="152"/>
      <c r="E111" s="152"/>
      <c r="F111" s="152"/>
      <c r="G111" s="152"/>
      <c r="H111" s="152"/>
      <c r="I111" s="152"/>
      <c r="J111" s="152"/>
      <c r="K111" s="152"/>
      <c r="L111" s="152"/>
      <c r="M111" s="152"/>
      <c r="N111" s="152"/>
      <c r="O111" s="152"/>
      <c r="P111" s="152"/>
      <c r="Q111" s="152"/>
      <c r="R111" s="152"/>
      <c r="S111" s="152"/>
      <c r="T111" s="152"/>
      <c r="U111" s="152"/>
      <c r="V111" s="152"/>
      <c r="W111" s="152"/>
      <c r="X111" s="152"/>
      <c r="Y111" s="152"/>
    </row>
    <row r="112">
      <c r="A112" s="152"/>
      <c r="B112" s="152"/>
      <c r="C112" s="152"/>
      <c r="D112" s="152"/>
      <c r="E112" s="152"/>
      <c r="F112" s="152"/>
      <c r="G112" s="152"/>
      <c r="H112" s="152"/>
      <c r="I112" s="152"/>
      <c r="J112" s="152"/>
      <c r="K112" s="152"/>
      <c r="L112" s="152"/>
      <c r="M112" s="152"/>
      <c r="N112" s="152"/>
      <c r="O112" s="152"/>
      <c r="P112" s="152"/>
      <c r="Q112" s="152"/>
      <c r="R112" s="152"/>
      <c r="S112" s="152"/>
      <c r="T112" s="152"/>
      <c r="U112" s="152"/>
      <c r="V112" s="152"/>
      <c r="W112" s="152"/>
      <c r="X112" s="152"/>
      <c r="Y112" s="152"/>
    </row>
    <row r="113">
      <c r="A113" s="152"/>
      <c r="B113" s="152"/>
      <c r="C113" s="152"/>
      <c r="D113" s="152"/>
      <c r="E113" s="152"/>
      <c r="F113" s="152"/>
      <c r="G113" s="152"/>
      <c r="H113" s="152"/>
      <c r="I113" s="152"/>
      <c r="J113" s="152"/>
      <c r="K113" s="152"/>
      <c r="L113" s="152"/>
      <c r="M113" s="152"/>
      <c r="N113" s="152"/>
      <c r="O113" s="152"/>
      <c r="P113" s="152"/>
      <c r="Q113" s="152"/>
      <c r="R113" s="152"/>
      <c r="S113" s="152"/>
      <c r="T113" s="152"/>
      <c r="U113" s="152"/>
      <c r="V113" s="152"/>
      <c r="W113" s="152"/>
      <c r="X113" s="152"/>
      <c r="Y113" s="152"/>
    </row>
    <row r="114">
      <c r="A114" s="152"/>
      <c r="B114" s="152"/>
      <c r="C114" s="152"/>
      <c r="D114" s="152"/>
      <c r="E114" s="152"/>
      <c r="F114" s="152"/>
      <c r="G114" s="152"/>
      <c r="H114" s="152"/>
      <c r="I114" s="152"/>
      <c r="J114" s="152"/>
      <c r="K114" s="152"/>
      <c r="L114" s="152"/>
      <c r="M114" s="152"/>
      <c r="N114" s="152"/>
      <c r="O114" s="152"/>
      <c r="P114" s="152"/>
      <c r="Q114" s="152"/>
      <c r="R114" s="152"/>
      <c r="S114" s="152"/>
      <c r="T114" s="152"/>
      <c r="U114" s="152"/>
      <c r="V114" s="152"/>
      <c r="W114" s="152"/>
      <c r="X114" s="152"/>
      <c r="Y114" s="152"/>
    </row>
    <row r="115">
      <c r="A115" s="152"/>
      <c r="B115" s="152"/>
      <c r="C115" s="152"/>
      <c r="D115" s="152"/>
      <c r="E115" s="152"/>
      <c r="F115" s="152"/>
      <c r="G115" s="152"/>
      <c r="H115" s="152"/>
      <c r="I115" s="152"/>
      <c r="J115" s="152"/>
      <c r="K115" s="152"/>
      <c r="L115" s="152"/>
      <c r="M115" s="152"/>
      <c r="N115" s="152"/>
      <c r="O115" s="152"/>
      <c r="P115" s="152"/>
      <c r="Q115" s="152"/>
      <c r="R115" s="152"/>
      <c r="S115" s="152"/>
      <c r="T115" s="152"/>
      <c r="U115" s="152"/>
      <c r="V115" s="152"/>
      <c r="W115" s="152"/>
      <c r="X115" s="152"/>
      <c r="Y115" s="152"/>
    </row>
    <row r="116">
      <c r="A116" s="152"/>
      <c r="B116" s="152"/>
      <c r="C116" s="152"/>
      <c r="D116" s="152"/>
      <c r="E116" s="152"/>
      <c r="F116" s="152"/>
      <c r="G116" s="152"/>
      <c r="H116" s="152"/>
      <c r="I116" s="152"/>
      <c r="J116" s="152"/>
      <c r="K116" s="152"/>
      <c r="L116" s="152"/>
      <c r="M116" s="152"/>
      <c r="N116" s="152"/>
      <c r="O116" s="152"/>
      <c r="P116" s="152"/>
      <c r="Q116" s="152"/>
      <c r="R116" s="152"/>
      <c r="S116" s="152"/>
      <c r="T116" s="152"/>
      <c r="U116" s="152"/>
      <c r="V116" s="152"/>
      <c r="W116" s="152"/>
      <c r="X116" s="152"/>
      <c r="Y116" s="152"/>
    </row>
    <row r="117">
      <c r="A117" s="152"/>
      <c r="B117" s="152"/>
      <c r="C117" s="152"/>
      <c r="D117" s="152"/>
      <c r="E117" s="152"/>
      <c r="F117" s="152"/>
      <c r="G117" s="152"/>
      <c r="H117" s="152"/>
      <c r="I117" s="152"/>
      <c r="J117" s="152"/>
      <c r="K117" s="152"/>
      <c r="L117" s="152"/>
      <c r="M117" s="152"/>
      <c r="N117" s="152"/>
      <c r="O117" s="152"/>
      <c r="P117" s="152"/>
      <c r="Q117" s="152"/>
      <c r="R117" s="152"/>
      <c r="S117" s="152"/>
      <c r="T117" s="152"/>
      <c r="U117" s="152"/>
      <c r="V117" s="152"/>
      <c r="W117" s="152"/>
      <c r="X117" s="152"/>
      <c r="Y117" s="152"/>
    </row>
    <row r="118">
      <c r="A118" s="152"/>
      <c r="B118" s="152"/>
      <c r="C118" s="152"/>
      <c r="D118" s="152"/>
      <c r="E118" s="152"/>
      <c r="F118" s="152"/>
      <c r="G118" s="152"/>
      <c r="H118" s="152"/>
      <c r="I118" s="152"/>
      <c r="J118" s="152"/>
      <c r="K118" s="152"/>
      <c r="L118" s="152"/>
      <c r="M118" s="152"/>
      <c r="N118" s="152"/>
      <c r="O118" s="152"/>
      <c r="P118" s="152"/>
      <c r="Q118" s="152"/>
      <c r="R118" s="152"/>
      <c r="S118" s="152"/>
      <c r="T118" s="152"/>
      <c r="U118" s="152"/>
      <c r="V118" s="152"/>
      <c r="W118" s="152"/>
      <c r="X118" s="152"/>
      <c r="Y118" s="152"/>
    </row>
    <row r="119">
      <c r="A119" s="152"/>
      <c r="B119" s="152"/>
      <c r="C119" s="152"/>
      <c r="D119" s="152"/>
      <c r="E119" s="152"/>
      <c r="F119" s="152"/>
      <c r="G119" s="152"/>
      <c r="H119" s="152"/>
      <c r="I119" s="152"/>
      <c r="J119" s="152"/>
      <c r="K119" s="152"/>
      <c r="L119" s="152"/>
      <c r="M119" s="152"/>
      <c r="N119" s="152"/>
      <c r="O119" s="152"/>
      <c r="P119" s="152"/>
      <c r="Q119" s="152"/>
      <c r="R119" s="152"/>
      <c r="S119" s="152"/>
      <c r="T119" s="152"/>
      <c r="U119" s="152"/>
      <c r="V119" s="152"/>
      <c r="W119" s="152"/>
      <c r="X119" s="152"/>
      <c r="Y119" s="152"/>
    </row>
    <row r="120">
      <c r="A120" s="152"/>
      <c r="B120" s="152"/>
      <c r="C120" s="152"/>
      <c r="D120" s="152"/>
      <c r="E120" s="152"/>
      <c r="F120" s="152"/>
      <c r="G120" s="152"/>
      <c r="H120" s="152"/>
      <c r="I120" s="152"/>
      <c r="J120" s="152"/>
      <c r="K120" s="152"/>
      <c r="L120" s="152"/>
      <c r="M120" s="152"/>
      <c r="N120" s="152"/>
      <c r="O120" s="152"/>
      <c r="P120" s="152"/>
      <c r="Q120" s="152"/>
      <c r="R120" s="152"/>
      <c r="S120" s="152"/>
      <c r="T120" s="152"/>
      <c r="U120" s="152"/>
      <c r="V120" s="152"/>
      <c r="W120" s="152"/>
      <c r="X120" s="152"/>
      <c r="Y120" s="152"/>
    </row>
    <row r="121">
      <c r="A121" s="152"/>
      <c r="B121" s="152"/>
      <c r="C121" s="152"/>
      <c r="D121" s="152"/>
      <c r="E121" s="152"/>
      <c r="F121" s="152"/>
      <c r="G121" s="152"/>
      <c r="H121" s="152"/>
      <c r="I121" s="152"/>
      <c r="J121" s="152"/>
      <c r="K121" s="152"/>
      <c r="L121" s="152"/>
      <c r="M121" s="152"/>
      <c r="N121" s="152"/>
      <c r="O121" s="152"/>
      <c r="P121" s="152"/>
      <c r="Q121" s="152"/>
      <c r="R121" s="152"/>
      <c r="S121" s="152"/>
      <c r="T121" s="152"/>
      <c r="U121" s="152"/>
      <c r="V121" s="152"/>
      <c r="W121" s="152"/>
      <c r="X121" s="152"/>
      <c r="Y121" s="152"/>
    </row>
    <row r="122">
      <c r="A122" s="152"/>
      <c r="B122" s="152"/>
      <c r="C122" s="152"/>
      <c r="D122" s="152"/>
      <c r="E122" s="152"/>
      <c r="F122" s="152"/>
      <c r="G122" s="152"/>
      <c r="H122" s="152"/>
      <c r="I122" s="152"/>
      <c r="J122" s="152"/>
      <c r="K122" s="152"/>
      <c r="L122" s="152"/>
      <c r="M122" s="152"/>
      <c r="N122" s="152"/>
      <c r="O122" s="152"/>
      <c r="P122" s="152"/>
      <c r="Q122" s="152"/>
      <c r="R122" s="152"/>
      <c r="S122" s="152"/>
      <c r="T122" s="152"/>
      <c r="U122" s="152"/>
      <c r="V122" s="152"/>
      <c r="W122" s="152"/>
      <c r="X122" s="152"/>
      <c r="Y122" s="152"/>
    </row>
    <row r="123">
      <c r="A123" s="152"/>
      <c r="B123" s="152"/>
      <c r="C123" s="152"/>
      <c r="D123" s="152"/>
      <c r="E123" s="152"/>
      <c r="F123" s="152"/>
      <c r="G123" s="152"/>
      <c r="H123" s="152"/>
      <c r="I123" s="152"/>
      <c r="J123" s="152"/>
      <c r="K123" s="152"/>
      <c r="L123" s="152"/>
      <c r="M123" s="152"/>
      <c r="N123" s="152"/>
      <c r="O123" s="152"/>
      <c r="P123" s="152"/>
      <c r="Q123" s="152"/>
      <c r="R123" s="152"/>
      <c r="S123" s="152"/>
      <c r="T123" s="152"/>
      <c r="U123" s="152"/>
      <c r="V123" s="152"/>
      <c r="W123" s="152"/>
      <c r="X123" s="152"/>
      <c r="Y123" s="152"/>
    </row>
    <row r="124">
      <c r="A124" s="152"/>
      <c r="B124" s="152"/>
      <c r="C124" s="152"/>
      <c r="D124" s="152"/>
      <c r="E124" s="152"/>
      <c r="F124" s="152"/>
      <c r="G124" s="152"/>
      <c r="H124" s="152"/>
      <c r="I124" s="152"/>
      <c r="J124" s="152"/>
      <c r="K124" s="152"/>
      <c r="L124" s="152"/>
      <c r="M124" s="152"/>
      <c r="N124" s="152"/>
      <c r="O124" s="152"/>
      <c r="P124" s="152"/>
      <c r="Q124" s="152"/>
      <c r="R124" s="152"/>
      <c r="S124" s="152"/>
      <c r="T124" s="152"/>
      <c r="U124" s="152"/>
      <c r="V124" s="152"/>
      <c r="W124" s="152"/>
      <c r="X124" s="152"/>
      <c r="Y124" s="152"/>
    </row>
    <row r="125">
      <c r="A125" s="152"/>
      <c r="B125" s="152"/>
      <c r="C125" s="152"/>
      <c r="D125" s="152"/>
      <c r="E125" s="152"/>
      <c r="F125" s="152"/>
      <c r="G125" s="152"/>
      <c r="H125" s="152"/>
      <c r="I125" s="152"/>
      <c r="J125" s="152"/>
      <c r="K125" s="152"/>
      <c r="L125" s="152"/>
      <c r="M125" s="152"/>
      <c r="N125" s="152"/>
      <c r="O125" s="152"/>
      <c r="P125" s="152"/>
      <c r="Q125" s="152"/>
      <c r="R125" s="152"/>
      <c r="S125" s="152"/>
      <c r="T125" s="152"/>
      <c r="U125" s="152"/>
      <c r="V125" s="152"/>
      <c r="W125" s="152"/>
      <c r="X125" s="152"/>
      <c r="Y125" s="152"/>
    </row>
    <row r="126">
      <c r="A126" s="152"/>
      <c r="B126" s="152"/>
      <c r="C126" s="152"/>
      <c r="D126" s="152"/>
      <c r="E126" s="152"/>
      <c r="F126" s="152"/>
      <c r="G126" s="152"/>
      <c r="H126" s="152"/>
      <c r="I126" s="152"/>
      <c r="J126" s="152"/>
      <c r="K126" s="152"/>
      <c r="L126" s="152"/>
      <c r="M126" s="152"/>
      <c r="N126" s="152"/>
      <c r="O126" s="152"/>
      <c r="P126" s="152"/>
      <c r="Q126" s="152"/>
      <c r="R126" s="152"/>
      <c r="S126" s="152"/>
      <c r="T126" s="152"/>
      <c r="U126" s="152"/>
      <c r="V126" s="152"/>
      <c r="W126" s="152"/>
      <c r="X126" s="152"/>
      <c r="Y126" s="152"/>
    </row>
    <row r="127">
      <c r="A127" s="152"/>
      <c r="B127" s="152"/>
      <c r="C127" s="152"/>
      <c r="D127" s="152"/>
      <c r="E127" s="152"/>
      <c r="F127" s="152"/>
      <c r="G127" s="152"/>
      <c r="H127" s="152"/>
      <c r="I127" s="152"/>
      <c r="J127" s="152"/>
      <c r="K127" s="152"/>
      <c r="L127" s="152"/>
      <c r="M127" s="152"/>
      <c r="N127" s="152"/>
      <c r="O127" s="152"/>
      <c r="P127" s="152"/>
      <c r="Q127" s="152"/>
      <c r="R127" s="152"/>
      <c r="S127" s="152"/>
      <c r="T127" s="152"/>
      <c r="U127" s="152"/>
      <c r="V127" s="152"/>
      <c r="W127" s="152"/>
      <c r="X127" s="152"/>
      <c r="Y127" s="152"/>
    </row>
    <row r="128">
      <c r="A128" s="152"/>
      <c r="B128" s="152"/>
      <c r="C128" s="152"/>
      <c r="D128" s="152"/>
      <c r="E128" s="152"/>
      <c r="F128" s="152"/>
      <c r="G128" s="152"/>
      <c r="H128" s="152"/>
      <c r="I128" s="152"/>
      <c r="J128" s="152"/>
      <c r="K128" s="152"/>
      <c r="L128" s="152"/>
      <c r="M128" s="152"/>
      <c r="N128" s="152"/>
      <c r="O128" s="152"/>
      <c r="P128" s="152"/>
      <c r="Q128" s="152"/>
      <c r="R128" s="152"/>
      <c r="S128" s="152"/>
      <c r="T128" s="152"/>
      <c r="U128" s="152"/>
      <c r="V128" s="152"/>
      <c r="W128" s="152"/>
      <c r="X128" s="152"/>
      <c r="Y128" s="152"/>
    </row>
    <row r="129">
      <c r="A129" s="152"/>
      <c r="B129" s="152"/>
      <c r="C129" s="152"/>
      <c r="D129" s="152"/>
      <c r="E129" s="152"/>
      <c r="F129" s="152"/>
      <c r="G129" s="152"/>
      <c r="H129" s="152"/>
      <c r="I129" s="152"/>
      <c r="J129" s="152"/>
      <c r="K129" s="152"/>
      <c r="L129" s="152"/>
      <c r="M129" s="152"/>
      <c r="N129" s="152"/>
      <c r="O129" s="152"/>
      <c r="P129" s="152"/>
      <c r="Q129" s="152"/>
      <c r="R129" s="152"/>
      <c r="S129" s="152"/>
      <c r="T129" s="152"/>
      <c r="U129" s="152"/>
      <c r="V129" s="152"/>
      <c r="W129" s="152"/>
      <c r="X129" s="152"/>
      <c r="Y129" s="152"/>
    </row>
    <row r="130">
      <c r="A130" s="152"/>
      <c r="B130" s="152"/>
      <c r="C130" s="152"/>
      <c r="D130" s="152"/>
      <c r="E130" s="152"/>
      <c r="F130" s="152"/>
      <c r="G130" s="152"/>
      <c r="H130" s="152"/>
      <c r="I130" s="152"/>
      <c r="J130" s="152"/>
      <c r="K130" s="152"/>
      <c r="L130" s="152"/>
      <c r="M130" s="152"/>
      <c r="N130" s="152"/>
      <c r="O130" s="152"/>
      <c r="P130" s="152"/>
      <c r="Q130" s="152"/>
      <c r="R130" s="152"/>
      <c r="S130" s="152"/>
      <c r="T130" s="152"/>
      <c r="U130" s="152"/>
      <c r="V130" s="152"/>
      <c r="W130" s="152"/>
      <c r="X130" s="152"/>
      <c r="Y130" s="152"/>
    </row>
    <row r="131">
      <c r="A131" s="152"/>
      <c r="B131" s="152"/>
      <c r="C131" s="152"/>
      <c r="D131" s="152"/>
      <c r="E131" s="152"/>
      <c r="F131" s="152"/>
      <c r="G131" s="152"/>
      <c r="H131" s="152"/>
      <c r="I131" s="152"/>
      <c r="J131" s="152"/>
      <c r="K131" s="152"/>
      <c r="L131" s="152"/>
      <c r="M131" s="152"/>
      <c r="N131" s="152"/>
      <c r="O131" s="152"/>
      <c r="P131" s="152"/>
      <c r="Q131" s="152"/>
      <c r="R131" s="152"/>
      <c r="S131" s="152"/>
      <c r="T131" s="152"/>
      <c r="U131" s="152"/>
      <c r="V131" s="152"/>
      <c r="W131" s="152"/>
      <c r="X131" s="152"/>
      <c r="Y131" s="152"/>
    </row>
    <row r="132">
      <c r="A132" s="152"/>
      <c r="B132" s="152"/>
      <c r="C132" s="152"/>
      <c r="D132" s="152"/>
      <c r="E132" s="152"/>
      <c r="F132" s="152"/>
      <c r="G132" s="152"/>
      <c r="H132" s="152"/>
      <c r="I132" s="152"/>
      <c r="J132" s="152"/>
      <c r="K132" s="152"/>
      <c r="L132" s="152"/>
      <c r="M132" s="152"/>
      <c r="N132" s="152"/>
      <c r="O132" s="152"/>
      <c r="P132" s="152"/>
      <c r="Q132" s="152"/>
      <c r="R132" s="152"/>
      <c r="S132" s="152"/>
      <c r="T132" s="152"/>
      <c r="U132" s="152"/>
      <c r="V132" s="152"/>
      <c r="W132" s="152"/>
      <c r="X132" s="152"/>
      <c r="Y132" s="152"/>
    </row>
    <row r="133">
      <c r="A133" s="152"/>
      <c r="B133" s="152"/>
      <c r="C133" s="152"/>
      <c r="D133" s="152"/>
      <c r="E133" s="152"/>
      <c r="F133" s="152"/>
      <c r="G133" s="152"/>
      <c r="H133" s="152"/>
      <c r="I133" s="152"/>
      <c r="J133" s="152"/>
      <c r="K133" s="152"/>
      <c r="L133" s="152"/>
      <c r="M133" s="152"/>
      <c r="N133" s="152"/>
      <c r="O133" s="152"/>
      <c r="P133" s="152"/>
      <c r="Q133" s="152"/>
      <c r="R133" s="152"/>
      <c r="S133" s="152"/>
      <c r="T133" s="152"/>
      <c r="U133" s="152"/>
      <c r="V133" s="152"/>
      <c r="W133" s="152"/>
      <c r="X133" s="152"/>
      <c r="Y133" s="152"/>
    </row>
    <row r="134">
      <c r="A134" s="152"/>
      <c r="B134" s="152"/>
      <c r="C134" s="152"/>
      <c r="D134" s="152"/>
      <c r="E134" s="152"/>
      <c r="F134" s="152"/>
      <c r="G134" s="152"/>
      <c r="H134" s="152"/>
      <c r="I134" s="152"/>
      <c r="J134" s="152"/>
      <c r="K134" s="152"/>
      <c r="L134" s="152"/>
      <c r="M134" s="152"/>
      <c r="N134" s="152"/>
      <c r="O134" s="152"/>
      <c r="P134" s="152"/>
      <c r="Q134" s="152"/>
      <c r="R134" s="152"/>
      <c r="S134" s="152"/>
      <c r="T134" s="152"/>
      <c r="U134" s="152"/>
      <c r="V134" s="152"/>
      <c r="W134" s="152"/>
      <c r="X134" s="152"/>
      <c r="Y134" s="152"/>
    </row>
    <row r="135">
      <c r="A135" s="152"/>
      <c r="B135" s="152"/>
      <c r="C135" s="152"/>
      <c r="D135" s="152"/>
      <c r="E135" s="152"/>
      <c r="F135" s="152"/>
      <c r="G135" s="152"/>
      <c r="H135" s="152"/>
      <c r="I135" s="152"/>
      <c r="J135" s="152"/>
      <c r="K135" s="152"/>
      <c r="L135" s="152"/>
      <c r="M135" s="152"/>
      <c r="N135" s="152"/>
      <c r="O135" s="152"/>
      <c r="P135" s="152"/>
      <c r="Q135" s="152"/>
      <c r="R135" s="152"/>
      <c r="S135" s="152"/>
      <c r="T135" s="152"/>
      <c r="U135" s="152"/>
      <c r="V135" s="152"/>
      <c r="W135" s="152"/>
      <c r="X135" s="152"/>
      <c r="Y135" s="152"/>
    </row>
    <row r="136">
      <c r="A136" s="152"/>
      <c r="B136" s="152"/>
      <c r="C136" s="152"/>
      <c r="D136" s="152"/>
      <c r="E136" s="152"/>
      <c r="F136" s="152"/>
      <c r="G136" s="152"/>
      <c r="H136" s="152"/>
      <c r="I136" s="152"/>
      <c r="J136" s="152"/>
      <c r="K136" s="152"/>
      <c r="L136" s="152"/>
      <c r="M136" s="152"/>
      <c r="N136" s="152"/>
      <c r="O136" s="152"/>
      <c r="P136" s="152"/>
      <c r="Q136" s="152"/>
      <c r="R136" s="152"/>
      <c r="S136" s="152"/>
      <c r="T136" s="152"/>
      <c r="U136" s="152"/>
      <c r="V136" s="152"/>
      <c r="W136" s="152"/>
      <c r="X136" s="152"/>
      <c r="Y136" s="152"/>
    </row>
    <row r="137">
      <c r="A137" s="152"/>
      <c r="B137" s="152"/>
      <c r="C137" s="152"/>
      <c r="D137" s="152"/>
      <c r="E137" s="152"/>
      <c r="F137" s="152"/>
      <c r="G137" s="152"/>
      <c r="H137" s="152"/>
      <c r="I137" s="152"/>
      <c r="J137" s="152"/>
      <c r="K137" s="152"/>
      <c r="L137" s="152"/>
      <c r="M137" s="152"/>
      <c r="N137" s="152"/>
      <c r="O137" s="152"/>
      <c r="P137" s="152"/>
      <c r="Q137" s="152"/>
      <c r="R137" s="152"/>
      <c r="S137" s="152"/>
      <c r="T137" s="152"/>
      <c r="U137" s="152"/>
      <c r="V137" s="152"/>
      <c r="W137" s="152"/>
      <c r="X137" s="152"/>
      <c r="Y137" s="152"/>
    </row>
    <row r="138">
      <c r="A138" s="152"/>
      <c r="B138" s="152"/>
      <c r="C138" s="152"/>
      <c r="D138" s="152"/>
      <c r="E138" s="152"/>
      <c r="F138" s="152"/>
      <c r="G138" s="152"/>
      <c r="H138" s="152"/>
      <c r="I138" s="152"/>
      <c r="J138" s="152"/>
      <c r="K138" s="152"/>
      <c r="L138" s="152"/>
      <c r="M138" s="152"/>
      <c r="N138" s="152"/>
      <c r="O138" s="152"/>
      <c r="P138" s="152"/>
      <c r="Q138" s="152"/>
      <c r="R138" s="152"/>
      <c r="S138" s="152"/>
      <c r="T138" s="152"/>
      <c r="U138" s="152"/>
      <c r="V138" s="152"/>
      <c r="W138" s="152"/>
      <c r="X138" s="152"/>
      <c r="Y138" s="152"/>
    </row>
    <row r="139">
      <c r="A139" s="152"/>
      <c r="B139" s="152"/>
      <c r="C139" s="152"/>
      <c r="D139" s="152"/>
      <c r="E139" s="152"/>
      <c r="F139" s="152"/>
      <c r="G139" s="152"/>
      <c r="H139" s="152"/>
      <c r="I139" s="152"/>
      <c r="J139" s="152"/>
      <c r="K139" s="152"/>
      <c r="L139" s="152"/>
      <c r="M139" s="152"/>
      <c r="N139" s="152"/>
      <c r="O139" s="152"/>
      <c r="P139" s="152"/>
      <c r="Q139" s="152"/>
      <c r="R139" s="152"/>
      <c r="S139" s="152"/>
      <c r="T139" s="152"/>
      <c r="U139" s="152"/>
      <c r="V139" s="152"/>
      <c r="W139" s="152"/>
      <c r="X139" s="152"/>
      <c r="Y139" s="152"/>
    </row>
    <row r="140">
      <c r="A140" s="152"/>
      <c r="B140" s="152"/>
      <c r="C140" s="152"/>
      <c r="D140" s="152"/>
      <c r="E140" s="152"/>
      <c r="F140" s="152"/>
      <c r="G140" s="152"/>
      <c r="H140" s="152"/>
      <c r="I140" s="152"/>
      <c r="J140" s="152"/>
      <c r="K140" s="152"/>
      <c r="L140" s="152"/>
      <c r="M140" s="152"/>
      <c r="N140" s="152"/>
      <c r="O140" s="152"/>
      <c r="P140" s="152"/>
      <c r="Q140" s="152"/>
      <c r="R140" s="152"/>
      <c r="S140" s="152"/>
      <c r="T140" s="152"/>
      <c r="U140" s="152"/>
      <c r="V140" s="152"/>
      <c r="W140" s="152"/>
      <c r="X140" s="152"/>
      <c r="Y140" s="152"/>
    </row>
    <row r="141">
      <c r="A141" s="152"/>
      <c r="B141" s="152"/>
      <c r="C141" s="152"/>
      <c r="D141" s="152"/>
      <c r="E141" s="152"/>
      <c r="F141" s="152"/>
      <c r="G141" s="152"/>
      <c r="H141" s="152"/>
      <c r="I141" s="152"/>
      <c r="J141" s="152"/>
      <c r="K141" s="152"/>
      <c r="L141" s="152"/>
      <c r="M141" s="152"/>
      <c r="N141" s="152"/>
      <c r="O141" s="152"/>
      <c r="P141" s="152"/>
      <c r="Q141" s="152"/>
      <c r="R141" s="152"/>
      <c r="S141" s="152"/>
      <c r="T141" s="152"/>
      <c r="U141" s="152"/>
      <c r="V141" s="152"/>
      <c r="W141" s="152"/>
      <c r="X141" s="152"/>
      <c r="Y141" s="152"/>
    </row>
    <row r="142">
      <c r="A142" s="152"/>
      <c r="B142" s="152"/>
      <c r="C142" s="152"/>
      <c r="D142" s="152"/>
      <c r="E142" s="152"/>
      <c r="F142" s="152"/>
      <c r="G142" s="152"/>
      <c r="H142" s="152"/>
      <c r="I142" s="152"/>
      <c r="J142" s="152"/>
      <c r="K142" s="152"/>
      <c r="L142" s="152"/>
      <c r="M142" s="152"/>
      <c r="N142" s="152"/>
      <c r="O142" s="152"/>
      <c r="P142" s="152"/>
      <c r="Q142" s="152"/>
      <c r="R142" s="152"/>
      <c r="S142" s="152"/>
      <c r="T142" s="152"/>
      <c r="U142" s="152"/>
      <c r="V142" s="152"/>
      <c r="W142" s="152"/>
      <c r="X142" s="152"/>
      <c r="Y142" s="152"/>
    </row>
    <row r="143">
      <c r="A143" s="152"/>
      <c r="B143" s="152"/>
      <c r="C143" s="152"/>
      <c r="D143" s="152"/>
      <c r="E143" s="152"/>
      <c r="F143" s="152"/>
      <c r="G143" s="152"/>
      <c r="H143" s="152"/>
      <c r="I143" s="152"/>
      <c r="J143" s="152"/>
      <c r="K143" s="152"/>
      <c r="L143" s="152"/>
      <c r="M143" s="152"/>
      <c r="N143" s="152"/>
      <c r="O143" s="152"/>
      <c r="P143" s="152"/>
      <c r="Q143" s="152"/>
      <c r="R143" s="152"/>
      <c r="S143" s="152"/>
      <c r="T143" s="152"/>
      <c r="U143" s="152"/>
      <c r="V143" s="152"/>
      <c r="W143" s="152"/>
      <c r="X143" s="152"/>
      <c r="Y143" s="152"/>
    </row>
    <row r="144">
      <c r="A144" s="152"/>
      <c r="B144" s="152"/>
      <c r="C144" s="152"/>
      <c r="D144" s="152"/>
      <c r="E144" s="152"/>
      <c r="F144" s="152"/>
      <c r="G144" s="152"/>
      <c r="H144" s="152"/>
      <c r="I144" s="152"/>
      <c r="J144" s="152"/>
      <c r="K144" s="152"/>
      <c r="L144" s="152"/>
      <c r="M144" s="152"/>
      <c r="N144" s="152"/>
      <c r="O144" s="152"/>
      <c r="P144" s="152"/>
      <c r="Q144" s="152"/>
      <c r="R144" s="152"/>
      <c r="S144" s="152"/>
      <c r="T144" s="152"/>
      <c r="U144" s="152"/>
      <c r="V144" s="152"/>
      <c r="W144" s="152"/>
      <c r="X144" s="152"/>
      <c r="Y144" s="152"/>
    </row>
    <row r="145">
      <c r="A145" s="152"/>
      <c r="B145" s="152"/>
      <c r="C145" s="152"/>
      <c r="D145" s="152"/>
      <c r="E145" s="152"/>
      <c r="F145" s="152"/>
      <c r="G145" s="152"/>
      <c r="H145" s="152"/>
      <c r="I145" s="152"/>
      <c r="J145" s="152"/>
      <c r="K145" s="152"/>
      <c r="L145" s="152"/>
      <c r="M145" s="152"/>
      <c r="N145" s="152"/>
      <c r="O145" s="152"/>
      <c r="P145" s="152"/>
      <c r="Q145" s="152"/>
      <c r="R145" s="152"/>
      <c r="S145" s="152"/>
      <c r="T145" s="152"/>
      <c r="U145" s="152"/>
      <c r="V145" s="152"/>
      <c r="W145" s="152"/>
      <c r="X145" s="152"/>
      <c r="Y145" s="152"/>
    </row>
    <row r="146">
      <c r="A146" s="152"/>
      <c r="B146" s="152"/>
      <c r="C146" s="152"/>
      <c r="D146" s="152"/>
      <c r="E146" s="152"/>
      <c r="F146" s="152"/>
      <c r="G146" s="152"/>
      <c r="H146" s="152"/>
      <c r="I146" s="152"/>
      <c r="J146" s="152"/>
      <c r="K146" s="152"/>
      <c r="L146" s="152"/>
      <c r="M146" s="152"/>
      <c r="N146" s="152"/>
      <c r="O146" s="152"/>
      <c r="P146" s="152"/>
      <c r="Q146" s="152"/>
      <c r="R146" s="152"/>
      <c r="S146" s="152"/>
      <c r="T146" s="152"/>
      <c r="U146" s="152"/>
      <c r="V146" s="152"/>
      <c r="W146" s="152"/>
      <c r="X146" s="152"/>
      <c r="Y146" s="152"/>
    </row>
    <row r="147">
      <c r="A147" s="152"/>
      <c r="B147" s="152"/>
      <c r="C147" s="152"/>
      <c r="D147" s="152"/>
      <c r="E147" s="152"/>
      <c r="F147" s="152"/>
      <c r="G147" s="152"/>
      <c r="H147" s="152"/>
      <c r="I147" s="152"/>
      <c r="J147" s="152"/>
      <c r="K147" s="152"/>
      <c r="L147" s="152"/>
      <c r="M147" s="152"/>
      <c r="N147" s="152"/>
      <c r="O147" s="152"/>
      <c r="P147" s="152"/>
      <c r="Q147" s="152"/>
      <c r="R147" s="152"/>
      <c r="S147" s="152"/>
      <c r="T147" s="152"/>
      <c r="U147" s="152"/>
      <c r="V147" s="152"/>
      <c r="W147" s="152"/>
      <c r="X147" s="152"/>
      <c r="Y147" s="152"/>
    </row>
    <row r="148">
      <c r="A148" s="152"/>
      <c r="B148" s="152"/>
      <c r="C148" s="152"/>
      <c r="D148" s="152"/>
      <c r="E148" s="152"/>
      <c r="F148" s="152"/>
      <c r="G148" s="152"/>
      <c r="H148" s="152"/>
      <c r="I148" s="152"/>
      <c r="J148" s="152"/>
      <c r="K148" s="152"/>
      <c r="L148" s="152"/>
      <c r="M148" s="152"/>
      <c r="N148" s="152"/>
      <c r="O148" s="152"/>
      <c r="P148" s="152"/>
      <c r="Q148" s="152"/>
      <c r="R148" s="152"/>
      <c r="S148" s="152"/>
      <c r="T148" s="152"/>
      <c r="U148" s="152"/>
      <c r="V148" s="152"/>
      <c r="W148" s="152"/>
      <c r="X148" s="152"/>
      <c r="Y148" s="152"/>
    </row>
    <row r="149">
      <c r="A149" s="152"/>
      <c r="B149" s="152"/>
      <c r="C149" s="152"/>
      <c r="D149" s="152"/>
      <c r="E149" s="152"/>
      <c r="F149" s="152"/>
      <c r="G149" s="152"/>
      <c r="H149" s="152"/>
      <c r="I149" s="152"/>
      <c r="J149" s="152"/>
      <c r="K149" s="152"/>
      <c r="L149" s="152"/>
      <c r="M149" s="152"/>
      <c r="N149" s="152"/>
      <c r="O149" s="152"/>
      <c r="P149" s="152"/>
      <c r="Q149" s="152"/>
      <c r="R149" s="152"/>
      <c r="S149" s="152"/>
      <c r="T149" s="152"/>
      <c r="U149" s="152"/>
      <c r="V149" s="152"/>
      <c r="W149" s="152"/>
      <c r="X149" s="152"/>
      <c r="Y149" s="152"/>
    </row>
    <row r="150">
      <c r="A150" s="152"/>
      <c r="B150" s="152"/>
      <c r="C150" s="152"/>
      <c r="D150" s="152"/>
      <c r="E150" s="152"/>
      <c r="F150" s="152"/>
      <c r="G150" s="152"/>
      <c r="H150" s="152"/>
      <c r="I150" s="152"/>
      <c r="J150" s="152"/>
      <c r="K150" s="152"/>
      <c r="L150" s="152"/>
      <c r="M150" s="152"/>
      <c r="N150" s="152"/>
      <c r="O150" s="152"/>
      <c r="P150" s="152"/>
      <c r="Q150" s="152"/>
      <c r="R150" s="152"/>
      <c r="S150" s="152"/>
      <c r="T150" s="152"/>
      <c r="U150" s="152"/>
      <c r="V150" s="152"/>
      <c r="W150" s="152"/>
      <c r="X150" s="152"/>
      <c r="Y150" s="152"/>
    </row>
    <row r="151">
      <c r="A151" s="152"/>
      <c r="B151" s="152"/>
      <c r="C151" s="152"/>
      <c r="D151" s="152"/>
      <c r="E151" s="152"/>
      <c r="F151" s="152"/>
      <c r="G151" s="152"/>
      <c r="H151" s="152"/>
      <c r="I151" s="152"/>
      <c r="J151" s="152"/>
      <c r="K151" s="152"/>
      <c r="L151" s="152"/>
      <c r="M151" s="152"/>
      <c r="N151" s="152"/>
      <c r="O151" s="152"/>
      <c r="P151" s="152"/>
      <c r="Q151" s="152"/>
      <c r="R151" s="152"/>
      <c r="S151" s="152"/>
      <c r="T151" s="152"/>
      <c r="U151" s="152"/>
      <c r="V151" s="152"/>
      <c r="W151" s="152"/>
      <c r="X151" s="152"/>
      <c r="Y151" s="152"/>
    </row>
    <row r="152">
      <c r="A152" s="152"/>
      <c r="B152" s="152"/>
      <c r="C152" s="152"/>
      <c r="D152" s="152"/>
      <c r="E152" s="152"/>
      <c r="F152" s="152"/>
      <c r="G152" s="152"/>
      <c r="H152" s="152"/>
      <c r="I152" s="152"/>
      <c r="J152" s="152"/>
      <c r="K152" s="152"/>
      <c r="L152" s="152"/>
      <c r="M152" s="152"/>
      <c r="N152" s="152"/>
      <c r="O152" s="152"/>
      <c r="P152" s="152"/>
      <c r="Q152" s="152"/>
      <c r="R152" s="152"/>
      <c r="S152" s="152"/>
      <c r="T152" s="152"/>
      <c r="U152" s="152"/>
      <c r="V152" s="152"/>
      <c r="W152" s="152"/>
      <c r="X152" s="152"/>
      <c r="Y152" s="152"/>
    </row>
    <row r="153">
      <c r="A153" s="152"/>
      <c r="B153" s="152"/>
      <c r="C153" s="152"/>
      <c r="D153" s="152"/>
      <c r="E153" s="152"/>
      <c r="F153" s="152"/>
      <c r="G153" s="152"/>
      <c r="H153" s="152"/>
      <c r="I153" s="152"/>
      <c r="J153" s="152"/>
      <c r="K153" s="152"/>
      <c r="L153" s="152"/>
      <c r="M153" s="152"/>
      <c r="N153" s="152"/>
      <c r="O153" s="152"/>
      <c r="P153" s="152"/>
      <c r="Q153" s="152"/>
      <c r="R153" s="152"/>
      <c r="S153" s="152"/>
      <c r="T153" s="152"/>
      <c r="U153" s="152"/>
      <c r="V153" s="152"/>
      <c r="W153" s="152"/>
      <c r="X153" s="152"/>
      <c r="Y153" s="152"/>
    </row>
    <row r="154">
      <c r="A154" s="152"/>
      <c r="B154" s="152"/>
      <c r="C154" s="152"/>
      <c r="D154" s="152"/>
      <c r="E154" s="152"/>
      <c r="F154" s="152"/>
      <c r="G154" s="152"/>
      <c r="H154" s="152"/>
      <c r="I154" s="152"/>
      <c r="J154" s="152"/>
      <c r="K154" s="152"/>
      <c r="L154" s="152"/>
      <c r="M154" s="152"/>
      <c r="N154" s="152"/>
      <c r="O154" s="152"/>
      <c r="P154" s="152"/>
      <c r="Q154" s="152"/>
      <c r="R154" s="152"/>
      <c r="S154" s="152"/>
      <c r="T154" s="152"/>
      <c r="U154" s="152"/>
      <c r="V154" s="152"/>
      <c r="W154" s="152"/>
      <c r="X154" s="152"/>
      <c r="Y154" s="152"/>
    </row>
    <row r="155">
      <c r="A155" s="152"/>
      <c r="B155" s="152"/>
      <c r="C155" s="152"/>
      <c r="D155" s="152"/>
      <c r="E155" s="152"/>
      <c r="F155" s="152"/>
      <c r="G155" s="152"/>
      <c r="H155" s="152"/>
      <c r="I155" s="152"/>
      <c r="J155" s="152"/>
      <c r="K155" s="152"/>
      <c r="L155" s="152"/>
      <c r="M155" s="152"/>
      <c r="N155" s="152"/>
      <c r="O155" s="152"/>
      <c r="P155" s="152"/>
      <c r="Q155" s="152"/>
      <c r="R155" s="152"/>
      <c r="S155" s="152"/>
      <c r="T155" s="152"/>
      <c r="U155" s="152"/>
      <c r="V155" s="152"/>
      <c r="W155" s="152"/>
      <c r="X155" s="152"/>
      <c r="Y155" s="152"/>
    </row>
    <row r="156">
      <c r="A156" s="152"/>
      <c r="B156" s="152"/>
      <c r="C156" s="152"/>
      <c r="D156" s="152"/>
      <c r="E156" s="152"/>
      <c r="F156" s="152"/>
      <c r="G156" s="152"/>
      <c r="H156" s="152"/>
      <c r="I156" s="152"/>
      <c r="J156" s="152"/>
      <c r="K156" s="152"/>
      <c r="L156" s="152"/>
      <c r="M156" s="152"/>
      <c r="N156" s="152"/>
      <c r="O156" s="152"/>
      <c r="P156" s="152"/>
      <c r="Q156" s="152"/>
      <c r="R156" s="152"/>
      <c r="S156" s="152"/>
      <c r="T156" s="152"/>
      <c r="U156" s="152"/>
      <c r="V156" s="152"/>
      <c r="W156" s="152"/>
      <c r="X156" s="152"/>
      <c r="Y156" s="152"/>
    </row>
    <row r="157">
      <c r="A157" s="152"/>
      <c r="B157" s="152"/>
      <c r="C157" s="152"/>
      <c r="D157" s="152"/>
      <c r="E157" s="152"/>
      <c r="F157" s="152"/>
      <c r="G157" s="152"/>
      <c r="H157" s="152"/>
      <c r="I157" s="152"/>
      <c r="J157" s="152"/>
      <c r="K157" s="152"/>
      <c r="L157" s="152"/>
      <c r="M157" s="152"/>
      <c r="N157" s="152"/>
      <c r="O157" s="152"/>
      <c r="P157" s="152"/>
      <c r="Q157" s="152"/>
      <c r="R157" s="152"/>
      <c r="S157" s="152"/>
      <c r="T157" s="152"/>
      <c r="U157" s="152"/>
      <c r="V157" s="152"/>
      <c r="W157" s="152"/>
      <c r="X157" s="152"/>
      <c r="Y157" s="152"/>
    </row>
    <row r="158">
      <c r="A158" s="152"/>
      <c r="B158" s="152"/>
      <c r="C158" s="152"/>
      <c r="D158" s="152"/>
      <c r="E158" s="152"/>
      <c r="F158" s="152"/>
      <c r="G158" s="152"/>
      <c r="H158" s="152"/>
      <c r="I158" s="152"/>
      <c r="J158" s="152"/>
      <c r="K158" s="152"/>
      <c r="L158" s="152"/>
      <c r="M158" s="152"/>
      <c r="N158" s="152"/>
      <c r="O158" s="152"/>
      <c r="P158" s="152"/>
      <c r="Q158" s="152"/>
      <c r="R158" s="152"/>
      <c r="S158" s="152"/>
      <c r="T158" s="152"/>
      <c r="U158" s="152"/>
      <c r="V158" s="152"/>
      <c r="W158" s="152"/>
      <c r="X158" s="152"/>
      <c r="Y158" s="152"/>
    </row>
    <row r="159">
      <c r="A159" s="152"/>
      <c r="B159" s="152"/>
      <c r="C159" s="152"/>
      <c r="D159" s="152"/>
      <c r="E159" s="152"/>
      <c r="F159" s="152"/>
      <c r="G159" s="152"/>
      <c r="H159" s="152"/>
      <c r="I159" s="152"/>
      <c r="J159" s="152"/>
      <c r="K159" s="152"/>
      <c r="L159" s="152"/>
      <c r="M159" s="152"/>
      <c r="N159" s="152"/>
      <c r="O159" s="152"/>
      <c r="P159" s="152"/>
      <c r="Q159" s="152"/>
      <c r="R159" s="152"/>
      <c r="S159" s="152"/>
      <c r="T159" s="152"/>
      <c r="U159" s="152"/>
      <c r="V159" s="152"/>
      <c r="W159" s="152"/>
      <c r="X159" s="152"/>
      <c r="Y159" s="152"/>
    </row>
    <row r="160">
      <c r="A160" s="152"/>
      <c r="B160" s="152"/>
      <c r="C160" s="152"/>
      <c r="D160" s="152"/>
      <c r="E160" s="152"/>
      <c r="F160" s="152"/>
      <c r="G160" s="152"/>
      <c r="H160" s="152"/>
      <c r="I160" s="152"/>
      <c r="J160" s="152"/>
      <c r="K160" s="152"/>
      <c r="L160" s="152"/>
      <c r="M160" s="152"/>
      <c r="N160" s="152"/>
      <c r="O160" s="152"/>
      <c r="P160" s="152"/>
      <c r="Q160" s="152"/>
      <c r="R160" s="152"/>
      <c r="S160" s="152"/>
      <c r="T160" s="152"/>
      <c r="U160" s="152"/>
      <c r="V160" s="152"/>
      <c r="W160" s="152"/>
      <c r="X160" s="152"/>
      <c r="Y160" s="152"/>
    </row>
    <row r="161">
      <c r="A161" s="152"/>
      <c r="B161" s="152"/>
      <c r="C161" s="152"/>
      <c r="D161" s="152"/>
      <c r="E161" s="152"/>
      <c r="F161" s="152"/>
      <c r="G161" s="152"/>
      <c r="H161" s="152"/>
      <c r="I161" s="152"/>
      <c r="J161" s="152"/>
      <c r="K161" s="152"/>
      <c r="L161" s="152"/>
      <c r="M161" s="152"/>
      <c r="N161" s="152"/>
      <c r="O161" s="152"/>
      <c r="P161" s="152"/>
      <c r="Q161" s="152"/>
      <c r="R161" s="152"/>
      <c r="S161" s="152"/>
      <c r="T161" s="152"/>
      <c r="U161" s="152"/>
      <c r="V161" s="152"/>
      <c r="W161" s="152"/>
      <c r="X161" s="152"/>
      <c r="Y161" s="152"/>
    </row>
    <row r="162">
      <c r="A162" s="152"/>
      <c r="B162" s="152"/>
      <c r="C162" s="152"/>
      <c r="D162" s="152"/>
      <c r="E162" s="152"/>
      <c r="F162" s="152"/>
      <c r="G162" s="152"/>
      <c r="H162" s="152"/>
      <c r="I162" s="152"/>
      <c r="J162" s="152"/>
      <c r="K162" s="152"/>
      <c r="L162" s="152"/>
      <c r="M162" s="152"/>
      <c r="N162" s="152"/>
      <c r="O162" s="152"/>
      <c r="P162" s="152"/>
      <c r="Q162" s="152"/>
      <c r="R162" s="152"/>
      <c r="S162" s="152"/>
      <c r="T162" s="152"/>
      <c r="U162" s="152"/>
      <c r="V162" s="152"/>
      <c r="W162" s="152"/>
      <c r="X162" s="152"/>
      <c r="Y162" s="152"/>
    </row>
    <row r="163">
      <c r="A163" s="152"/>
      <c r="B163" s="152"/>
      <c r="C163" s="152"/>
      <c r="D163" s="152"/>
      <c r="E163" s="152"/>
      <c r="F163" s="152"/>
      <c r="G163" s="152"/>
      <c r="H163" s="152"/>
      <c r="I163" s="152"/>
      <c r="J163" s="152"/>
      <c r="K163" s="152"/>
      <c r="L163" s="152"/>
      <c r="M163" s="152"/>
      <c r="N163" s="152"/>
      <c r="O163" s="152"/>
      <c r="P163" s="152"/>
      <c r="Q163" s="152"/>
      <c r="R163" s="152"/>
      <c r="S163" s="152"/>
      <c r="T163" s="152"/>
      <c r="U163" s="152"/>
      <c r="V163" s="152"/>
      <c r="W163" s="152"/>
      <c r="X163" s="152"/>
      <c r="Y163" s="152"/>
    </row>
    <row r="164">
      <c r="A164" s="152"/>
      <c r="B164" s="152"/>
      <c r="C164" s="152"/>
      <c r="D164" s="152"/>
      <c r="E164" s="152"/>
      <c r="F164" s="152"/>
      <c r="G164" s="152"/>
      <c r="H164" s="152"/>
      <c r="I164" s="152"/>
      <c r="J164" s="152"/>
      <c r="K164" s="152"/>
      <c r="L164" s="152"/>
      <c r="M164" s="152"/>
      <c r="N164" s="152"/>
      <c r="O164" s="152"/>
      <c r="P164" s="152"/>
      <c r="Q164" s="152"/>
      <c r="R164" s="152"/>
      <c r="S164" s="152"/>
      <c r="T164" s="152"/>
      <c r="U164" s="152"/>
      <c r="V164" s="152"/>
      <c r="W164" s="152"/>
      <c r="X164" s="152"/>
      <c r="Y164" s="152"/>
    </row>
    <row r="165">
      <c r="A165" s="152"/>
      <c r="B165" s="152"/>
      <c r="C165" s="152"/>
      <c r="D165" s="152"/>
      <c r="E165" s="152"/>
      <c r="F165" s="152"/>
      <c r="G165" s="152"/>
      <c r="H165" s="152"/>
      <c r="I165" s="152"/>
      <c r="J165" s="152"/>
      <c r="K165" s="152"/>
      <c r="L165" s="152"/>
      <c r="M165" s="152"/>
      <c r="N165" s="152"/>
      <c r="O165" s="152"/>
      <c r="P165" s="152"/>
      <c r="Q165" s="152"/>
      <c r="R165" s="152"/>
      <c r="S165" s="152"/>
      <c r="T165" s="152"/>
      <c r="U165" s="152"/>
      <c r="V165" s="152"/>
      <c r="W165" s="152"/>
      <c r="X165" s="152"/>
      <c r="Y165" s="152"/>
    </row>
    <row r="166">
      <c r="A166" s="152"/>
      <c r="B166" s="152"/>
      <c r="C166" s="152"/>
      <c r="D166" s="152"/>
      <c r="E166" s="152"/>
      <c r="F166" s="152"/>
      <c r="G166" s="152"/>
      <c r="H166" s="152"/>
      <c r="I166" s="152"/>
      <c r="J166" s="152"/>
      <c r="K166" s="152"/>
      <c r="L166" s="152"/>
      <c r="M166" s="152"/>
      <c r="N166" s="152"/>
      <c r="O166" s="152"/>
      <c r="P166" s="152"/>
      <c r="Q166" s="152"/>
      <c r="R166" s="152"/>
      <c r="S166" s="152"/>
      <c r="T166" s="152"/>
      <c r="U166" s="152"/>
      <c r="V166" s="152"/>
      <c r="W166" s="152"/>
      <c r="X166" s="152"/>
      <c r="Y166" s="152"/>
    </row>
    <row r="167">
      <c r="A167" s="152"/>
      <c r="B167" s="152"/>
      <c r="C167" s="152"/>
      <c r="D167" s="152"/>
      <c r="E167" s="152"/>
      <c r="F167" s="152"/>
      <c r="G167" s="152"/>
      <c r="H167" s="152"/>
      <c r="I167" s="152"/>
      <c r="J167" s="152"/>
      <c r="K167" s="152"/>
      <c r="L167" s="152"/>
      <c r="M167" s="152"/>
      <c r="N167" s="152"/>
      <c r="O167" s="152"/>
      <c r="P167" s="152"/>
      <c r="Q167" s="152"/>
      <c r="R167" s="152"/>
      <c r="S167" s="152"/>
      <c r="T167" s="152"/>
      <c r="U167" s="152"/>
      <c r="V167" s="152"/>
      <c r="W167" s="152"/>
      <c r="X167" s="152"/>
      <c r="Y167" s="152"/>
    </row>
    <row r="168">
      <c r="A168" s="152"/>
      <c r="B168" s="152"/>
      <c r="C168" s="152"/>
      <c r="D168" s="152"/>
      <c r="E168" s="152"/>
      <c r="F168" s="152"/>
      <c r="G168" s="152"/>
      <c r="H168" s="152"/>
      <c r="I168" s="152"/>
      <c r="J168" s="152"/>
      <c r="K168" s="152"/>
      <c r="L168" s="152"/>
      <c r="M168" s="152"/>
      <c r="N168" s="152"/>
      <c r="O168" s="152"/>
      <c r="P168" s="152"/>
      <c r="Q168" s="152"/>
      <c r="R168" s="152"/>
      <c r="S168" s="152"/>
      <c r="T168" s="152"/>
      <c r="U168" s="152"/>
      <c r="V168" s="152"/>
      <c r="W168" s="152"/>
      <c r="X168" s="152"/>
      <c r="Y168" s="152"/>
    </row>
    <row r="169">
      <c r="A169" s="152"/>
      <c r="B169" s="152"/>
      <c r="C169" s="152"/>
      <c r="D169" s="152"/>
      <c r="E169" s="152"/>
      <c r="F169" s="152"/>
      <c r="G169" s="152"/>
      <c r="H169" s="152"/>
      <c r="I169" s="152"/>
      <c r="J169" s="152"/>
      <c r="K169" s="152"/>
      <c r="L169" s="152"/>
      <c r="M169" s="152"/>
      <c r="N169" s="152"/>
      <c r="O169" s="152"/>
      <c r="P169" s="152"/>
      <c r="Q169" s="152"/>
      <c r="R169" s="152"/>
      <c r="S169" s="152"/>
      <c r="T169" s="152"/>
      <c r="U169" s="152"/>
      <c r="V169" s="152"/>
      <c r="W169" s="152"/>
      <c r="X169" s="152"/>
      <c r="Y169" s="152"/>
    </row>
    <row r="170">
      <c r="A170" s="152"/>
      <c r="B170" s="152"/>
      <c r="C170" s="152"/>
      <c r="D170" s="152"/>
      <c r="E170" s="152"/>
      <c r="F170" s="152"/>
      <c r="G170" s="152"/>
      <c r="H170" s="152"/>
      <c r="I170" s="152"/>
      <c r="J170" s="152"/>
      <c r="K170" s="152"/>
      <c r="L170" s="152"/>
      <c r="M170" s="152"/>
      <c r="N170" s="152"/>
      <c r="O170" s="152"/>
      <c r="P170" s="152"/>
      <c r="Q170" s="152"/>
      <c r="R170" s="152"/>
      <c r="S170" s="152"/>
      <c r="T170" s="152"/>
      <c r="U170" s="152"/>
      <c r="V170" s="152"/>
      <c r="W170" s="152"/>
      <c r="X170" s="152"/>
      <c r="Y170" s="152"/>
    </row>
    <row r="171">
      <c r="A171" s="152"/>
      <c r="B171" s="152"/>
      <c r="C171" s="152"/>
      <c r="D171" s="152"/>
      <c r="E171" s="152"/>
      <c r="F171" s="152"/>
      <c r="G171" s="152"/>
      <c r="H171" s="152"/>
      <c r="I171" s="152"/>
      <c r="J171" s="152"/>
      <c r="K171" s="152"/>
      <c r="L171" s="152"/>
      <c r="M171" s="152"/>
      <c r="N171" s="152"/>
      <c r="O171" s="152"/>
      <c r="P171" s="152"/>
      <c r="Q171" s="152"/>
      <c r="R171" s="152"/>
      <c r="S171" s="152"/>
      <c r="T171" s="152"/>
      <c r="U171" s="152"/>
      <c r="V171" s="152"/>
      <c r="W171" s="152"/>
      <c r="X171" s="152"/>
      <c r="Y171" s="152"/>
    </row>
    <row r="172">
      <c r="A172" s="152"/>
      <c r="B172" s="152"/>
      <c r="C172" s="152"/>
      <c r="D172" s="152"/>
      <c r="E172" s="152"/>
      <c r="F172" s="152"/>
      <c r="G172" s="152"/>
      <c r="H172" s="152"/>
      <c r="I172" s="152"/>
      <c r="J172" s="152"/>
      <c r="K172" s="152"/>
      <c r="L172" s="152"/>
      <c r="M172" s="152"/>
      <c r="N172" s="152"/>
      <c r="O172" s="152"/>
      <c r="P172" s="152"/>
      <c r="Q172" s="152"/>
      <c r="R172" s="152"/>
      <c r="S172" s="152"/>
      <c r="T172" s="152"/>
      <c r="U172" s="152"/>
      <c r="V172" s="152"/>
      <c r="W172" s="152"/>
      <c r="X172" s="152"/>
      <c r="Y172" s="152"/>
    </row>
    <row r="173">
      <c r="A173" s="152"/>
      <c r="B173" s="152"/>
      <c r="C173" s="152"/>
      <c r="D173" s="152"/>
      <c r="E173" s="152"/>
      <c r="F173" s="152"/>
      <c r="G173" s="152"/>
      <c r="H173" s="152"/>
      <c r="I173" s="152"/>
      <c r="J173" s="152"/>
      <c r="K173" s="152"/>
      <c r="L173" s="152"/>
      <c r="M173" s="152"/>
      <c r="N173" s="152"/>
      <c r="O173" s="152"/>
      <c r="P173" s="152"/>
      <c r="Q173" s="152"/>
      <c r="R173" s="152"/>
      <c r="S173" s="152"/>
      <c r="T173" s="152"/>
      <c r="U173" s="152"/>
      <c r="V173" s="152"/>
      <c r="W173" s="152"/>
      <c r="X173" s="152"/>
      <c r="Y173" s="152"/>
    </row>
    <row r="174">
      <c r="A174" s="152"/>
      <c r="B174" s="152"/>
      <c r="C174" s="152"/>
      <c r="D174" s="152"/>
      <c r="E174" s="152"/>
      <c r="F174" s="152"/>
      <c r="G174" s="152"/>
      <c r="H174" s="152"/>
      <c r="I174" s="152"/>
      <c r="J174" s="152"/>
      <c r="K174" s="152"/>
      <c r="L174" s="152"/>
      <c r="M174" s="152"/>
      <c r="N174" s="152"/>
      <c r="O174" s="152"/>
      <c r="P174" s="152"/>
      <c r="Q174" s="152"/>
      <c r="R174" s="152"/>
      <c r="S174" s="152"/>
      <c r="T174" s="152"/>
      <c r="U174" s="152"/>
      <c r="V174" s="152"/>
      <c r="W174" s="152"/>
      <c r="X174" s="152"/>
      <c r="Y174" s="152"/>
    </row>
    <row r="175">
      <c r="A175" s="152"/>
      <c r="B175" s="152"/>
      <c r="C175" s="152"/>
      <c r="D175" s="152"/>
      <c r="E175" s="152"/>
      <c r="F175" s="152"/>
      <c r="G175" s="152"/>
      <c r="H175" s="152"/>
      <c r="I175" s="152"/>
      <c r="J175" s="152"/>
      <c r="K175" s="152"/>
      <c r="L175" s="152"/>
      <c r="M175" s="152"/>
      <c r="N175" s="152"/>
      <c r="O175" s="152"/>
      <c r="P175" s="152"/>
      <c r="Q175" s="152"/>
      <c r="R175" s="152"/>
      <c r="S175" s="152"/>
      <c r="T175" s="152"/>
      <c r="U175" s="152"/>
      <c r="V175" s="152"/>
      <c r="W175" s="152"/>
      <c r="X175" s="152"/>
      <c r="Y175" s="152"/>
    </row>
    <row r="176">
      <c r="A176" s="152"/>
      <c r="B176" s="152"/>
      <c r="C176" s="152"/>
      <c r="D176" s="152"/>
      <c r="E176" s="152"/>
      <c r="F176" s="152"/>
      <c r="G176" s="152"/>
      <c r="H176" s="152"/>
      <c r="I176" s="152"/>
      <c r="J176" s="152"/>
      <c r="K176" s="152"/>
      <c r="L176" s="152"/>
      <c r="M176" s="152"/>
      <c r="N176" s="152"/>
      <c r="O176" s="152"/>
      <c r="P176" s="152"/>
      <c r="Q176" s="152"/>
      <c r="R176" s="152"/>
      <c r="S176" s="152"/>
      <c r="T176" s="152"/>
      <c r="U176" s="152"/>
      <c r="V176" s="152"/>
      <c r="W176" s="152"/>
      <c r="X176" s="152"/>
      <c r="Y176" s="152"/>
    </row>
    <row r="177">
      <c r="A177" s="152"/>
      <c r="B177" s="152"/>
      <c r="C177" s="152"/>
      <c r="D177" s="152"/>
      <c r="E177" s="152"/>
      <c r="F177" s="152"/>
      <c r="G177" s="152"/>
      <c r="H177" s="152"/>
      <c r="I177" s="152"/>
      <c r="J177" s="152"/>
      <c r="K177" s="152"/>
      <c r="L177" s="152"/>
      <c r="M177" s="152"/>
      <c r="N177" s="152"/>
      <c r="O177" s="152"/>
      <c r="P177" s="152"/>
      <c r="Q177" s="152"/>
      <c r="R177" s="152"/>
      <c r="S177" s="152"/>
      <c r="T177" s="152"/>
      <c r="U177" s="152"/>
      <c r="V177" s="152"/>
      <c r="W177" s="152"/>
      <c r="X177" s="152"/>
      <c r="Y177" s="152"/>
    </row>
    <row r="178">
      <c r="A178" s="152"/>
      <c r="B178" s="152"/>
      <c r="C178" s="152"/>
      <c r="D178" s="152"/>
      <c r="E178" s="152"/>
      <c r="F178" s="152"/>
      <c r="G178" s="152"/>
      <c r="H178" s="152"/>
      <c r="I178" s="152"/>
      <c r="J178" s="152"/>
      <c r="K178" s="152"/>
      <c r="L178" s="152"/>
      <c r="M178" s="152"/>
      <c r="N178" s="152"/>
      <c r="O178" s="152"/>
      <c r="P178" s="152"/>
      <c r="Q178" s="152"/>
      <c r="R178" s="152"/>
      <c r="S178" s="152"/>
      <c r="T178" s="152"/>
      <c r="U178" s="152"/>
      <c r="V178" s="152"/>
      <c r="W178" s="152"/>
      <c r="X178" s="152"/>
      <c r="Y178" s="152"/>
    </row>
    <row r="179">
      <c r="A179" s="152"/>
      <c r="B179" s="152"/>
      <c r="C179" s="152"/>
      <c r="D179" s="152"/>
      <c r="E179" s="152"/>
      <c r="F179" s="152"/>
      <c r="G179" s="152"/>
      <c r="H179" s="152"/>
      <c r="I179" s="152"/>
      <c r="J179" s="152"/>
      <c r="K179" s="152"/>
      <c r="L179" s="152"/>
      <c r="M179" s="152"/>
      <c r="N179" s="152"/>
      <c r="O179" s="152"/>
      <c r="P179" s="152"/>
      <c r="Q179" s="152"/>
      <c r="R179" s="152"/>
      <c r="S179" s="152"/>
      <c r="T179" s="152"/>
      <c r="U179" s="152"/>
      <c r="V179" s="152"/>
      <c r="W179" s="152"/>
      <c r="X179" s="152"/>
      <c r="Y179" s="152"/>
    </row>
    <row r="180">
      <c r="A180" s="152"/>
      <c r="B180" s="152"/>
      <c r="C180" s="152"/>
      <c r="D180" s="152"/>
      <c r="E180" s="152"/>
      <c r="F180" s="152"/>
      <c r="G180" s="152"/>
      <c r="H180" s="152"/>
      <c r="I180" s="152"/>
      <c r="J180" s="152"/>
      <c r="K180" s="152"/>
      <c r="L180" s="152"/>
      <c r="M180" s="152"/>
      <c r="N180" s="152"/>
      <c r="O180" s="152"/>
      <c r="P180" s="152"/>
      <c r="Q180" s="152"/>
      <c r="R180" s="152"/>
      <c r="S180" s="152"/>
      <c r="T180" s="152"/>
      <c r="U180" s="152"/>
      <c r="V180" s="152"/>
      <c r="W180" s="152"/>
      <c r="X180" s="152"/>
      <c r="Y180" s="152"/>
    </row>
    <row r="181">
      <c r="A181" s="152"/>
      <c r="B181" s="152"/>
      <c r="C181" s="152"/>
      <c r="D181" s="152"/>
      <c r="E181" s="152"/>
      <c r="F181" s="152"/>
      <c r="G181" s="152"/>
      <c r="H181" s="152"/>
      <c r="I181" s="152"/>
      <c r="J181" s="152"/>
      <c r="K181" s="152"/>
      <c r="L181" s="152"/>
      <c r="M181" s="152"/>
      <c r="N181" s="152"/>
      <c r="O181" s="152"/>
      <c r="P181" s="152"/>
      <c r="Q181" s="152"/>
      <c r="R181" s="152"/>
      <c r="S181" s="152"/>
      <c r="T181" s="152"/>
      <c r="U181" s="152"/>
      <c r="V181" s="152"/>
      <c r="W181" s="152"/>
      <c r="X181" s="152"/>
      <c r="Y181" s="152"/>
    </row>
    <row r="182">
      <c r="A182" s="152"/>
      <c r="B182" s="152"/>
      <c r="C182" s="152"/>
      <c r="D182" s="152"/>
      <c r="E182" s="152"/>
      <c r="F182" s="152"/>
      <c r="G182" s="152"/>
      <c r="H182" s="152"/>
      <c r="I182" s="152"/>
      <c r="J182" s="152"/>
      <c r="K182" s="152"/>
      <c r="L182" s="152"/>
      <c r="M182" s="152"/>
      <c r="N182" s="152"/>
      <c r="O182" s="152"/>
      <c r="P182" s="152"/>
      <c r="Q182" s="152"/>
      <c r="R182" s="152"/>
      <c r="S182" s="152"/>
      <c r="T182" s="152"/>
      <c r="U182" s="152"/>
      <c r="V182" s="152"/>
      <c r="W182" s="152"/>
      <c r="X182" s="152"/>
      <c r="Y182" s="152"/>
    </row>
    <row r="183">
      <c r="A183" s="152"/>
      <c r="B183" s="152"/>
      <c r="C183" s="152"/>
      <c r="D183" s="152"/>
      <c r="E183" s="152"/>
      <c r="F183" s="152"/>
      <c r="G183" s="152"/>
      <c r="H183" s="152"/>
      <c r="I183" s="152"/>
      <c r="J183" s="152"/>
      <c r="K183" s="152"/>
      <c r="L183" s="152"/>
      <c r="M183" s="152"/>
      <c r="N183" s="152"/>
      <c r="O183" s="152"/>
      <c r="P183" s="152"/>
      <c r="Q183" s="152"/>
      <c r="R183" s="152"/>
      <c r="S183" s="152"/>
      <c r="T183" s="152"/>
      <c r="U183" s="152"/>
      <c r="V183" s="152"/>
      <c r="W183" s="152"/>
      <c r="X183" s="152"/>
      <c r="Y183" s="152"/>
    </row>
    <row r="184">
      <c r="A184" s="152"/>
      <c r="B184" s="152"/>
      <c r="C184" s="152"/>
      <c r="D184" s="152"/>
      <c r="E184" s="152"/>
      <c r="F184" s="152"/>
      <c r="G184" s="152"/>
      <c r="H184" s="152"/>
      <c r="I184" s="152"/>
      <c r="J184" s="152"/>
      <c r="K184" s="152"/>
      <c r="L184" s="152"/>
      <c r="M184" s="152"/>
      <c r="N184" s="152"/>
      <c r="O184" s="152"/>
      <c r="P184" s="152"/>
      <c r="Q184" s="152"/>
      <c r="R184" s="152"/>
      <c r="S184" s="152"/>
      <c r="T184" s="152"/>
      <c r="U184" s="152"/>
      <c r="V184" s="152"/>
      <c r="W184" s="152"/>
      <c r="X184" s="152"/>
      <c r="Y184" s="152"/>
    </row>
    <row r="185">
      <c r="A185" s="152"/>
      <c r="B185" s="152"/>
      <c r="C185" s="152"/>
      <c r="D185" s="152"/>
      <c r="E185" s="152"/>
      <c r="F185" s="152"/>
      <c r="G185" s="152"/>
      <c r="H185" s="152"/>
      <c r="I185" s="152"/>
      <c r="J185" s="152"/>
      <c r="K185" s="152"/>
      <c r="L185" s="152"/>
      <c r="M185" s="152"/>
      <c r="N185" s="152"/>
      <c r="O185" s="152"/>
      <c r="P185" s="152"/>
      <c r="Q185" s="152"/>
      <c r="R185" s="152"/>
      <c r="S185" s="152"/>
      <c r="T185" s="152"/>
      <c r="U185" s="152"/>
      <c r="V185" s="152"/>
      <c r="W185" s="152"/>
      <c r="X185" s="152"/>
      <c r="Y185" s="152"/>
    </row>
    <row r="186">
      <c r="A186" s="152"/>
      <c r="B186" s="152"/>
      <c r="C186" s="152"/>
      <c r="D186" s="152"/>
      <c r="E186" s="152"/>
      <c r="F186" s="152"/>
      <c r="G186" s="152"/>
      <c r="H186" s="152"/>
      <c r="I186" s="152"/>
      <c r="J186" s="152"/>
      <c r="K186" s="152"/>
      <c r="L186" s="152"/>
      <c r="M186" s="152"/>
      <c r="N186" s="152"/>
      <c r="O186" s="152"/>
      <c r="P186" s="152"/>
      <c r="Q186" s="152"/>
      <c r="R186" s="152"/>
      <c r="S186" s="152"/>
      <c r="T186" s="152"/>
      <c r="U186" s="152"/>
      <c r="V186" s="152"/>
      <c r="W186" s="152"/>
      <c r="X186" s="152"/>
      <c r="Y186" s="152"/>
    </row>
    <row r="187">
      <c r="A187" s="152"/>
      <c r="B187" s="152"/>
      <c r="C187" s="152"/>
      <c r="D187" s="152"/>
      <c r="E187" s="152"/>
      <c r="F187" s="152"/>
      <c r="G187" s="152"/>
      <c r="H187" s="152"/>
      <c r="I187" s="152"/>
      <c r="J187" s="152"/>
      <c r="K187" s="152"/>
      <c r="L187" s="152"/>
      <c r="M187" s="152"/>
      <c r="N187" s="152"/>
      <c r="O187" s="152"/>
      <c r="P187" s="152"/>
      <c r="Q187" s="152"/>
      <c r="R187" s="152"/>
      <c r="S187" s="152"/>
      <c r="T187" s="152"/>
      <c r="U187" s="152"/>
      <c r="V187" s="152"/>
      <c r="W187" s="152"/>
      <c r="X187" s="152"/>
      <c r="Y187" s="152"/>
    </row>
    <row r="188">
      <c r="A188" s="152"/>
      <c r="B188" s="152"/>
      <c r="C188" s="152"/>
      <c r="D188" s="152"/>
      <c r="E188" s="152"/>
      <c r="F188" s="152"/>
      <c r="G188" s="152"/>
      <c r="H188" s="152"/>
      <c r="I188" s="152"/>
      <c r="J188" s="152"/>
      <c r="K188" s="152"/>
      <c r="L188" s="152"/>
      <c r="M188" s="152"/>
      <c r="N188" s="152"/>
      <c r="O188" s="152"/>
      <c r="P188" s="152"/>
      <c r="Q188" s="152"/>
      <c r="R188" s="152"/>
      <c r="S188" s="152"/>
      <c r="T188" s="152"/>
      <c r="U188" s="152"/>
      <c r="V188" s="152"/>
      <c r="W188" s="152"/>
      <c r="X188" s="152"/>
      <c r="Y188" s="152"/>
    </row>
    <row r="189">
      <c r="A189" s="152"/>
      <c r="B189" s="152"/>
      <c r="C189" s="152"/>
      <c r="D189" s="152"/>
      <c r="E189" s="152"/>
      <c r="F189" s="152"/>
      <c r="G189" s="152"/>
      <c r="H189" s="152"/>
      <c r="I189" s="152"/>
      <c r="J189" s="152"/>
      <c r="K189" s="152"/>
      <c r="L189" s="152"/>
      <c r="M189" s="152"/>
      <c r="N189" s="152"/>
      <c r="O189" s="152"/>
      <c r="P189" s="152"/>
      <c r="Q189" s="152"/>
      <c r="R189" s="152"/>
      <c r="S189" s="152"/>
      <c r="T189" s="152"/>
      <c r="U189" s="152"/>
      <c r="V189" s="152"/>
      <c r="W189" s="152"/>
      <c r="X189" s="152"/>
      <c r="Y189" s="152"/>
    </row>
    <row r="190">
      <c r="A190" s="152"/>
      <c r="B190" s="152"/>
      <c r="C190" s="152"/>
      <c r="D190" s="152"/>
      <c r="E190" s="152"/>
      <c r="F190" s="152"/>
      <c r="G190" s="152"/>
      <c r="H190" s="152"/>
      <c r="I190" s="152"/>
      <c r="J190" s="152"/>
      <c r="K190" s="152"/>
      <c r="L190" s="152"/>
      <c r="M190" s="152"/>
      <c r="N190" s="152"/>
      <c r="O190" s="152"/>
      <c r="P190" s="152"/>
      <c r="Q190" s="152"/>
      <c r="R190" s="152"/>
      <c r="S190" s="152"/>
      <c r="T190" s="152"/>
      <c r="U190" s="152"/>
      <c r="V190" s="152"/>
      <c r="W190" s="152"/>
      <c r="X190" s="152"/>
      <c r="Y190" s="152"/>
    </row>
    <row r="191">
      <c r="A191" s="152"/>
      <c r="B191" s="152"/>
      <c r="C191" s="152"/>
      <c r="D191" s="152"/>
      <c r="E191" s="152"/>
      <c r="F191" s="152"/>
      <c r="G191" s="152"/>
      <c r="H191" s="152"/>
      <c r="I191" s="152"/>
      <c r="J191" s="152"/>
      <c r="K191" s="152"/>
      <c r="L191" s="152"/>
      <c r="M191" s="152"/>
      <c r="N191" s="152"/>
      <c r="O191" s="152"/>
      <c r="P191" s="152"/>
      <c r="Q191" s="152"/>
      <c r="R191" s="152"/>
      <c r="S191" s="152"/>
      <c r="T191" s="152"/>
      <c r="U191" s="152"/>
      <c r="V191" s="152"/>
      <c r="W191" s="152"/>
      <c r="X191" s="152"/>
      <c r="Y191" s="152"/>
    </row>
    <row r="192">
      <c r="A192" s="152"/>
      <c r="B192" s="152"/>
      <c r="C192" s="152"/>
      <c r="D192" s="152"/>
      <c r="E192" s="152"/>
      <c r="F192" s="152"/>
      <c r="G192" s="152"/>
      <c r="H192" s="152"/>
      <c r="I192" s="152"/>
      <c r="J192" s="152"/>
      <c r="K192" s="152"/>
      <c r="L192" s="152"/>
      <c r="M192" s="152"/>
      <c r="N192" s="152"/>
      <c r="O192" s="152"/>
      <c r="P192" s="152"/>
      <c r="Q192" s="152"/>
      <c r="R192" s="152"/>
      <c r="S192" s="152"/>
      <c r="T192" s="152"/>
      <c r="U192" s="152"/>
      <c r="V192" s="152"/>
      <c r="W192" s="152"/>
      <c r="X192" s="152"/>
      <c r="Y192" s="152"/>
    </row>
    <row r="193">
      <c r="A193" s="152"/>
      <c r="B193" s="152"/>
      <c r="C193" s="152"/>
      <c r="D193" s="152"/>
      <c r="E193" s="152"/>
      <c r="F193" s="152"/>
      <c r="G193" s="152"/>
      <c r="H193" s="152"/>
      <c r="I193" s="152"/>
      <c r="J193" s="152"/>
      <c r="K193" s="152"/>
      <c r="L193" s="152"/>
      <c r="M193" s="152"/>
      <c r="N193" s="152"/>
      <c r="O193" s="152"/>
      <c r="P193" s="152"/>
      <c r="Q193" s="152"/>
      <c r="R193" s="152"/>
      <c r="S193" s="152"/>
      <c r="T193" s="152"/>
      <c r="U193" s="152"/>
      <c r="V193" s="152"/>
      <c r="W193" s="152"/>
      <c r="X193" s="152"/>
      <c r="Y193" s="152"/>
    </row>
    <row r="194">
      <c r="A194" s="152"/>
      <c r="B194" s="152"/>
      <c r="C194" s="152"/>
      <c r="D194" s="152"/>
      <c r="E194" s="152"/>
      <c r="F194" s="152"/>
      <c r="G194" s="152"/>
      <c r="H194" s="152"/>
      <c r="I194" s="152"/>
      <c r="J194" s="152"/>
      <c r="K194" s="152"/>
      <c r="L194" s="152"/>
      <c r="M194" s="152"/>
      <c r="N194" s="152"/>
      <c r="O194" s="152"/>
      <c r="P194" s="152"/>
      <c r="Q194" s="152"/>
      <c r="R194" s="152"/>
      <c r="S194" s="152"/>
      <c r="T194" s="152"/>
      <c r="U194" s="152"/>
      <c r="V194" s="152"/>
      <c r="W194" s="152"/>
      <c r="X194" s="152"/>
      <c r="Y194" s="152"/>
    </row>
    <row r="195">
      <c r="A195" s="152"/>
      <c r="B195" s="152"/>
      <c r="C195" s="152"/>
      <c r="D195" s="152"/>
      <c r="E195" s="152"/>
      <c r="F195" s="152"/>
      <c r="G195" s="152"/>
      <c r="H195" s="152"/>
      <c r="I195" s="152"/>
      <c r="J195" s="152"/>
      <c r="K195" s="152"/>
      <c r="L195" s="152"/>
      <c r="M195" s="152"/>
      <c r="N195" s="152"/>
      <c r="O195" s="152"/>
      <c r="P195" s="152"/>
      <c r="Q195" s="152"/>
      <c r="R195" s="152"/>
      <c r="S195" s="152"/>
      <c r="T195" s="152"/>
      <c r="U195" s="152"/>
      <c r="V195" s="152"/>
      <c r="W195" s="152"/>
      <c r="X195" s="152"/>
      <c r="Y195" s="152"/>
    </row>
    <row r="196">
      <c r="A196" s="152"/>
      <c r="B196" s="152"/>
      <c r="C196" s="152"/>
      <c r="D196" s="152"/>
      <c r="E196" s="152"/>
      <c r="F196" s="152"/>
      <c r="G196" s="152"/>
      <c r="H196" s="152"/>
      <c r="I196" s="152"/>
      <c r="J196" s="152"/>
      <c r="K196" s="152"/>
      <c r="L196" s="152"/>
      <c r="M196" s="152"/>
      <c r="N196" s="152"/>
      <c r="O196" s="152"/>
      <c r="P196" s="152"/>
      <c r="Q196" s="152"/>
      <c r="R196" s="152"/>
      <c r="S196" s="152"/>
      <c r="T196" s="152"/>
      <c r="U196" s="152"/>
      <c r="V196" s="152"/>
      <c r="W196" s="152"/>
      <c r="X196" s="152"/>
      <c r="Y196" s="152"/>
    </row>
    <row r="197">
      <c r="A197" s="152"/>
      <c r="B197" s="152"/>
      <c r="C197" s="152"/>
      <c r="D197" s="152"/>
      <c r="E197" s="152"/>
      <c r="F197" s="152"/>
      <c r="G197" s="152"/>
      <c r="H197" s="152"/>
      <c r="I197" s="152"/>
      <c r="J197" s="152"/>
      <c r="K197" s="152"/>
      <c r="L197" s="152"/>
      <c r="M197" s="152"/>
      <c r="N197" s="152"/>
      <c r="O197" s="152"/>
      <c r="P197" s="152"/>
      <c r="Q197" s="152"/>
      <c r="R197" s="152"/>
      <c r="S197" s="152"/>
      <c r="T197" s="152"/>
      <c r="U197" s="152"/>
      <c r="V197" s="152"/>
      <c r="W197" s="152"/>
      <c r="X197" s="152"/>
      <c r="Y197" s="152"/>
    </row>
    <row r="198">
      <c r="A198" s="152"/>
      <c r="B198" s="152"/>
      <c r="C198" s="152"/>
      <c r="D198" s="152"/>
      <c r="E198" s="152"/>
      <c r="F198" s="152"/>
      <c r="G198" s="152"/>
      <c r="H198" s="152"/>
      <c r="I198" s="152"/>
      <c r="J198" s="152"/>
      <c r="K198" s="152"/>
      <c r="L198" s="152"/>
      <c r="M198" s="152"/>
      <c r="N198" s="152"/>
      <c r="O198" s="152"/>
      <c r="P198" s="152"/>
      <c r="Q198" s="152"/>
      <c r="R198" s="152"/>
      <c r="S198" s="152"/>
      <c r="T198" s="152"/>
      <c r="U198" s="152"/>
      <c r="V198" s="152"/>
      <c r="W198" s="152"/>
      <c r="X198" s="152"/>
      <c r="Y198" s="152"/>
    </row>
    <row r="199">
      <c r="A199" s="152"/>
      <c r="B199" s="152"/>
      <c r="C199" s="152"/>
      <c r="D199" s="152"/>
      <c r="E199" s="152"/>
      <c r="F199" s="152"/>
      <c r="G199" s="152"/>
      <c r="H199" s="152"/>
      <c r="I199" s="152"/>
      <c r="J199" s="152"/>
      <c r="K199" s="152"/>
      <c r="L199" s="152"/>
      <c r="M199" s="152"/>
      <c r="N199" s="152"/>
      <c r="O199" s="152"/>
      <c r="P199" s="152"/>
      <c r="Q199" s="152"/>
      <c r="R199" s="152"/>
      <c r="S199" s="152"/>
      <c r="T199" s="152"/>
      <c r="U199" s="152"/>
      <c r="V199" s="152"/>
      <c r="W199" s="152"/>
      <c r="X199" s="152"/>
      <c r="Y199" s="152"/>
    </row>
    <row r="200">
      <c r="A200" s="152"/>
      <c r="B200" s="152"/>
      <c r="C200" s="152"/>
      <c r="D200" s="152"/>
      <c r="E200" s="152"/>
      <c r="F200" s="152"/>
      <c r="G200" s="152"/>
      <c r="H200" s="152"/>
      <c r="I200" s="152"/>
      <c r="J200" s="152"/>
      <c r="K200" s="152"/>
      <c r="L200" s="152"/>
      <c r="M200" s="152"/>
      <c r="N200" s="152"/>
      <c r="O200" s="152"/>
      <c r="P200" s="152"/>
      <c r="Q200" s="152"/>
      <c r="R200" s="152"/>
      <c r="S200" s="152"/>
      <c r="T200" s="152"/>
      <c r="U200" s="152"/>
      <c r="V200" s="152"/>
      <c r="W200" s="152"/>
      <c r="X200" s="152"/>
      <c r="Y200" s="152"/>
    </row>
    <row r="201">
      <c r="A201" s="152"/>
      <c r="B201" s="152"/>
      <c r="C201" s="152"/>
      <c r="D201" s="152"/>
      <c r="E201" s="152"/>
      <c r="F201" s="152"/>
      <c r="G201" s="152"/>
      <c r="H201" s="152"/>
      <c r="I201" s="152"/>
      <c r="J201" s="152"/>
      <c r="K201" s="152"/>
      <c r="L201" s="152"/>
      <c r="M201" s="152"/>
      <c r="N201" s="152"/>
      <c r="O201" s="152"/>
      <c r="P201" s="152"/>
      <c r="Q201" s="152"/>
      <c r="R201" s="152"/>
      <c r="S201" s="152"/>
      <c r="T201" s="152"/>
      <c r="U201" s="152"/>
      <c r="V201" s="152"/>
      <c r="W201" s="152"/>
      <c r="X201" s="152"/>
      <c r="Y201" s="152"/>
    </row>
    <row r="202">
      <c r="A202" s="152"/>
      <c r="B202" s="152"/>
      <c r="C202" s="152"/>
      <c r="D202" s="152"/>
      <c r="E202" s="152"/>
      <c r="F202" s="152"/>
      <c r="G202" s="152"/>
      <c r="H202" s="152"/>
      <c r="I202" s="152"/>
      <c r="J202" s="152"/>
      <c r="K202" s="152"/>
      <c r="L202" s="152"/>
      <c r="M202" s="152"/>
      <c r="N202" s="152"/>
      <c r="O202" s="152"/>
      <c r="P202" s="152"/>
      <c r="Q202" s="152"/>
      <c r="R202" s="152"/>
      <c r="S202" s="152"/>
      <c r="T202" s="152"/>
      <c r="U202" s="152"/>
      <c r="V202" s="152"/>
      <c r="W202" s="152"/>
      <c r="X202" s="152"/>
      <c r="Y202" s="152"/>
    </row>
    <row r="203">
      <c r="A203" s="152"/>
      <c r="B203" s="152"/>
      <c r="C203" s="152"/>
      <c r="D203" s="152"/>
      <c r="E203" s="152"/>
      <c r="F203" s="152"/>
      <c r="G203" s="152"/>
      <c r="H203" s="152"/>
      <c r="I203" s="152"/>
      <c r="J203" s="152"/>
      <c r="K203" s="152"/>
      <c r="L203" s="152"/>
      <c r="M203" s="152"/>
      <c r="N203" s="152"/>
      <c r="O203" s="152"/>
      <c r="P203" s="152"/>
      <c r="Q203" s="152"/>
      <c r="R203" s="152"/>
      <c r="S203" s="152"/>
      <c r="T203" s="152"/>
      <c r="U203" s="152"/>
      <c r="V203" s="152"/>
      <c r="W203" s="152"/>
      <c r="X203" s="152"/>
      <c r="Y203" s="152"/>
    </row>
    <row r="204">
      <c r="A204" s="152"/>
      <c r="B204" s="152"/>
      <c r="C204" s="152"/>
      <c r="D204" s="152"/>
      <c r="E204" s="152"/>
      <c r="F204" s="152"/>
      <c r="G204" s="152"/>
      <c r="H204" s="152"/>
      <c r="I204" s="152"/>
      <c r="J204" s="152"/>
      <c r="K204" s="152"/>
      <c r="L204" s="152"/>
      <c r="M204" s="152"/>
      <c r="N204" s="152"/>
      <c r="O204" s="152"/>
      <c r="P204" s="152"/>
      <c r="Q204" s="152"/>
      <c r="R204" s="152"/>
      <c r="S204" s="152"/>
      <c r="T204" s="152"/>
      <c r="U204" s="152"/>
      <c r="V204" s="152"/>
      <c r="W204" s="152"/>
      <c r="X204" s="152"/>
      <c r="Y204" s="152"/>
    </row>
    <row r="205">
      <c r="A205" s="152"/>
      <c r="B205" s="152"/>
      <c r="C205" s="152"/>
      <c r="D205" s="152"/>
      <c r="E205" s="152"/>
      <c r="F205" s="152"/>
      <c r="G205" s="152"/>
      <c r="H205" s="152"/>
      <c r="I205" s="152"/>
      <c r="J205" s="152"/>
      <c r="K205" s="152"/>
      <c r="L205" s="152"/>
      <c r="M205" s="152"/>
      <c r="N205" s="152"/>
      <c r="O205" s="152"/>
      <c r="P205" s="152"/>
      <c r="Q205" s="152"/>
      <c r="R205" s="152"/>
      <c r="S205" s="152"/>
      <c r="T205" s="152"/>
      <c r="U205" s="152"/>
      <c r="V205" s="152"/>
      <c r="W205" s="152"/>
      <c r="X205" s="152"/>
      <c r="Y205" s="152"/>
    </row>
    <row r="206">
      <c r="A206" s="152"/>
      <c r="B206" s="152"/>
      <c r="C206" s="152"/>
      <c r="D206" s="152"/>
      <c r="E206" s="152"/>
      <c r="F206" s="152"/>
      <c r="G206" s="152"/>
      <c r="H206" s="152"/>
      <c r="I206" s="152"/>
      <c r="J206" s="152"/>
      <c r="K206" s="152"/>
      <c r="L206" s="152"/>
      <c r="M206" s="152"/>
      <c r="N206" s="152"/>
      <c r="O206" s="152"/>
      <c r="P206" s="152"/>
      <c r="Q206" s="152"/>
      <c r="R206" s="152"/>
      <c r="S206" s="152"/>
      <c r="T206" s="152"/>
      <c r="U206" s="152"/>
      <c r="V206" s="152"/>
      <c r="W206" s="152"/>
      <c r="X206" s="152"/>
      <c r="Y206" s="152"/>
    </row>
    <row r="207">
      <c r="A207" s="152"/>
      <c r="B207" s="152"/>
      <c r="C207" s="152"/>
      <c r="D207" s="152"/>
      <c r="E207" s="152"/>
      <c r="F207" s="152"/>
      <c r="G207" s="152"/>
      <c r="H207" s="152"/>
      <c r="I207" s="152"/>
      <c r="J207" s="152"/>
      <c r="K207" s="152"/>
      <c r="L207" s="152"/>
      <c r="M207" s="152"/>
      <c r="N207" s="152"/>
      <c r="O207" s="152"/>
      <c r="P207" s="152"/>
      <c r="Q207" s="152"/>
      <c r="R207" s="152"/>
      <c r="S207" s="152"/>
      <c r="T207" s="152"/>
      <c r="U207" s="152"/>
      <c r="V207" s="152"/>
      <c r="W207" s="152"/>
      <c r="X207" s="152"/>
      <c r="Y207" s="152"/>
    </row>
    <row r="208">
      <c r="A208" s="152"/>
      <c r="B208" s="152"/>
      <c r="C208" s="152"/>
      <c r="D208" s="152"/>
      <c r="E208" s="152"/>
      <c r="F208" s="152"/>
      <c r="G208" s="152"/>
      <c r="H208" s="152"/>
      <c r="I208" s="152"/>
      <c r="J208" s="152"/>
      <c r="K208" s="152"/>
      <c r="L208" s="152"/>
      <c r="M208" s="152"/>
      <c r="N208" s="152"/>
      <c r="O208" s="152"/>
      <c r="P208" s="152"/>
      <c r="Q208" s="152"/>
      <c r="R208" s="152"/>
      <c r="S208" s="152"/>
      <c r="T208" s="152"/>
      <c r="U208" s="152"/>
      <c r="V208" s="152"/>
      <c r="W208" s="152"/>
      <c r="X208" s="152"/>
      <c r="Y208" s="152"/>
    </row>
    <row r="209">
      <c r="A209" s="152"/>
      <c r="B209" s="152"/>
      <c r="C209" s="152"/>
      <c r="D209" s="152"/>
      <c r="E209" s="152"/>
      <c r="F209" s="152"/>
      <c r="G209" s="152"/>
      <c r="H209" s="152"/>
      <c r="I209" s="152"/>
      <c r="J209" s="152"/>
      <c r="K209" s="152"/>
      <c r="L209" s="152"/>
      <c r="M209" s="152"/>
      <c r="N209" s="152"/>
      <c r="O209" s="152"/>
      <c r="P209" s="152"/>
      <c r="Q209" s="152"/>
      <c r="R209" s="152"/>
      <c r="S209" s="152"/>
      <c r="T209" s="152"/>
      <c r="U209" s="152"/>
      <c r="V209" s="152"/>
      <c r="W209" s="152"/>
      <c r="X209" s="152"/>
      <c r="Y209" s="152"/>
    </row>
    <row r="210">
      <c r="A210" s="152"/>
      <c r="B210" s="152"/>
      <c r="C210" s="152"/>
      <c r="D210" s="152"/>
      <c r="E210" s="152"/>
      <c r="F210" s="152"/>
      <c r="G210" s="152"/>
      <c r="H210" s="152"/>
      <c r="I210" s="152"/>
      <c r="J210" s="152"/>
      <c r="K210" s="152"/>
      <c r="L210" s="152"/>
      <c r="M210" s="152"/>
      <c r="N210" s="152"/>
      <c r="O210" s="152"/>
      <c r="P210" s="152"/>
      <c r="Q210" s="152"/>
      <c r="R210" s="152"/>
      <c r="S210" s="152"/>
      <c r="T210" s="152"/>
      <c r="U210" s="152"/>
      <c r="V210" s="152"/>
      <c r="W210" s="152"/>
      <c r="X210" s="152"/>
      <c r="Y210" s="152"/>
    </row>
    <row r="211">
      <c r="A211" s="152"/>
      <c r="B211" s="152"/>
      <c r="C211" s="152"/>
      <c r="D211" s="152"/>
      <c r="E211" s="152"/>
      <c r="F211" s="152"/>
      <c r="G211" s="152"/>
      <c r="H211" s="152"/>
      <c r="I211" s="152"/>
      <c r="J211" s="152"/>
      <c r="K211" s="152"/>
      <c r="L211" s="152"/>
      <c r="M211" s="152"/>
      <c r="N211" s="152"/>
      <c r="O211" s="152"/>
      <c r="P211" s="152"/>
      <c r="Q211" s="152"/>
      <c r="R211" s="152"/>
      <c r="S211" s="152"/>
      <c r="T211" s="152"/>
      <c r="U211" s="152"/>
      <c r="V211" s="152"/>
      <c r="W211" s="152"/>
      <c r="X211" s="152"/>
      <c r="Y211" s="152"/>
    </row>
    <row r="212">
      <c r="A212" s="152"/>
      <c r="B212" s="152"/>
      <c r="C212" s="152"/>
      <c r="D212" s="152"/>
      <c r="E212" s="152"/>
      <c r="F212" s="152"/>
      <c r="G212" s="152"/>
      <c r="H212" s="152"/>
      <c r="I212" s="152"/>
      <c r="J212" s="152"/>
      <c r="K212" s="152"/>
      <c r="L212" s="152"/>
      <c r="M212" s="152"/>
      <c r="N212" s="152"/>
      <c r="O212" s="152"/>
      <c r="P212" s="152"/>
      <c r="Q212" s="152"/>
      <c r="R212" s="152"/>
      <c r="S212" s="152"/>
      <c r="T212" s="152"/>
      <c r="U212" s="152"/>
      <c r="V212" s="152"/>
      <c r="W212" s="152"/>
      <c r="X212" s="152"/>
      <c r="Y212" s="152"/>
    </row>
    <row r="213">
      <c r="A213" s="152"/>
      <c r="B213" s="152"/>
      <c r="C213" s="152"/>
      <c r="D213" s="152"/>
      <c r="E213" s="152"/>
      <c r="F213" s="152"/>
      <c r="G213" s="152"/>
      <c r="H213" s="152"/>
      <c r="I213" s="152"/>
      <c r="J213" s="152"/>
      <c r="K213" s="152"/>
      <c r="L213" s="152"/>
      <c r="M213" s="152"/>
      <c r="N213" s="152"/>
      <c r="O213" s="152"/>
      <c r="P213" s="152"/>
      <c r="Q213" s="152"/>
      <c r="R213" s="152"/>
      <c r="S213" s="152"/>
      <c r="T213" s="152"/>
      <c r="U213" s="152"/>
      <c r="V213" s="152"/>
      <c r="W213" s="152"/>
      <c r="X213" s="152"/>
      <c r="Y213" s="152"/>
    </row>
    <row r="214">
      <c r="A214" s="152"/>
      <c r="B214" s="152"/>
      <c r="C214" s="152"/>
      <c r="D214" s="152"/>
      <c r="E214" s="152"/>
      <c r="F214" s="152"/>
      <c r="G214" s="152"/>
      <c r="H214" s="152"/>
      <c r="I214" s="152"/>
      <c r="J214" s="152"/>
      <c r="K214" s="152"/>
      <c r="L214" s="152"/>
      <c r="M214" s="152"/>
      <c r="N214" s="152"/>
      <c r="O214" s="152"/>
      <c r="P214" s="152"/>
      <c r="Q214" s="152"/>
      <c r="R214" s="152"/>
      <c r="S214" s="152"/>
      <c r="T214" s="152"/>
      <c r="U214" s="152"/>
      <c r="V214" s="152"/>
      <c r="W214" s="152"/>
      <c r="X214" s="152"/>
      <c r="Y214" s="152"/>
    </row>
    <row r="215">
      <c r="A215" s="152"/>
      <c r="B215" s="152"/>
      <c r="C215" s="152"/>
      <c r="D215" s="152"/>
      <c r="E215" s="152"/>
      <c r="F215" s="152"/>
      <c r="G215" s="152"/>
      <c r="H215" s="152"/>
      <c r="I215" s="152"/>
      <c r="J215" s="152"/>
      <c r="K215" s="152"/>
      <c r="L215" s="152"/>
      <c r="M215" s="152"/>
      <c r="N215" s="152"/>
      <c r="O215" s="152"/>
      <c r="P215" s="152"/>
      <c r="Q215" s="152"/>
      <c r="R215" s="152"/>
      <c r="S215" s="152"/>
      <c r="T215" s="152"/>
      <c r="U215" s="152"/>
      <c r="V215" s="152"/>
      <c r="W215" s="152"/>
      <c r="X215" s="152"/>
      <c r="Y215" s="152"/>
    </row>
    <row r="216">
      <c r="A216" s="152"/>
      <c r="B216" s="152"/>
      <c r="C216" s="152"/>
      <c r="D216" s="152"/>
      <c r="E216" s="152"/>
      <c r="F216" s="152"/>
      <c r="G216" s="152"/>
      <c r="H216" s="152"/>
      <c r="I216" s="152"/>
      <c r="J216" s="152"/>
      <c r="K216" s="152"/>
      <c r="L216" s="152"/>
      <c r="M216" s="152"/>
      <c r="N216" s="152"/>
      <c r="O216" s="152"/>
      <c r="P216" s="152"/>
      <c r="Q216" s="152"/>
      <c r="R216" s="152"/>
      <c r="S216" s="152"/>
      <c r="T216" s="152"/>
      <c r="U216" s="152"/>
      <c r="V216" s="152"/>
      <c r="W216" s="152"/>
      <c r="X216" s="152"/>
      <c r="Y216" s="152"/>
    </row>
    <row r="217">
      <c r="A217" s="152"/>
      <c r="B217" s="152"/>
      <c r="C217" s="152"/>
      <c r="D217" s="152"/>
      <c r="E217" s="152"/>
      <c r="F217" s="152"/>
      <c r="G217" s="152"/>
      <c r="H217" s="152"/>
      <c r="I217" s="152"/>
      <c r="J217" s="152"/>
      <c r="K217" s="152"/>
      <c r="L217" s="152"/>
      <c r="M217" s="152"/>
      <c r="N217" s="152"/>
      <c r="O217" s="152"/>
      <c r="P217" s="152"/>
      <c r="Q217" s="152"/>
      <c r="R217" s="152"/>
      <c r="S217" s="152"/>
      <c r="T217" s="152"/>
      <c r="U217" s="152"/>
      <c r="V217" s="152"/>
      <c r="W217" s="152"/>
      <c r="X217" s="152"/>
      <c r="Y217" s="152"/>
    </row>
    <row r="218">
      <c r="A218" s="152"/>
      <c r="B218" s="152"/>
      <c r="C218" s="152"/>
      <c r="D218" s="152"/>
      <c r="E218" s="152"/>
      <c r="F218" s="152"/>
      <c r="G218" s="152"/>
      <c r="H218" s="152"/>
      <c r="I218" s="152"/>
      <c r="J218" s="152"/>
      <c r="K218" s="152"/>
      <c r="L218" s="152"/>
      <c r="M218" s="152"/>
      <c r="N218" s="152"/>
      <c r="O218" s="152"/>
      <c r="P218" s="152"/>
      <c r="Q218" s="152"/>
      <c r="R218" s="152"/>
      <c r="S218" s="152"/>
      <c r="T218" s="152"/>
      <c r="U218" s="152"/>
      <c r="V218" s="152"/>
      <c r="W218" s="152"/>
      <c r="X218" s="152"/>
      <c r="Y218" s="152"/>
    </row>
    <row r="219">
      <c r="A219" s="152"/>
      <c r="B219" s="152"/>
      <c r="C219" s="152"/>
      <c r="D219" s="152"/>
      <c r="E219" s="152"/>
      <c r="F219" s="152"/>
      <c r="G219" s="152"/>
      <c r="H219" s="152"/>
      <c r="I219" s="152"/>
      <c r="J219" s="152"/>
      <c r="K219" s="152"/>
      <c r="L219" s="152"/>
      <c r="M219" s="152"/>
      <c r="N219" s="152"/>
      <c r="O219" s="152"/>
      <c r="P219" s="152"/>
      <c r="Q219" s="152"/>
      <c r="R219" s="152"/>
      <c r="S219" s="152"/>
      <c r="T219" s="152"/>
      <c r="U219" s="152"/>
      <c r="V219" s="152"/>
      <c r="W219" s="152"/>
      <c r="X219" s="152"/>
      <c r="Y219" s="152"/>
    </row>
    <row r="220">
      <c r="A220" s="152"/>
      <c r="B220" s="152"/>
      <c r="C220" s="152"/>
      <c r="D220" s="152"/>
      <c r="E220" s="152"/>
      <c r="F220" s="152"/>
      <c r="G220" s="152"/>
      <c r="H220" s="152"/>
      <c r="I220" s="152"/>
      <c r="J220" s="152"/>
      <c r="K220" s="152"/>
      <c r="L220" s="152"/>
      <c r="M220" s="152"/>
      <c r="N220" s="152"/>
      <c r="O220" s="152"/>
      <c r="P220" s="152"/>
      <c r="Q220" s="152"/>
      <c r="R220" s="152"/>
      <c r="S220" s="152"/>
      <c r="T220" s="152"/>
      <c r="U220" s="152"/>
      <c r="V220" s="152"/>
      <c r="W220" s="152"/>
      <c r="X220" s="152"/>
      <c r="Y220" s="152"/>
    </row>
    <row r="221">
      <c r="A221" s="152"/>
      <c r="B221" s="152"/>
      <c r="C221" s="152"/>
      <c r="D221" s="152"/>
      <c r="E221" s="152"/>
      <c r="F221" s="152"/>
      <c r="G221" s="152"/>
      <c r="H221" s="152"/>
      <c r="I221" s="152"/>
      <c r="J221" s="152"/>
      <c r="K221" s="152"/>
      <c r="L221" s="152"/>
      <c r="M221" s="152"/>
      <c r="N221" s="152"/>
      <c r="O221" s="152"/>
      <c r="P221" s="152"/>
      <c r="Q221" s="152"/>
      <c r="R221" s="152"/>
      <c r="S221" s="152"/>
      <c r="T221" s="152"/>
      <c r="U221" s="152"/>
      <c r="V221" s="152"/>
      <c r="W221" s="152"/>
      <c r="X221" s="152"/>
      <c r="Y221" s="152"/>
    </row>
    <row r="222">
      <c r="A222" s="152"/>
      <c r="B222" s="152"/>
      <c r="C222" s="152"/>
      <c r="D222" s="152"/>
      <c r="E222" s="152"/>
      <c r="F222" s="152"/>
      <c r="G222" s="152"/>
      <c r="H222" s="152"/>
      <c r="I222" s="152"/>
      <c r="J222" s="152"/>
      <c r="K222" s="152"/>
      <c r="L222" s="152"/>
      <c r="M222" s="152"/>
      <c r="N222" s="152"/>
      <c r="O222" s="152"/>
      <c r="P222" s="152"/>
      <c r="Q222" s="152"/>
      <c r="R222" s="152"/>
      <c r="S222" s="152"/>
      <c r="T222" s="152"/>
      <c r="U222" s="152"/>
      <c r="V222" s="152"/>
      <c r="W222" s="152"/>
      <c r="X222" s="152"/>
      <c r="Y222" s="152"/>
    </row>
    <row r="223">
      <c r="A223" s="152"/>
      <c r="B223" s="152"/>
      <c r="C223" s="152"/>
      <c r="D223" s="152"/>
      <c r="E223" s="152"/>
      <c r="F223" s="152"/>
      <c r="G223" s="152"/>
      <c r="H223" s="152"/>
      <c r="I223" s="152"/>
      <c r="J223" s="152"/>
      <c r="K223" s="152"/>
      <c r="L223" s="152"/>
      <c r="M223" s="152"/>
      <c r="N223" s="152"/>
      <c r="O223" s="152"/>
      <c r="P223" s="152"/>
      <c r="Q223" s="152"/>
      <c r="R223" s="152"/>
      <c r="S223" s="152"/>
      <c r="T223" s="152"/>
      <c r="U223" s="152"/>
      <c r="V223" s="152"/>
      <c r="W223" s="152"/>
      <c r="X223" s="152"/>
      <c r="Y223" s="152"/>
    </row>
    <row r="224">
      <c r="A224" s="152"/>
      <c r="B224" s="152"/>
      <c r="C224" s="152"/>
      <c r="D224" s="152"/>
      <c r="E224" s="152"/>
      <c r="F224" s="152"/>
      <c r="G224" s="152"/>
      <c r="H224" s="152"/>
      <c r="I224" s="152"/>
      <c r="J224" s="152"/>
      <c r="K224" s="152"/>
      <c r="L224" s="152"/>
      <c r="M224" s="152"/>
      <c r="N224" s="152"/>
      <c r="O224" s="152"/>
      <c r="P224" s="152"/>
      <c r="Q224" s="152"/>
      <c r="R224" s="152"/>
      <c r="S224" s="152"/>
      <c r="T224" s="152"/>
      <c r="U224" s="152"/>
      <c r="V224" s="152"/>
      <c r="W224" s="152"/>
      <c r="X224" s="152"/>
      <c r="Y224" s="152"/>
    </row>
    <row r="225">
      <c r="A225" s="152"/>
      <c r="B225" s="152"/>
      <c r="C225" s="152"/>
      <c r="D225" s="152"/>
      <c r="E225" s="152"/>
      <c r="F225" s="152"/>
      <c r="G225" s="152"/>
      <c r="H225" s="152"/>
      <c r="I225" s="152"/>
      <c r="J225" s="152"/>
      <c r="K225" s="152"/>
      <c r="L225" s="152"/>
      <c r="M225" s="152"/>
      <c r="N225" s="152"/>
      <c r="O225" s="152"/>
      <c r="P225" s="152"/>
      <c r="Q225" s="152"/>
      <c r="R225" s="152"/>
      <c r="S225" s="152"/>
      <c r="T225" s="152"/>
      <c r="U225" s="152"/>
      <c r="V225" s="152"/>
      <c r="W225" s="152"/>
      <c r="X225" s="152"/>
      <c r="Y225" s="152"/>
    </row>
    <row r="226">
      <c r="A226" s="152"/>
      <c r="B226" s="152"/>
      <c r="C226" s="152"/>
      <c r="D226" s="152"/>
      <c r="E226" s="152"/>
      <c r="F226" s="152"/>
      <c r="G226" s="152"/>
      <c r="H226" s="152"/>
      <c r="I226" s="152"/>
      <c r="J226" s="152"/>
      <c r="K226" s="152"/>
      <c r="L226" s="152"/>
      <c r="M226" s="152"/>
      <c r="N226" s="152"/>
      <c r="O226" s="152"/>
      <c r="P226" s="152"/>
      <c r="Q226" s="152"/>
      <c r="R226" s="152"/>
      <c r="S226" s="152"/>
      <c r="T226" s="152"/>
      <c r="U226" s="152"/>
      <c r="V226" s="152"/>
      <c r="W226" s="152"/>
      <c r="X226" s="152"/>
      <c r="Y226" s="152"/>
    </row>
    <row r="227">
      <c r="A227" s="152"/>
      <c r="B227" s="152"/>
      <c r="C227" s="152"/>
      <c r="D227" s="152"/>
      <c r="E227" s="152"/>
      <c r="F227" s="152"/>
      <c r="G227" s="152"/>
      <c r="H227" s="152"/>
      <c r="I227" s="152"/>
      <c r="J227" s="152"/>
      <c r="K227" s="152"/>
      <c r="L227" s="152"/>
      <c r="M227" s="152"/>
      <c r="N227" s="152"/>
      <c r="O227" s="152"/>
      <c r="P227" s="152"/>
      <c r="Q227" s="152"/>
      <c r="R227" s="152"/>
      <c r="S227" s="152"/>
      <c r="T227" s="152"/>
      <c r="U227" s="152"/>
      <c r="V227" s="152"/>
      <c r="W227" s="152"/>
      <c r="X227" s="152"/>
      <c r="Y227" s="152"/>
    </row>
    <row r="228">
      <c r="A228" s="152"/>
      <c r="B228" s="152"/>
      <c r="C228" s="152"/>
      <c r="D228" s="152"/>
      <c r="E228" s="152"/>
      <c r="F228" s="152"/>
      <c r="G228" s="152"/>
      <c r="H228" s="152"/>
      <c r="I228" s="152"/>
      <c r="J228" s="152"/>
      <c r="K228" s="152"/>
      <c r="L228" s="152"/>
      <c r="M228" s="152"/>
      <c r="N228" s="152"/>
      <c r="O228" s="152"/>
      <c r="P228" s="152"/>
      <c r="Q228" s="152"/>
      <c r="R228" s="152"/>
      <c r="S228" s="152"/>
      <c r="T228" s="152"/>
      <c r="U228" s="152"/>
      <c r="V228" s="152"/>
      <c r="W228" s="152"/>
      <c r="X228" s="152"/>
      <c r="Y228" s="152"/>
    </row>
    <row r="229">
      <c r="A229" s="152"/>
      <c r="B229" s="152"/>
      <c r="C229" s="152"/>
      <c r="D229" s="152"/>
      <c r="E229" s="152"/>
      <c r="F229" s="152"/>
      <c r="G229" s="152"/>
      <c r="H229" s="152"/>
      <c r="I229" s="152"/>
      <c r="J229" s="152"/>
      <c r="K229" s="152"/>
      <c r="L229" s="152"/>
      <c r="M229" s="152"/>
      <c r="N229" s="152"/>
      <c r="O229" s="152"/>
      <c r="P229" s="152"/>
      <c r="Q229" s="152"/>
      <c r="R229" s="152"/>
      <c r="S229" s="152"/>
      <c r="T229" s="152"/>
      <c r="U229" s="152"/>
      <c r="V229" s="152"/>
      <c r="W229" s="152"/>
      <c r="X229" s="152"/>
      <c r="Y229" s="152"/>
    </row>
    <row r="230">
      <c r="A230" s="152"/>
      <c r="B230" s="152"/>
      <c r="C230" s="152"/>
      <c r="D230" s="152"/>
      <c r="E230" s="152"/>
      <c r="F230" s="152"/>
      <c r="G230" s="152"/>
      <c r="H230" s="152"/>
      <c r="I230" s="152"/>
      <c r="J230" s="152"/>
      <c r="K230" s="152"/>
      <c r="L230" s="152"/>
      <c r="M230" s="152"/>
      <c r="N230" s="152"/>
      <c r="O230" s="152"/>
      <c r="P230" s="152"/>
      <c r="Q230" s="152"/>
      <c r="R230" s="152"/>
      <c r="S230" s="152"/>
      <c r="T230" s="152"/>
      <c r="U230" s="152"/>
      <c r="V230" s="152"/>
      <c r="W230" s="152"/>
      <c r="X230" s="152"/>
      <c r="Y230" s="152"/>
    </row>
    <row r="231">
      <c r="A231" s="152"/>
      <c r="B231" s="152"/>
      <c r="C231" s="152"/>
      <c r="D231" s="152"/>
      <c r="E231" s="152"/>
      <c r="F231" s="152"/>
      <c r="G231" s="152"/>
      <c r="H231" s="152"/>
      <c r="I231" s="152"/>
      <c r="J231" s="152"/>
      <c r="K231" s="152"/>
      <c r="L231" s="152"/>
      <c r="M231" s="152"/>
      <c r="N231" s="152"/>
      <c r="O231" s="152"/>
      <c r="P231" s="152"/>
      <c r="Q231" s="152"/>
      <c r="R231" s="152"/>
      <c r="S231" s="152"/>
      <c r="T231" s="152"/>
      <c r="U231" s="152"/>
      <c r="V231" s="152"/>
      <c r="W231" s="152"/>
      <c r="X231" s="152"/>
      <c r="Y231" s="152"/>
    </row>
    <row r="232">
      <c r="A232" s="152"/>
      <c r="B232" s="152"/>
      <c r="C232" s="152"/>
      <c r="D232" s="152"/>
      <c r="E232" s="152"/>
      <c r="F232" s="152"/>
      <c r="G232" s="152"/>
      <c r="H232" s="152"/>
      <c r="I232" s="152"/>
      <c r="J232" s="152"/>
      <c r="K232" s="152"/>
      <c r="L232" s="152"/>
      <c r="M232" s="152"/>
      <c r="N232" s="152"/>
      <c r="O232" s="152"/>
      <c r="P232" s="152"/>
      <c r="Q232" s="152"/>
      <c r="R232" s="152"/>
      <c r="S232" s="152"/>
      <c r="T232" s="152"/>
      <c r="U232" s="152"/>
      <c r="V232" s="152"/>
      <c r="W232" s="152"/>
      <c r="X232" s="152"/>
      <c r="Y232" s="152"/>
    </row>
    <row r="233">
      <c r="A233" s="152"/>
      <c r="B233" s="152"/>
      <c r="C233" s="152"/>
      <c r="D233" s="152"/>
      <c r="E233" s="152"/>
      <c r="F233" s="152"/>
      <c r="G233" s="152"/>
      <c r="H233" s="152"/>
      <c r="I233" s="152"/>
      <c r="J233" s="152"/>
      <c r="K233" s="152"/>
      <c r="L233" s="152"/>
      <c r="M233" s="152"/>
      <c r="N233" s="152"/>
      <c r="O233" s="152"/>
      <c r="P233" s="152"/>
      <c r="Q233" s="152"/>
      <c r="R233" s="152"/>
      <c r="S233" s="152"/>
      <c r="T233" s="152"/>
      <c r="U233" s="152"/>
      <c r="V233" s="152"/>
      <c r="W233" s="152"/>
      <c r="X233" s="152"/>
      <c r="Y233" s="152"/>
    </row>
    <row r="234">
      <c r="A234" s="152"/>
      <c r="B234" s="152"/>
      <c r="C234" s="152"/>
      <c r="D234" s="152"/>
      <c r="E234" s="152"/>
      <c r="F234" s="152"/>
      <c r="G234" s="152"/>
      <c r="H234" s="152"/>
      <c r="I234" s="152"/>
      <c r="J234" s="152"/>
      <c r="K234" s="152"/>
      <c r="L234" s="152"/>
      <c r="M234" s="152"/>
      <c r="N234" s="152"/>
      <c r="O234" s="152"/>
      <c r="P234" s="152"/>
      <c r="Q234" s="152"/>
      <c r="R234" s="152"/>
      <c r="S234" s="152"/>
      <c r="T234" s="152"/>
      <c r="U234" s="152"/>
      <c r="V234" s="152"/>
      <c r="W234" s="152"/>
      <c r="X234" s="152"/>
      <c r="Y234" s="152"/>
    </row>
    <row r="235">
      <c r="A235" s="152"/>
      <c r="B235" s="152"/>
      <c r="C235" s="152"/>
      <c r="D235" s="152"/>
      <c r="E235" s="152"/>
      <c r="F235" s="152"/>
      <c r="G235" s="152"/>
      <c r="H235" s="152"/>
      <c r="I235" s="152"/>
      <c r="J235" s="152"/>
      <c r="K235" s="152"/>
      <c r="L235" s="152"/>
      <c r="M235" s="152"/>
      <c r="N235" s="152"/>
      <c r="O235" s="152"/>
      <c r="P235" s="152"/>
      <c r="Q235" s="152"/>
      <c r="R235" s="152"/>
      <c r="S235" s="152"/>
      <c r="T235" s="152"/>
      <c r="U235" s="152"/>
      <c r="V235" s="152"/>
      <c r="W235" s="152"/>
      <c r="X235" s="152"/>
      <c r="Y235" s="152"/>
    </row>
    <row r="236">
      <c r="A236" s="152"/>
      <c r="B236" s="152"/>
      <c r="C236" s="152"/>
      <c r="D236" s="152"/>
      <c r="E236" s="152"/>
      <c r="F236" s="152"/>
      <c r="G236" s="152"/>
      <c r="H236" s="152"/>
      <c r="I236" s="152"/>
      <c r="J236" s="152"/>
      <c r="K236" s="152"/>
      <c r="L236" s="152"/>
      <c r="M236" s="152"/>
      <c r="N236" s="152"/>
      <c r="O236" s="152"/>
      <c r="P236" s="152"/>
      <c r="Q236" s="152"/>
      <c r="R236" s="152"/>
      <c r="S236" s="152"/>
      <c r="T236" s="152"/>
      <c r="U236" s="152"/>
      <c r="V236" s="152"/>
      <c r="W236" s="152"/>
      <c r="X236" s="152"/>
      <c r="Y236" s="152"/>
    </row>
    <row r="237">
      <c r="A237" s="152"/>
      <c r="B237" s="152"/>
      <c r="C237" s="152"/>
      <c r="D237" s="152"/>
      <c r="E237" s="152"/>
      <c r="F237" s="152"/>
      <c r="G237" s="152"/>
      <c r="H237" s="152"/>
      <c r="I237" s="152"/>
      <c r="J237" s="152"/>
      <c r="K237" s="152"/>
      <c r="L237" s="152"/>
      <c r="M237" s="152"/>
      <c r="N237" s="152"/>
      <c r="O237" s="152"/>
      <c r="P237" s="152"/>
      <c r="Q237" s="152"/>
      <c r="R237" s="152"/>
      <c r="S237" s="152"/>
      <c r="T237" s="152"/>
      <c r="U237" s="152"/>
      <c r="V237" s="152"/>
      <c r="W237" s="152"/>
      <c r="X237" s="152"/>
      <c r="Y237" s="152"/>
    </row>
    <row r="238">
      <c r="A238" s="152"/>
      <c r="B238" s="152"/>
      <c r="C238" s="152"/>
      <c r="D238" s="152"/>
      <c r="E238" s="152"/>
      <c r="F238" s="152"/>
      <c r="G238" s="152"/>
      <c r="H238" s="152"/>
      <c r="I238" s="152"/>
      <c r="J238" s="152"/>
      <c r="K238" s="152"/>
      <c r="L238" s="152"/>
      <c r="M238" s="152"/>
      <c r="N238" s="152"/>
      <c r="O238" s="152"/>
      <c r="P238" s="152"/>
      <c r="Q238" s="152"/>
      <c r="R238" s="152"/>
      <c r="S238" s="152"/>
      <c r="T238" s="152"/>
      <c r="U238" s="152"/>
      <c r="V238" s="152"/>
      <c r="W238" s="152"/>
      <c r="X238" s="152"/>
      <c r="Y238" s="152"/>
    </row>
    <row r="239">
      <c r="A239" s="152"/>
      <c r="B239" s="152"/>
      <c r="C239" s="152"/>
      <c r="D239" s="152"/>
      <c r="E239" s="152"/>
      <c r="F239" s="152"/>
      <c r="G239" s="152"/>
      <c r="H239" s="152"/>
      <c r="I239" s="152"/>
      <c r="J239" s="152"/>
      <c r="K239" s="152"/>
      <c r="L239" s="152"/>
      <c r="M239" s="152"/>
      <c r="N239" s="152"/>
      <c r="O239" s="152"/>
      <c r="P239" s="152"/>
      <c r="Q239" s="152"/>
      <c r="R239" s="152"/>
      <c r="S239" s="152"/>
      <c r="T239" s="152"/>
      <c r="U239" s="152"/>
      <c r="V239" s="152"/>
      <c r="W239" s="152"/>
      <c r="X239" s="152"/>
      <c r="Y239" s="152"/>
    </row>
    <row r="240">
      <c r="A240" s="152"/>
      <c r="B240" s="152"/>
      <c r="C240" s="152"/>
      <c r="D240" s="152"/>
      <c r="E240" s="152"/>
      <c r="F240" s="152"/>
      <c r="G240" s="152"/>
      <c r="H240" s="152"/>
      <c r="I240" s="152"/>
      <c r="J240" s="152"/>
      <c r="K240" s="152"/>
      <c r="L240" s="152"/>
      <c r="M240" s="152"/>
      <c r="N240" s="152"/>
      <c r="O240" s="152"/>
      <c r="P240" s="152"/>
      <c r="Q240" s="152"/>
      <c r="R240" s="152"/>
      <c r="S240" s="152"/>
      <c r="T240" s="152"/>
      <c r="U240" s="152"/>
      <c r="V240" s="152"/>
      <c r="W240" s="152"/>
      <c r="X240" s="152"/>
      <c r="Y240" s="152"/>
    </row>
    <row r="241">
      <c r="A241" s="152"/>
      <c r="B241" s="152"/>
      <c r="C241" s="152"/>
      <c r="D241" s="152"/>
      <c r="E241" s="152"/>
      <c r="F241" s="152"/>
      <c r="G241" s="152"/>
      <c r="H241" s="152"/>
      <c r="I241" s="152"/>
      <c r="J241" s="152"/>
      <c r="K241" s="152"/>
      <c r="L241" s="152"/>
      <c r="M241" s="152"/>
      <c r="N241" s="152"/>
      <c r="O241" s="152"/>
      <c r="P241" s="152"/>
      <c r="Q241" s="152"/>
      <c r="R241" s="152"/>
      <c r="S241" s="152"/>
      <c r="T241" s="152"/>
      <c r="U241" s="152"/>
      <c r="V241" s="152"/>
      <c r="W241" s="152"/>
      <c r="X241" s="152"/>
      <c r="Y241" s="152"/>
    </row>
    <row r="242">
      <c r="A242" s="152"/>
      <c r="B242" s="152"/>
      <c r="C242" s="152"/>
      <c r="D242" s="152"/>
      <c r="E242" s="152"/>
      <c r="F242" s="152"/>
      <c r="G242" s="152"/>
      <c r="H242" s="152"/>
      <c r="I242" s="152"/>
      <c r="J242" s="152"/>
      <c r="K242" s="152"/>
      <c r="L242" s="152"/>
      <c r="M242" s="152"/>
      <c r="N242" s="152"/>
      <c r="O242" s="152"/>
      <c r="P242" s="152"/>
      <c r="Q242" s="152"/>
      <c r="R242" s="152"/>
      <c r="S242" s="152"/>
      <c r="T242" s="152"/>
      <c r="U242" s="152"/>
      <c r="V242" s="152"/>
      <c r="W242" s="152"/>
      <c r="X242" s="152"/>
      <c r="Y242" s="152"/>
    </row>
    <row r="243">
      <c r="A243" s="152"/>
      <c r="B243" s="152"/>
      <c r="C243" s="152"/>
      <c r="D243" s="152"/>
      <c r="E243" s="152"/>
      <c r="F243" s="152"/>
      <c r="G243" s="152"/>
      <c r="H243" s="152"/>
      <c r="I243" s="152"/>
      <c r="J243" s="152"/>
      <c r="K243" s="152"/>
      <c r="L243" s="152"/>
      <c r="M243" s="152"/>
      <c r="N243" s="152"/>
      <c r="O243" s="152"/>
      <c r="P243" s="152"/>
      <c r="Q243" s="152"/>
      <c r="R243" s="152"/>
      <c r="S243" s="152"/>
      <c r="T243" s="152"/>
      <c r="U243" s="152"/>
      <c r="V243" s="152"/>
      <c r="W243" s="152"/>
      <c r="X243" s="152"/>
      <c r="Y243" s="152"/>
    </row>
    <row r="244">
      <c r="A244" s="152"/>
      <c r="B244" s="152"/>
      <c r="C244" s="152"/>
      <c r="D244" s="152"/>
      <c r="E244" s="152"/>
      <c r="F244" s="152"/>
      <c r="G244" s="152"/>
      <c r="H244" s="152"/>
      <c r="I244" s="152"/>
      <c r="J244" s="152"/>
      <c r="K244" s="152"/>
      <c r="L244" s="152"/>
      <c r="M244" s="152"/>
      <c r="N244" s="152"/>
      <c r="O244" s="152"/>
      <c r="P244" s="152"/>
      <c r="Q244" s="152"/>
      <c r="R244" s="152"/>
      <c r="S244" s="152"/>
      <c r="T244" s="152"/>
      <c r="U244" s="152"/>
      <c r="V244" s="152"/>
      <c r="W244" s="152"/>
      <c r="X244" s="152"/>
      <c r="Y244" s="152"/>
    </row>
    <row r="245">
      <c r="A245" s="152"/>
      <c r="B245" s="152"/>
      <c r="C245" s="152"/>
      <c r="D245" s="152"/>
      <c r="E245" s="152"/>
      <c r="F245" s="152"/>
      <c r="G245" s="152"/>
      <c r="H245" s="152"/>
      <c r="I245" s="152"/>
      <c r="J245" s="152"/>
      <c r="K245" s="152"/>
      <c r="L245" s="152"/>
      <c r="M245" s="152"/>
      <c r="N245" s="152"/>
      <c r="O245" s="152"/>
      <c r="P245" s="152"/>
      <c r="Q245" s="152"/>
      <c r="R245" s="152"/>
      <c r="S245" s="152"/>
      <c r="T245" s="152"/>
      <c r="U245" s="152"/>
      <c r="V245" s="152"/>
      <c r="W245" s="152"/>
      <c r="X245" s="152"/>
      <c r="Y245" s="152"/>
    </row>
    <row r="246">
      <c r="A246" s="152"/>
      <c r="B246" s="152"/>
      <c r="C246" s="152"/>
      <c r="D246" s="152"/>
      <c r="E246" s="152"/>
      <c r="F246" s="152"/>
      <c r="G246" s="152"/>
      <c r="H246" s="152"/>
      <c r="I246" s="152"/>
      <c r="J246" s="152"/>
      <c r="K246" s="152"/>
      <c r="L246" s="152"/>
      <c r="M246" s="152"/>
      <c r="N246" s="152"/>
      <c r="O246" s="152"/>
      <c r="P246" s="152"/>
      <c r="Q246" s="152"/>
      <c r="R246" s="152"/>
      <c r="S246" s="152"/>
      <c r="T246" s="152"/>
      <c r="U246" s="152"/>
      <c r="V246" s="152"/>
      <c r="W246" s="152"/>
      <c r="X246" s="152"/>
      <c r="Y246" s="152"/>
    </row>
    <row r="247">
      <c r="A247" s="152"/>
      <c r="B247" s="152"/>
      <c r="C247" s="152"/>
      <c r="D247" s="152"/>
      <c r="E247" s="152"/>
      <c r="F247" s="152"/>
      <c r="G247" s="152"/>
      <c r="H247" s="152"/>
      <c r="I247" s="152"/>
      <c r="J247" s="152"/>
      <c r="K247" s="152"/>
      <c r="L247" s="152"/>
      <c r="M247" s="152"/>
      <c r="N247" s="152"/>
      <c r="O247" s="152"/>
      <c r="P247" s="152"/>
      <c r="Q247" s="152"/>
      <c r="R247" s="152"/>
      <c r="S247" s="152"/>
      <c r="T247" s="152"/>
      <c r="U247" s="152"/>
      <c r="V247" s="152"/>
      <c r="W247" s="152"/>
      <c r="X247" s="152"/>
      <c r="Y247" s="152"/>
    </row>
    <row r="248">
      <c r="A248" s="152"/>
      <c r="B248" s="152"/>
      <c r="C248" s="152"/>
      <c r="D248" s="152"/>
      <c r="E248" s="152"/>
      <c r="F248" s="152"/>
      <c r="G248" s="152"/>
      <c r="H248" s="152"/>
      <c r="I248" s="152"/>
      <c r="J248" s="152"/>
      <c r="K248" s="152"/>
      <c r="L248" s="152"/>
      <c r="M248" s="152"/>
      <c r="N248" s="152"/>
      <c r="O248" s="152"/>
      <c r="P248" s="152"/>
      <c r="Q248" s="152"/>
      <c r="R248" s="152"/>
      <c r="S248" s="152"/>
      <c r="T248" s="152"/>
      <c r="U248" s="152"/>
      <c r="V248" s="152"/>
      <c r="W248" s="152"/>
      <c r="X248" s="152"/>
      <c r="Y248" s="152"/>
    </row>
    <row r="249">
      <c r="A249" s="152"/>
      <c r="B249" s="152"/>
      <c r="C249" s="152"/>
      <c r="D249" s="152"/>
      <c r="E249" s="152"/>
      <c r="F249" s="152"/>
      <c r="G249" s="152"/>
      <c r="H249" s="152"/>
      <c r="I249" s="152"/>
      <c r="J249" s="152"/>
      <c r="K249" s="152"/>
      <c r="L249" s="152"/>
      <c r="M249" s="152"/>
      <c r="N249" s="152"/>
      <c r="O249" s="152"/>
      <c r="P249" s="152"/>
      <c r="Q249" s="152"/>
      <c r="R249" s="152"/>
      <c r="S249" s="152"/>
      <c r="T249" s="152"/>
      <c r="U249" s="152"/>
      <c r="V249" s="152"/>
      <c r="W249" s="152"/>
      <c r="X249" s="152"/>
      <c r="Y249" s="152"/>
    </row>
    <row r="250">
      <c r="A250" s="152"/>
      <c r="B250" s="152"/>
      <c r="C250" s="152"/>
      <c r="D250" s="152"/>
      <c r="E250" s="152"/>
      <c r="F250" s="152"/>
      <c r="G250" s="152"/>
      <c r="H250" s="152"/>
      <c r="I250" s="152"/>
      <c r="J250" s="152"/>
      <c r="K250" s="152"/>
      <c r="L250" s="152"/>
      <c r="M250" s="152"/>
      <c r="N250" s="152"/>
      <c r="O250" s="152"/>
      <c r="P250" s="152"/>
      <c r="Q250" s="152"/>
      <c r="R250" s="152"/>
      <c r="S250" s="152"/>
      <c r="T250" s="152"/>
      <c r="U250" s="152"/>
      <c r="V250" s="152"/>
      <c r="W250" s="152"/>
      <c r="X250" s="152"/>
      <c r="Y250" s="152"/>
    </row>
    <row r="251">
      <c r="A251" s="152"/>
      <c r="B251" s="152"/>
      <c r="C251" s="152"/>
      <c r="D251" s="152"/>
      <c r="E251" s="152"/>
      <c r="F251" s="152"/>
      <c r="G251" s="152"/>
      <c r="H251" s="152"/>
      <c r="I251" s="152"/>
      <c r="J251" s="152"/>
      <c r="K251" s="152"/>
      <c r="L251" s="152"/>
      <c r="M251" s="152"/>
      <c r="N251" s="152"/>
      <c r="O251" s="152"/>
      <c r="P251" s="152"/>
      <c r="Q251" s="152"/>
      <c r="R251" s="152"/>
      <c r="S251" s="152"/>
      <c r="T251" s="152"/>
      <c r="U251" s="152"/>
      <c r="V251" s="152"/>
      <c r="W251" s="152"/>
      <c r="X251" s="152"/>
      <c r="Y251" s="152"/>
    </row>
    <row r="252">
      <c r="A252" s="152"/>
      <c r="B252" s="152"/>
      <c r="C252" s="152"/>
      <c r="D252" s="152"/>
      <c r="E252" s="152"/>
      <c r="F252" s="152"/>
      <c r="G252" s="152"/>
      <c r="H252" s="152"/>
      <c r="I252" s="152"/>
      <c r="J252" s="152"/>
      <c r="K252" s="152"/>
      <c r="L252" s="152"/>
      <c r="M252" s="152"/>
      <c r="N252" s="152"/>
      <c r="O252" s="152"/>
      <c r="P252" s="152"/>
      <c r="Q252" s="152"/>
      <c r="R252" s="152"/>
      <c r="S252" s="152"/>
      <c r="T252" s="152"/>
      <c r="U252" s="152"/>
      <c r="V252" s="152"/>
      <c r="W252" s="152"/>
      <c r="X252" s="152"/>
      <c r="Y252" s="152"/>
    </row>
    <row r="253">
      <c r="A253" s="152"/>
      <c r="B253" s="152"/>
      <c r="C253" s="152"/>
      <c r="D253" s="152"/>
      <c r="E253" s="152"/>
      <c r="F253" s="152"/>
      <c r="G253" s="152"/>
      <c r="H253" s="152"/>
      <c r="I253" s="152"/>
      <c r="J253" s="152"/>
      <c r="K253" s="152"/>
      <c r="L253" s="152"/>
      <c r="M253" s="152"/>
      <c r="N253" s="152"/>
      <c r="O253" s="152"/>
      <c r="P253" s="152"/>
      <c r="Q253" s="152"/>
      <c r="R253" s="152"/>
      <c r="S253" s="152"/>
      <c r="T253" s="152"/>
      <c r="U253" s="152"/>
      <c r="V253" s="152"/>
      <c r="W253" s="152"/>
      <c r="X253" s="152"/>
      <c r="Y253" s="152"/>
    </row>
    <row r="254">
      <c r="A254" s="152"/>
      <c r="B254" s="152"/>
      <c r="C254" s="152"/>
      <c r="D254" s="152"/>
      <c r="E254" s="152"/>
      <c r="F254" s="152"/>
      <c r="G254" s="152"/>
      <c r="H254" s="152"/>
      <c r="I254" s="152"/>
      <c r="J254" s="152"/>
      <c r="K254" s="152"/>
      <c r="L254" s="152"/>
      <c r="M254" s="152"/>
      <c r="N254" s="152"/>
      <c r="O254" s="152"/>
      <c r="P254" s="152"/>
      <c r="Q254" s="152"/>
      <c r="R254" s="152"/>
      <c r="S254" s="152"/>
      <c r="T254" s="152"/>
      <c r="U254" s="152"/>
      <c r="V254" s="152"/>
      <c r="W254" s="152"/>
      <c r="X254" s="152"/>
      <c r="Y254" s="152"/>
    </row>
    <row r="255">
      <c r="A255" s="152"/>
      <c r="B255" s="152"/>
      <c r="C255" s="152"/>
      <c r="D255" s="152"/>
      <c r="E255" s="152"/>
      <c r="F255" s="152"/>
      <c r="G255" s="152"/>
      <c r="H255" s="152"/>
      <c r="I255" s="152"/>
      <c r="J255" s="152"/>
      <c r="K255" s="152"/>
      <c r="L255" s="152"/>
      <c r="M255" s="152"/>
      <c r="N255" s="152"/>
      <c r="O255" s="152"/>
      <c r="P255" s="152"/>
      <c r="Q255" s="152"/>
      <c r="R255" s="152"/>
      <c r="S255" s="152"/>
      <c r="T255" s="152"/>
      <c r="U255" s="152"/>
      <c r="V255" s="152"/>
      <c r="W255" s="152"/>
      <c r="X255" s="152"/>
      <c r="Y255" s="152"/>
    </row>
    <row r="256">
      <c r="A256" s="152"/>
      <c r="B256" s="152"/>
      <c r="C256" s="152"/>
      <c r="D256" s="152"/>
      <c r="E256" s="152"/>
      <c r="F256" s="152"/>
      <c r="G256" s="152"/>
      <c r="H256" s="152"/>
      <c r="I256" s="152"/>
      <c r="J256" s="152"/>
      <c r="K256" s="152"/>
      <c r="L256" s="152"/>
      <c r="M256" s="152"/>
      <c r="N256" s="152"/>
      <c r="O256" s="152"/>
      <c r="P256" s="152"/>
      <c r="Q256" s="152"/>
      <c r="R256" s="152"/>
      <c r="S256" s="152"/>
      <c r="T256" s="152"/>
      <c r="U256" s="152"/>
      <c r="V256" s="152"/>
      <c r="W256" s="152"/>
      <c r="X256" s="152"/>
      <c r="Y256" s="152"/>
    </row>
    <row r="257">
      <c r="A257" s="152"/>
      <c r="B257" s="152"/>
      <c r="C257" s="152"/>
      <c r="D257" s="152"/>
      <c r="E257" s="152"/>
      <c r="F257" s="152"/>
      <c r="G257" s="152"/>
      <c r="H257" s="152"/>
      <c r="I257" s="152"/>
      <c r="J257" s="152"/>
      <c r="K257" s="152"/>
      <c r="L257" s="152"/>
      <c r="M257" s="152"/>
      <c r="N257" s="152"/>
      <c r="O257" s="152"/>
      <c r="P257" s="152"/>
      <c r="Q257" s="152"/>
      <c r="R257" s="152"/>
      <c r="S257" s="152"/>
      <c r="T257" s="152"/>
      <c r="U257" s="152"/>
      <c r="V257" s="152"/>
      <c r="W257" s="152"/>
      <c r="X257" s="152"/>
      <c r="Y257" s="152"/>
    </row>
    <row r="258">
      <c r="A258" s="152"/>
      <c r="B258" s="152"/>
      <c r="C258" s="152"/>
      <c r="D258" s="152"/>
      <c r="E258" s="152"/>
      <c r="F258" s="152"/>
      <c r="G258" s="152"/>
      <c r="H258" s="152"/>
      <c r="I258" s="152"/>
      <c r="J258" s="152"/>
      <c r="K258" s="152"/>
      <c r="L258" s="152"/>
      <c r="M258" s="152"/>
      <c r="N258" s="152"/>
      <c r="O258" s="152"/>
      <c r="P258" s="152"/>
      <c r="Q258" s="152"/>
      <c r="R258" s="152"/>
      <c r="S258" s="152"/>
      <c r="T258" s="152"/>
      <c r="U258" s="152"/>
      <c r="V258" s="152"/>
      <c r="W258" s="152"/>
      <c r="X258" s="152"/>
      <c r="Y258" s="152"/>
    </row>
    <row r="259">
      <c r="A259" s="152"/>
      <c r="B259" s="152"/>
      <c r="C259" s="152"/>
      <c r="D259" s="152"/>
      <c r="E259" s="152"/>
      <c r="F259" s="152"/>
      <c r="G259" s="152"/>
      <c r="H259" s="152"/>
      <c r="I259" s="152"/>
      <c r="J259" s="152"/>
      <c r="K259" s="152"/>
      <c r="L259" s="152"/>
      <c r="M259" s="152"/>
      <c r="N259" s="152"/>
      <c r="O259" s="152"/>
      <c r="P259" s="152"/>
      <c r="Q259" s="152"/>
      <c r="R259" s="152"/>
      <c r="S259" s="152"/>
      <c r="T259" s="152"/>
      <c r="U259" s="152"/>
      <c r="V259" s="152"/>
      <c r="W259" s="152"/>
      <c r="X259" s="152"/>
      <c r="Y259" s="152"/>
    </row>
    <row r="260">
      <c r="A260" s="152"/>
      <c r="B260" s="152"/>
      <c r="C260" s="152"/>
      <c r="D260" s="152"/>
      <c r="E260" s="152"/>
      <c r="F260" s="152"/>
      <c r="G260" s="152"/>
      <c r="H260" s="152"/>
      <c r="I260" s="152"/>
      <c r="J260" s="152"/>
      <c r="K260" s="152"/>
      <c r="L260" s="152"/>
      <c r="M260" s="152"/>
      <c r="N260" s="152"/>
      <c r="O260" s="152"/>
      <c r="P260" s="152"/>
      <c r="Q260" s="152"/>
      <c r="R260" s="152"/>
      <c r="S260" s="152"/>
      <c r="T260" s="152"/>
      <c r="U260" s="152"/>
      <c r="V260" s="152"/>
      <c r="W260" s="152"/>
      <c r="X260" s="152"/>
      <c r="Y260" s="152"/>
    </row>
    <row r="261">
      <c r="A261" s="152"/>
      <c r="B261" s="152"/>
      <c r="C261" s="152"/>
      <c r="D261" s="152"/>
      <c r="E261" s="152"/>
      <c r="F261" s="152"/>
      <c r="G261" s="152"/>
      <c r="H261" s="152"/>
      <c r="I261" s="152"/>
      <c r="J261" s="152"/>
      <c r="K261" s="152"/>
      <c r="L261" s="152"/>
      <c r="M261" s="152"/>
      <c r="N261" s="152"/>
      <c r="O261" s="152"/>
      <c r="P261" s="152"/>
      <c r="Q261" s="152"/>
      <c r="R261" s="152"/>
      <c r="S261" s="152"/>
      <c r="T261" s="152"/>
      <c r="U261" s="152"/>
      <c r="V261" s="152"/>
      <c r="W261" s="152"/>
      <c r="X261" s="152"/>
      <c r="Y261" s="152"/>
    </row>
    <row r="262">
      <c r="A262" s="152"/>
      <c r="B262" s="152"/>
      <c r="C262" s="152"/>
      <c r="D262" s="152"/>
      <c r="E262" s="152"/>
      <c r="F262" s="152"/>
      <c r="G262" s="152"/>
      <c r="H262" s="152"/>
      <c r="I262" s="152"/>
      <c r="J262" s="152"/>
      <c r="K262" s="152"/>
      <c r="L262" s="152"/>
      <c r="M262" s="152"/>
      <c r="N262" s="152"/>
      <c r="O262" s="152"/>
      <c r="P262" s="152"/>
      <c r="Q262" s="152"/>
      <c r="R262" s="152"/>
      <c r="S262" s="152"/>
      <c r="T262" s="152"/>
      <c r="U262" s="152"/>
      <c r="V262" s="152"/>
      <c r="W262" s="152"/>
      <c r="X262" s="152"/>
      <c r="Y262" s="152"/>
    </row>
    <row r="263">
      <c r="A263" s="152"/>
      <c r="B263" s="152"/>
      <c r="C263" s="152"/>
      <c r="D263" s="152"/>
      <c r="E263" s="152"/>
      <c r="F263" s="152"/>
      <c r="G263" s="152"/>
      <c r="H263" s="152"/>
      <c r="I263" s="152"/>
      <c r="J263" s="152"/>
      <c r="K263" s="152"/>
      <c r="L263" s="152"/>
      <c r="M263" s="152"/>
      <c r="N263" s="152"/>
      <c r="O263" s="152"/>
      <c r="P263" s="152"/>
      <c r="Q263" s="152"/>
      <c r="R263" s="152"/>
      <c r="S263" s="152"/>
      <c r="T263" s="152"/>
      <c r="U263" s="152"/>
      <c r="V263" s="152"/>
      <c r="W263" s="152"/>
      <c r="X263" s="152"/>
      <c r="Y263" s="152"/>
    </row>
    <row r="264">
      <c r="A264" s="152"/>
      <c r="B264" s="152"/>
      <c r="C264" s="152"/>
      <c r="D264" s="152"/>
      <c r="E264" s="152"/>
      <c r="F264" s="152"/>
      <c r="G264" s="152"/>
      <c r="H264" s="152"/>
      <c r="I264" s="152"/>
      <c r="J264" s="152"/>
      <c r="K264" s="152"/>
      <c r="L264" s="152"/>
      <c r="M264" s="152"/>
      <c r="N264" s="152"/>
      <c r="O264" s="152"/>
      <c r="P264" s="152"/>
      <c r="Q264" s="152"/>
      <c r="R264" s="152"/>
      <c r="S264" s="152"/>
      <c r="T264" s="152"/>
      <c r="U264" s="152"/>
      <c r="V264" s="152"/>
      <c r="W264" s="152"/>
      <c r="X264" s="152"/>
      <c r="Y264" s="152"/>
    </row>
    <row r="265">
      <c r="A265" s="152"/>
      <c r="B265" s="152"/>
      <c r="C265" s="152"/>
      <c r="D265" s="152"/>
      <c r="E265" s="152"/>
      <c r="F265" s="152"/>
      <c r="G265" s="152"/>
      <c r="H265" s="152"/>
      <c r="I265" s="152"/>
      <c r="J265" s="152"/>
      <c r="K265" s="152"/>
      <c r="L265" s="152"/>
      <c r="M265" s="152"/>
      <c r="N265" s="152"/>
      <c r="O265" s="152"/>
      <c r="P265" s="152"/>
      <c r="Q265" s="152"/>
      <c r="R265" s="152"/>
      <c r="S265" s="152"/>
      <c r="T265" s="152"/>
      <c r="U265" s="152"/>
      <c r="V265" s="152"/>
      <c r="W265" s="152"/>
      <c r="X265" s="152"/>
      <c r="Y265" s="152"/>
    </row>
    <row r="266">
      <c r="A266" s="152"/>
      <c r="B266" s="152"/>
      <c r="C266" s="152"/>
      <c r="D266" s="152"/>
      <c r="E266" s="152"/>
      <c r="F266" s="152"/>
      <c r="G266" s="152"/>
      <c r="H266" s="152"/>
      <c r="I266" s="152"/>
      <c r="J266" s="152"/>
      <c r="K266" s="152"/>
      <c r="L266" s="152"/>
      <c r="M266" s="152"/>
      <c r="N266" s="152"/>
      <c r="O266" s="152"/>
      <c r="P266" s="152"/>
      <c r="Q266" s="152"/>
      <c r="R266" s="152"/>
      <c r="S266" s="152"/>
      <c r="T266" s="152"/>
      <c r="U266" s="152"/>
      <c r="V266" s="152"/>
      <c r="W266" s="152"/>
      <c r="X266" s="152"/>
      <c r="Y266" s="152"/>
    </row>
    <row r="267">
      <c r="A267" s="152"/>
      <c r="B267" s="152"/>
      <c r="C267" s="152"/>
      <c r="D267" s="152"/>
      <c r="E267" s="152"/>
      <c r="F267" s="152"/>
      <c r="G267" s="152"/>
      <c r="H267" s="152"/>
      <c r="I267" s="152"/>
      <c r="J267" s="152"/>
      <c r="K267" s="152"/>
      <c r="L267" s="152"/>
      <c r="M267" s="152"/>
      <c r="N267" s="152"/>
      <c r="O267" s="152"/>
      <c r="P267" s="152"/>
      <c r="Q267" s="152"/>
      <c r="R267" s="152"/>
      <c r="S267" s="152"/>
      <c r="T267" s="152"/>
      <c r="U267" s="152"/>
      <c r="V267" s="152"/>
      <c r="W267" s="152"/>
      <c r="X267" s="152"/>
      <c r="Y267" s="152"/>
    </row>
    <row r="268">
      <c r="A268" s="152"/>
      <c r="B268" s="152"/>
      <c r="C268" s="152"/>
      <c r="D268" s="152"/>
      <c r="E268" s="152"/>
      <c r="F268" s="152"/>
      <c r="G268" s="152"/>
      <c r="H268" s="152"/>
      <c r="I268" s="152"/>
      <c r="J268" s="152"/>
      <c r="K268" s="152"/>
      <c r="L268" s="152"/>
      <c r="M268" s="152"/>
      <c r="N268" s="152"/>
      <c r="O268" s="152"/>
      <c r="P268" s="152"/>
      <c r="Q268" s="152"/>
      <c r="R268" s="152"/>
      <c r="S268" s="152"/>
      <c r="T268" s="152"/>
      <c r="U268" s="152"/>
      <c r="V268" s="152"/>
      <c r="W268" s="152"/>
      <c r="X268" s="152"/>
      <c r="Y268" s="152"/>
    </row>
    <row r="269">
      <c r="A269" s="152"/>
      <c r="B269" s="152"/>
      <c r="C269" s="152"/>
      <c r="D269" s="152"/>
      <c r="E269" s="152"/>
      <c r="F269" s="152"/>
      <c r="G269" s="152"/>
      <c r="H269" s="152"/>
      <c r="I269" s="152"/>
      <c r="J269" s="152"/>
      <c r="K269" s="152"/>
      <c r="L269" s="152"/>
      <c r="M269" s="152"/>
      <c r="N269" s="152"/>
      <c r="O269" s="152"/>
      <c r="P269" s="152"/>
      <c r="Q269" s="152"/>
      <c r="R269" s="152"/>
      <c r="S269" s="152"/>
      <c r="T269" s="152"/>
      <c r="U269" s="152"/>
      <c r="V269" s="152"/>
      <c r="W269" s="152"/>
      <c r="X269" s="152"/>
      <c r="Y269" s="152"/>
    </row>
    <row r="270">
      <c r="A270" s="152"/>
      <c r="B270" s="152"/>
      <c r="C270" s="152"/>
      <c r="D270" s="152"/>
      <c r="E270" s="152"/>
      <c r="F270" s="152"/>
      <c r="G270" s="152"/>
      <c r="H270" s="152"/>
      <c r="I270" s="152"/>
      <c r="J270" s="152"/>
      <c r="K270" s="152"/>
      <c r="L270" s="152"/>
      <c r="M270" s="152"/>
      <c r="N270" s="152"/>
      <c r="O270" s="152"/>
      <c r="P270" s="152"/>
      <c r="Q270" s="152"/>
      <c r="R270" s="152"/>
      <c r="S270" s="152"/>
      <c r="T270" s="152"/>
      <c r="U270" s="152"/>
      <c r="V270" s="152"/>
      <c r="W270" s="152"/>
      <c r="X270" s="152"/>
      <c r="Y270" s="152"/>
    </row>
    <row r="271">
      <c r="A271" s="152"/>
      <c r="B271" s="152"/>
      <c r="C271" s="152"/>
      <c r="D271" s="152"/>
      <c r="E271" s="152"/>
      <c r="F271" s="152"/>
      <c r="G271" s="152"/>
      <c r="H271" s="152"/>
      <c r="I271" s="152"/>
      <c r="J271" s="152"/>
      <c r="K271" s="152"/>
      <c r="L271" s="152"/>
      <c r="M271" s="152"/>
      <c r="N271" s="152"/>
      <c r="O271" s="152"/>
      <c r="P271" s="152"/>
      <c r="Q271" s="152"/>
      <c r="R271" s="152"/>
      <c r="S271" s="152"/>
      <c r="T271" s="152"/>
      <c r="U271" s="152"/>
      <c r="V271" s="152"/>
      <c r="W271" s="152"/>
      <c r="X271" s="152"/>
      <c r="Y271" s="152"/>
    </row>
    <row r="272">
      <c r="A272" s="152"/>
      <c r="B272" s="152"/>
      <c r="C272" s="152"/>
      <c r="D272" s="152"/>
      <c r="E272" s="152"/>
      <c r="F272" s="152"/>
      <c r="G272" s="152"/>
      <c r="H272" s="152"/>
      <c r="I272" s="152"/>
      <c r="J272" s="152"/>
      <c r="K272" s="152"/>
      <c r="L272" s="152"/>
      <c r="M272" s="152"/>
      <c r="N272" s="152"/>
      <c r="O272" s="152"/>
      <c r="P272" s="152"/>
      <c r="Q272" s="152"/>
      <c r="R272" s="152"/>
      <c r="S272" s="152"/>
      <c r="T272" s="152"/>
      <c r="U272" s="152"/>
      <c r="V272" s="152"/>
      <c r="W272" s="152"/>
      <c r="X272" s="152"/>
      <c r="Y272" s="152"/>
    </row>
    <row r="273">
      <c r="A273" s="152"/>
      <c r="B273" s="152"/>
      <c r="C273" s="152"/>
      <c r="D273" s="152"/>
      <c r="E273" s="152"/>
      <c r="F273" s="152"/>
      <c r="G273" s="152"/>
      <c r="H273" s="152"/>
      <c r="I273" s="152"/>
      <c r="J273" s="152"/>
      <c r="K273" s="152"/>
      <c r="L273" s="152"/>
      <c r="M273" s="152"/>
      <c r="N273" s="152"/>
      <c r="O273" s="152"/>
      <c r="P273" s="152"/>
      <c r="Q273" s="152"/>
      <c r="R273" s="152"/>
      <c r="S273" s="152"/>
      <c r="T273" s="152"/>
      <c r="U273" s="152"/>
      <c r="V273" s="152"/>
      <c r="W273" s="152"/>
      <c r="X273" s="152"/>
      <c r="Y273" s="152"/>
    </row>
    <row r="274">
      <c r="A274" s="152"/>
      <c r="B274" s="152"/>
      <c r="C274" s="152"/>
      <c r="D274" s="152"/>
      <c r="E274" s="152"/>
      <c r="F274" s="152"/>
      <c r="G274" s="152"/>
      <c r="H274" s="152"/>
      <c r="I274" s="152"/>
      <c r="J274" s="152"/>
      <c r="K274" s="152"/>
      <c r="L274" s="152"/>
      <c r="M274" s="152"/>
      <c r="N274" s="152"/>
      <c r="O274" s="152"/>
      <c r="P274" s="152"/>
      <c r="Q274" s="152"/>
      <c r="R274" s="152"/>
      <c r="S274" s="152"/>
      <c r="T274" s="152"/>
      <c r="U274" s="152"/>
      <c r="V274" s="152"/>
      <c r="W274" s="152"/>
      <c r="X274" s="152"/>
      <c r="Y274" s="152"/>
    </row>
    <row r="275">
      <c r="A275" s="152"/>
      <c r="B275" s="152"/>
      <c r="C275" s="152"/>
      <c r="D275" s="152"/>
      <c r="E275" s="152"/>
      <c r="F275" s="152"/>
      <c r="G275" s="152"/>
      <c r="H275" s="152"/>
      <c r="I275" s="152"/>
      <c r="J275" s="152"/>
      <c r="K275" s="152"/>
      <c r="L275" s="152"/>
      <c r="M275" s="152"/>
      <c r="N275" s="152"/>
      <c r="O275" s="152"/>
      <c r="P275" s="152"/>
      <c r="Q275" s="152"/>
      <c r="R275" s="152"/>
      <c r="S275" s="152"/>
      <c r="T275" s="152"/>
      <c r="U275" s="152"/>
      <c r="V275" s="152"/>
      <c r="W275" s="152"/>
      <c r="X275" s="152"/>
      <c r="Y275" s="152"/>
    </row>
    <row r="276">
      <c r="A276" s="152"/>
      <c r="B276" s="152"/>
      <c r="C276" s="152"/>
      <c r="D276" s="152"/>
      <c r="E276" s="152"/>
      <c r="F276" s="152"/>
      <c r="G276" s="152"/>
      <c r="H276" s="152"/>
      <c r="I276" s="152"/>
      <c r="J276" s="152"/>
      <c r="K276" s="152"/>
      <c r="L276" s="152"/>
      <c r="M276" s="152"/>
      <c r="N276" s="152"/>
      <c r="O276" s="152"/>
      <c r="P276" s="152"/>
      <c r="Q276" s="152"/>
      <c r="R276" s="152"/>
      <c r="S276" s="152"/>
      <c r="T276" s="152"/>
      <c r="U276" s="152"/>
      <c r="V276" s="152"/>
      <c r="W276" s="152"/>
      <c r="X276" s="152"/>
      <c r="Y276" s="152"/>
    </row>
    <row r="277">
      <c r="A277" s="152"/>
      <c r="B277" s="152"/>
      <c r="C277" s="152"/>
      <c r="D277" s="152"/>
      <c r="E277" s="152"/>
      <c r="F277" s="152"/>
      <c r="G277" s="152"/>
      <c r="H277" s="152"/>
      <c r="I277" s="152"/>
      <c r="J277" s="152"/>
      <c r="K277" s="152"/>
      <c r="L277" s="152"/>
      <c r="M277" s="152"/>
      <c r="N277" s="152"/>
      <c r="O277" s="152"/>
      <c r="P277" s="152"/>
      <c r="Q277" s="152"/>
      <c r="R277" s="152"/>
      <c r="S277" s="152"/>
      <c r="T277" s="152"/>
      <c r="U277" s="152"/>
      <c r="V277" s="152"/>
      <c r="W277" s="152"/>
      <c r="X277" s="152"/>
      <c r="Y277" s="152"/>
    </row>
    <row r="278">
      <c r="A278" s="152"/>
      <c r="B278" s="152"/>
      <c r="C278" s="152"/>
      <c r="D278" s="152"/>
      <c r="E278" s="152"/>
      <c r="F278" s="152"/>
      <c r="G278" s="152"/>
      <c r="H278" s="152"/>
      <c r="I278" s="152"/>
      <c r="J278" s="152"/>
      <c r="K278" s="152"/>
      <c r="L278" s="152"/>
      <c r="M278" s="152"/>
      <c r="N278" s="152"/>
      <c r="O278" s="152"/>
      <c r="P278" s="152"/>
      <c r="Q278" s="152"/>
      <c r="R278" s="152"/>
      <c r="S278" s="152"/>
      <c r="T278" s="152"/>
      <c r="U278" s="152"/>
      <c r="V278" s="152"/>
      <c r="W278" s="152"/>
      <c r="X278" s="152"/>
      <c r="Y278" s="152"/>
    </row>
    <row r="279">
      <c r="A279" s="152"/>
      <c r="B279" s="152"/>
      <c r="C279" s="152"/>
      <c r="D279" s="152"/>
      <c r="E279" s="152"/>
      <c r="F279" s="152"/>
      <c r="G279" s="152"/>
      <c r="H279" s="152"/>
      <c r="I279" s="152"/>
      <c r="J279" s="152"/>
      <c r="K279" s="152"/>
      <c r="L279" s="152"/>
      <c r="M279" s="152"/>
      <c r="N279" s="152"/>
      <c r="O279" s="152"/>
      <c r="P279" s="152"/>
      <c r="Q279" s="152"/>
      <c r="R279" s="152"/>
      <c r="S279" s="152"/>
      <c r="T279" s="152"/>
      <c r="U279" s="152"/>
      <c r="V279" s="152"/>
      <c r="W279" s="152"/>
      <c r="X279" s="152"/>
      <c r="Y279" s="152"/>
    </row>
    <row r="280">
      <c r="A280" s="152"/>
      <c r="B280" s="152"/>
      <c r="C280" s="152"/>
      <c r="D280" s="152"/>
      <c r="E280" s="152"/>
      <c r="F280" s="152"/>
      <c r="G280" s="152"/>
      <c r="H280" s="152"/>
      <c r="I280" s="152"/>
      <c r="J280" s="152"/>
      <c r="K280" s="152"/>
      <c r="L280" s="152"/>
      <c r="M280" s="152"/>
      <c r="N280" s="152"/>
      <c r="O280" s="152"/>
      <c r="P280" s="152"/>
      <c r="Q280" s="152"/>
      <c r="R280" s="152"/>
      <c r="S280" s="152"/>
      <c r="T280" s="152"/>
      <c r="U280" s="152"/>
      <c r="V280" s="152"/>
      <c r="W280" s="152"/>
      <c r="X280" s="152"/>
      <c r="Y280" s="152"/>
    </row>
    <row r="281">
      <c r="A281" s="152"/>
      <c r="B281" s="152"/>
      <c r="C281" s="152"/>
      <c r="D281" s="152"/>
      <c r="E281" s="152"/>
      <c r="F281" s="152"/>
      <c r="G281" s="152"/>
      <c r="H281" s="152"/>
      <c r="I281" s="152"/>
      <c r="J281" s="152"/>
      <c r="K281" s="152"/>
      <c r="L281" s="152"/>
      <c r="M281" s="152"/>
      <c r="N281" s="152"/>
      <c r="O281" s="152"/>
      <c r="P281" s="152"/>
      <c r="Q281" s="152"/>
      <c r="R281" s="152"/>
      <c r="S281" s="152"/>
      <c r="T281" s="152"/>
      <c r="U281" s="152"/>
      <c r="V281" s="152"/>
      <c r="W281" s="152"/>
      <c r="X281" s="152"/>
      <c r="Y281" s="152"/>
    </row>
    <row r="282">
      <c r="A282" s="152"/>
      <c r="B282" s="152"/>
      <c r="C282" s="152"/>
      <c r="D282" s="152"/>
      <c r="E282" s="152"/>
      <c r="F282" s="152"/>
      <c r="G282" s="152"/>
      <c r="H282" s="152"/>
      <c r="I282" s="152"/>
      <c r="J282" s="152"/>
      <c r="K282" s="152"/>
      <c r="L282" s="152"/>
      <c r="M282" s="152"/>
      <c r="N282" s="152"/>
      <c r="O282" s="152"/>
      <c r="P282" s="152"/>
      <c r="Q282" s="152"/>
      <c r="R282" s="152"/>
      <c r="S282" s="152"/>
      <c r="T282" s="152"/>
      <c r="U282" s="152"/>
      <c r="V282" s="152"/>
      <c r="W282" s="152"/>
      <c r="X282" s="152"/>
      <c r="Y282" s="152"/>
    </row>
    <row r="283">
      <c r="A283" s="152"/>
      <c r="B283" s="152"/>
      <c r="C283" s="152"/>
      <c r="D283" s="152"/>
      <c r="E283" s="152"/>
      <c r="F283" s="152"/>
      <c r="G283" s="152"/>
      <c r="H283" s="152"/>
      <c r="I283" s="152"/>
      <c r="J283" s="152"/>
      <c r="K283" s="152"/>
      <c r="L283" s="152"/>
      <c r="M283" s="152"/>
      <c r="N283" s="152"/>
      <c r="O283" s="152"/>
      <c r="P283" s="152"/>
      <c r="Q283" s="152"/>
      <c r="R283" s="152"/>
      <c r="S283" s="152"/>
      <c r="T283" s="152"/>
      <c r="U283" s="152"/>
      <c r="V283" s="152"/>
      <c r="W283" s="152"/>
      <c r="X283" s="152"/>
      <c r="Y283" s="152"/>
    </row>
    <row r="284">
      <c r="A284" s="152"/>
      <c r="B284" s="152"/>
      <c r="C284" s="152"/>
      <c r="D284" s="152"/>
      <c r="E284" s="152"/>
      <c r="F284" s="152"/>
      <c r="G284" s="152"/>
      <c r="H284" s="152"/>
      <c r="I284" s="152"/>
      <c r="J284" s="152"/>
      <c r="K284" s="152"/>
      <c r="L284" s="152"/>
      <c r="M284" s="152"/>
      <c r="N284" s="152"/>
      <c r="O284" s="152"/>
      <c r="P284" s="152"/>
      <c r="Q284" s="152"/>
      <c r="R284" s="152"/>
      <c r="S284" s="152"/>
      <c r="T284" s="152"/>
      <c r="U284" s="152"/>
      <c r="V284" s="152"/>
      <c r="W284" s="152"/>
      <c r="X284" s="152"/>
      <c r="Y284" s="152"/>
    </row>
    <row r="285">
      <c r="A285" s="152"/>
      <c r="B285" s="152"/>
      <c r="C285" s="152"/>
      <c r="D285" s="152"/>
      <c r="E285" s="152"/>
      <c r="F285" s="152"/>
      <c r="G285" s="152"/>
      <c r="H285" s="152"/>
      <c r="I285" s="152"/>
      <c r="J285" s="152"/>
      <c r="K285" s="152"/>
      <c r="L285" s="152"/>
      <c r="M285" s="152"/>
      <c r="N285" s="152"/>
      <c r="O285" s="152"/>
      <c r="P285" s="152"/>
      <c r="Q285" s="152"/>
      <c r="R285" s="152"/>
      <c r="S285" s="152"/>
      <c r="T285" s="152"/>
      <c r="U285" s="152"/>
      <c r="V285" s="152"/>
      <c r="W285" s="152"/>
      <c r="X285" s="152"/>
      <c r="Y285" s="152"/>
    </row>
    <row r="286">
      <c r="A286" s="152"/>
      <c r="B286" s="152"/>
      <c r="C286" s="152"/>
      <c r="D286" s="152"/>
      <c r="E286" s="152"/>
      <c r="F286" s="152"/>
      <c r="G286" s="152"/>
      <c r="H286" s="152"/>
      <c r="I286" s="152"/>
      <c r="J286" s="152"/>
      <c r="K286" s="152"/>
      <c r="L286" s="152"/>
      <c r="M286" s="152"/>
      <c r="N286" s="152"/>
      <c r="O286" s="152"/>
      <c r="P286" s="152"/>
      <c r="Q286" s="152"/>
      <c r="R286" s="152"/>
      <c r="S286" s="152"/>
      <c r="T286" s="152"/>
      <c r="U286" s="152"/>
      <c r="V286" s="152"/>
      <c r="W286" s="152"/>
      <c r="X286" s="152"/>
      <c r="Y286" s="152"/>
    </row>
    <row r="287">
      <c r="A287" s="152"/>
      <c r="B287" s="152"/>
      <c r="C287" s="152"/>
      <c r="D287" s="152"/>
      <c r="E287" s="152"/>
      <c r="F287" s="152"/>
      <c r="G287" s="152"/>
      <c r="H287" s="152"/>
      <c r="I287" s="152"/>
      <c r="J287" s="152"/>
      <c r="K287" s="152"/>
      <c r="L287" s="152"/>
      <c r="M287" s="152"/>
      <c r="N287" s="152"/>
      <c r="O287" s="152"/>
      <c r="P287" s="152"/>
      <c r="Q287" s="152"/>
      <c r="R287" s="152"/>
      <c r="S287" s="152"/>
      <c r="T287" s="152"/>
      <c r="U287" s="152"/>
      <c r="V287" s="152"/>
      <c r="W287" s="152"/>
      <c r="X287" s="152"/>
      <c r="Y287" s="152"/>
    </row>
    <row r="288">
      <c r="A288" s="152"/>
      <c r="B288" s="152"/>
      <c r="C288" s="152"/>
      <c r="D288" s="152"/>
      <c r="E288" s="152"/>
      <c r="F288" s="152"/>
      <c r="G288" s="152"/>
      <c r="H288" s="152"/>
      <c r="I288" s="152"/>
      <c r="J288" s="152"/>
      <c r="K288" s="152"/>
      <c r="L288" s="152"/>
      <c r="M288" s="152"/>
      <c r="N288" s="152"/>
      <c r="O288" s="152"/>
      <c r="P288" s="152"/>
      <c r="Q288" s="152"/>
      <c r="R288" s="152"/>
      <c r="S288" s="152"/>
      <c r="T288" s="152"/>
      <c r="U288" s="152"/>
      <c r="V288" s="152"/>
      <c r="W288" s="152"/>
      <c r="X288" s="152"/>
      <c r="Y288" s="152"/>
    </row>
    <row r="289">
      <c r="A289" s="152"/>
      <c r="B289" s="152"/>
      <c r="C289" s="152"/>
      <c r="D289" s="152"/>
      <c r="E289" s="152"/>
      <c r="F289" s="152"/>
      <c r="G289" s="152"/>
      <c r="H289" s="152"/>
      <c r="I289" s="152"/>
      <c r="J289" s="152"/>
      <c r="K289" s="152"/>
      <c r="L289" s="152"/>
      <c r="M289" s="152"/>
      <c r="N289" s="152"/>
      <c r="O289" s="152"/>
      <c r="P289" s="152"/>
      <c r="Q289" s="152"/>
      <c r="R289" s="152"/>
      <c r="S289" s="152"/>
      <c r="T289" s="152"/>
      <c r="U289" s="152"/>
      <c r="V289" s="152"/>
      <c r="W289" s="152"/>
      <c r="X289" s="152"/>
      <c r="Y289" s="152"/>
    </row>
    <row r="290">
      <c r="A290" s="152"/>
      <c r="B290" s="152"/>
      <c r="C290" s="152"/>
      <c r="D290" s="152"/>
      <c r="E290" s="152"/>
      <c r="F290" s="152"/>
      <c r="G290" s="152"/>
      <c r="H290" s="152"/>
      <c r="I290" s="152"/>
      <c r="J290" s="152"/>
      <c r="K290" s="152"/>
      <c r="L290" s="152"/>
      <c r="M290" s="152"/>
      <c r="N290" s="152"/>
      <c r="O290" s="152"/>
      <c r="P290" s="152"/>
      <c r="Q290" s="152"/>
      <c r="R290" s="152"/>
      <c r="S290" s="152"/>
      <c r="T290" s="152"/>
      <c r="U290" s="152"/>
      <c r="V290" s="152"/>
      <c r="W290" s="152"/>
      <c r="X290" s="152"/>
      <c r="Y290" s="152"/>
    </row>
    <row r="291">
      <c r="A291" s="152"/>
      <c r="B291" s="152"/>
      <c r="C291" s="152"/>
      <c r="D291" s="152"/>
      <c r="E291" s="152"/>
      <c r="F291" s="152"/>
      <c r="G291" s="152"/>
      <c r="H291" s="152"/>
      <c r="I291" s="152"/>
      <c r="J291" s="152"/>
      <c r="K291" s="152"/>
      <c r="L291" s="152"/>
      <c r="M291" s="152"/>
      <c r="N291" s="152"/>
      <c r="O291" s="152"/>
      <c r="P291" s="152"/>
      <c r="Q291" s="152"/>
      <c r="R291" s="152"/>
      <c r="S291" s="152"/>
      <c r="T291" s="152"/>
      <c r="U291" s="152"/>
      <c r="V291" s="152"/>
      <c r="W291" s="152"/>
      <c r="X291" s="152"/>
      <c r="Y291" s="152"/>
    </row>
    <row r="292">
      <c r="A292" s="152"/>
      <c r="B292" s="152"/>
      <c r="C292" s="152"/>
      <c r="D292" s="152"/>
      <c r="E292" s="152"/>
      <c r="F292" s="152"/>
      <c r="G292" s="152"/>
      <c r="H292" s="152"/>
      <c r="I292" s="152"/>
      <c r="J292" s="152"/>
      <c r="K292" s="152"/>
      <c r="L292" s="152"/>
      <c r="M292" s="152"/>
      <c r="N292" s="152"/>
      <c r="O292" s="152"/>
      <c r="P292" s="152"/>
      <c r="Q292" s="152"/>
      <c r="R292" s="152"/>
      <c r="S292" s="152"/>
      <c r="T292" s="152"/>
      <c r="U292" s="152"/>
      <c r="V292" s="152"/>
      <c r="W292" s="152"/>
      <c r="X292" s="152"/>
      <c r="Y292" s="152"/>
    </row>
    <row r="293">
      <c r="A293" s="152"/>
      <c r="B293" s="152"/>
      <c r="C293" s="152"/>
      <c r="D293" s="152"/>
      <c r="E293" s="152"/>
      <c r="F293" s="152"/>
      <c r="G293" s="152"/>
      <c r="H293" s="152"/>
      <c r="I293" s="152"/>
      <c r="J293" s="152"/>
      <c r="K293" s="152"/>
      <c r="L293" s="152"/>
      <c r="M293" s="152"/>
      <c r="N293" s="152"/>
      <c r="O293" s="152"/>
      <c r="P293" s="152"/>
      <c r="Q293" s="152"/>
      <c r="R293" s="152"/>
      <c r="S293" s="152"/>
      <c r="T293" s="152"/>
      <c r="U293" s="152"/>
      <c r="V293" s="152"/>
      <c r="W293" s="152"/>
      <c r="X293" s="152"/>
      <c r="Y293" s="152"/>
    </row>
    <row r="294">
      <c r="A294" s="152"/>
      <c r="B294" s="152"/>
      <c r="C294" s="152"/>
      <c r="D294" s="152"/>
      <c r="E294" s="152"/>
      <c r="F294" s="152"/>
      <c r="G294" s="152"/>
      <c r="H294" s="152"/>
      <c r="I294" s="152"/>
      <c r="J294" s="152"/>
      <c r="K294" s="152"/>
      <c r="L294" s="152"/>
      <c r="M294" s="152"/>
      <c r="N294" s="152"/>
      <c r="O294" s="152"/>
      <c r="P294" s="152"/>
      <c r="Q294" s="152"/>
      <c r="R294" s="152"/>
      <c r="S294" s="152"/>
      <c r="T294" s="152"/>
      <c r="U294" s="152"/>
      <c r="V294" s="152"/>
      <c r="W294" s="152"/>
      <c r="X294" s="152"/>
      <c r="Y294" s="152"/>
    </row>
    <row r="295">
      <c r="A295" s="152"/>
      <c r="B295" s="152"/>
      <c r="C295" s="152"/>
      <c r="D295" s="152"/>
      <c r="E295" s="152"/>
      <c r="F295" s="152"/>
      <c r="G295" s="152"/>
      <c r="H295" s="152"/>
      <c r="I295" s="152"/>
      <c r="J295" s="152"/>
      <c r="K295" s="152"/>
      <c r="L295" s="152"/>
      <c r="M295" s="152"/>
      <c r="N295" s="152"/>
      <c r="O295" s="152"/>
      <c r="P295" s="152"/>
      <c r="Q295" s="152"/>
      <c r="R295" s="152"/>
      <c r="S295" s="152"/>
      <c r="T295" s="152"/>
      <c r="U295" s="152"/>
      <c r="V295" s="152"/>
      <c r="W295" s="152"/>
      <c r="X295" s="152"/>
      <c r="Y295" s="152"/>
    </row>
    <row r="296">
      <c r="A296" s="152"/>
      <c r="B296" s="152"/>
      <c r="C296" s="152"/>
      <c r="D296" s="152"/>
      <c r="E296" s="152"/>
      <c r="F296" s="152"/>
      <c r="G296" s="152"/>
      <c r="H296" s="152"/>
      <c r="I296" s="152"/>
      <c r="J296" s="152"/>
      <c r="K296" s="152"/>
      <c r="L296" s="152"/>
      <c r="M296" s="152"/>
      <c r="N296" s="152"/>
      <c r="O296" s="152"/>
      <c r="P296" s="152"/>
      <c r="Q296" s="152"/>
      <c r="R296" s="152"/>
      <c r="S296" s="152"/>
      <c r="T296" s="152"/>
      <c r="U296" s="152"/>
      <c r="V296" s="152"/>
      <c r="W296" s="152"/>
      <c r="X296" s="152"/>
      <c r="Y296" s="152"/>
    </row>
    <row r="297">
      <c r="A297" s="152"/>
      <c r="B297" s="152"/>
      <c r="C297" s="152"/>
      <c r="D297" s="152"/>
      <c r="E297" s="152"/>
      <c r="F297" s="152"/>
      <c r="G297" s="152"/>
      <c r="H297" s="152"/>
      <c r="I297" s="152"/>
      <c r="J297" s="152"/>
      <c r="K297" s="152"/>
      <c r="L297" s="152"/>
      <c r="M297" s="152"/>
      <c r="N297" s="152"/>
      <c r="O297" s="152"/>
      <c r="P297" s="152"/>
      <c r="Q297" s="152"/>
      <c r="R297" s="152"/>
      <c r="S297" s="152"/>
      <c r="T297" s="152"/>
      <c r="U297" s="152"/>
      <c r="V297" s="152"/>
      <c r="W297" s="152"/>
      <c r="X297" s="152"/>
      <c r="Y297" s="152"/>
    </row>
    <row r="298">
      <c r="A298" s="152"/>
      <c r="B298" s="152"/>
      <c r="C298" s="152"/>
      <c r="D298" s="152"/>
      <c r="E298" s="152"/>
      <c r="F298" s="152"/>
      <c r="G298" s="152"/>
      <c r="H298" s="152"/>
      <c r="I298" s="152"/>
      <c r="J298" s="152"/>
      <c r="K298" s="152"/>
      <c r="L298" s="152"/>
      <c r="M298" s="152"/>
      <c r="N298" s="152"/>
      <c r="O298" s="152"/>
      <c r="P298" s="152"/>
      <c r="Q298" s="152"/>
      <c r="R298" s="152"/>
      <c r="S298" s="152"/>
      <c r="T298" s="152"/>
      <c r="U298" s="152"/>
      <c r="V298" s="152"/>
      <c r="W298" s="152"/>
      <c r="X298" s="152"/>
      <c r="Y298" s="152"/>
    </row>
    <row r="299">
      <c r="A299" s="152"/>
      <c r="B299" s="152"/>
      <c r="C299" s="152"/>
      <c r="D299" s="152"/>
      <c r="E299" s="152"/>
      <c r="F299" s="152"/>
      <c r="G299" s="152"/>
      <c r="H299" s="152"/>
      <c r="I299" s="152"/>
      <c r="J299" s="152"/>
      <c r="K299" s="152"/>
      <c r="L299" s="152"/>
      <c r="M299" s="152"/>
      <c r="N299" s="152"/>
      <c r="O299" s="152"/>
      <c r="P299" s="152"/>
      <c r="Q299" s="152"/>
      <c r="R299" s="152"/>
      <c r="S299" s="152"/>
      <c r="T299" s="152"/>
      <c r="U299" s="152"/>
      <c r="V299" s="152"/>
      <c r="W299" s="152"/>
      <c r="X299" s="152"/>
      <c r="Y299" s="152"/>
    </row>
    <row r="300">
      <c r="A300" s="152"/>
      <c r="B300" s="152"/>
      <c r="C300" s="152"/>
      <c r="D300" s="152"/>
      <c r="E300" s="152"/>
      <c r="F300" s="152"/>
      <c r="G300" s="152"/>
      <c r="H300" s="152"/>
      <c r="I300" s="152"/>
      <c r="J300" s="152"/>
      <c r="K300" s="152"/>
      <c r="L300" s="152"/>
      <c r="M300" s="152"/>
      <c r="N300" s="152"/>
      <c r="O300" s="152"/>
      <c r="P300" s="152"/>
      <c r="Q300" s="152"/>
      <c r="R300" s="152"/>
      <c r="S300" s="152"/>
      <c r="T300" s="152"/>
      <c r="U300" s="152"/>
      <c r="V300" s="152"/>
      <c r="W300" s="152"/>
      <c r="X300" s="152"/>
      <c r="Y300" s="152"/>
    </row>
    <row r="301">
      <c r="A301" s="152"/>
      <c r="B301" s="152"/>
      <c r="C301" s="152"/>
      <c r="D301" s="152"/>
      <c r="E301" s="152"/>
      <c r="F301" s="152"/>
      <c r="G301" s="152"/>
      <c r="H301" s="152"/>
      <c r="I301" s="152"/>
      <c r="J301" s="152"/>
      <c r="K301" s="152"/>
      <c r="L301" s="152"/>
      <c r="M301" s="152"/>
      <c r="N301" s="152"/>
      <c r="O301" s="152"/>
      <c r="P301" s="152"/>
      <c r="Q301" s="152"/>
      <c r="R301" s="152"/>
      <c r="S301" s="152"/>
      <c r="T301" s="152"/>
      <c r="U301" s="152"/>
      <c r="V301" s="152"/>
      <c r="W301" s="152"/>
      <c r="X301" s="152"/>
      <c r="Y301" s="152"/>
    </row>
    <row r="302">
      <c r="A302" s="152"/>
      <c r="B302" s="152"/>
      <c r="C302" s="152"/>
      <c r="D302" s="152"/>
      <c r="E302" s="152"/>
      <c r="F302" s="152"/>
      <c r="G302" s="152"/>
      <c r="H302" s="152"/>
      <c r="I302" s="152"/>
      <c r="J302" s="152"/>
      <c r="K302" s="152"/>
      <c r="L302" s="152"/>
      <c r="M302" s="152"/>
      <c r="N302" s="152"/>
      <c r="O302" s="152"/>
      <c r="P302" s="152"/>
      <c r="Q302" s="152"/>
      <c r="R302" s="152"/>
      <c r="S302" s="152"/>
      <c r="T302" s="152"/>
      <c r="U302" s="152"/>
      <c r="V302" s="152"/>
      <c r="W302" s="152"/>
      <c r="X302" s="152"/>
      <c r="Y302" s="152"/>
    </row>
    <row r="303">
      <c r="A303" s="152"/>
      <c r="B303" s="152"/>
      <c r="C303" s="152"/>
      <c r="D303" s="152"/>
      <c r="E303" s="152"/>
      <c r="F303" s="152"/>
      <c r="G303" s="152"/>
      <c r="H303" s="152"/>
      <c r="I303" s="152"/>
      <c r="J303" s="152"/>
      <c r="K303" s="152"/>
      <c r="L303" s="152"/>
      <c r="M303" s="152"/>
      <c r="N303" s="152"/>
      <c r="O303" s="152"/>
      <c r="P303" s="152"/>
      <c r="Q303" s="152"/>
      <c r="R303" s="152"/>
      <c r="S303" s="152"/>
      <c r="T303" s="152"/>
      <c r="U303" s="152"/>
      <c r="V303" s="152"/>
      <c r="W303" s="152"/>
      <c r="X303" s="152"/>
      <c r="Y303" s="152"/>
    </row>
    <row r="304">
      <c r="A304" s="152"/>
      <c r="B304" s="152"/>
      <c r="C304" s="152"/>
      <c r="D304" s="152"/>
      <c r="E304" s="152"/>
      <c r="F304" s="152"/>
      <c r="G304" s="152"/>
      <c r="H304" s="152"/>
      <c r="I304" s="152"/>
      <c r="J304" s="152"/>
      <c r="K304" s="152"/>
      <c r="L304" s="152"/>
      <c r="M304" s="152"/>
      <c r="N304" s="152"/>
      <c r="O304" s="152"/>
      <c r="P304" s="152"/>
      <c r="Q304" s="152"/>
      <c r="R304" s="152"/>
      <c r="S304" s="152"/>
      <c r="T304" s="152"/>
      <c r="U304" s="152"/>
      <c r="V304" s="152"/>
      <c r="W304" s="152"/>
      <c r="X304" s="152"/>
      <c r="Y304" s="152"/>
    </row>
    <row r="305">
      <c r="A305" s="152"/>
      <c r="B305" s="152"/>
      <c r="C305" s="152"/>
      <c r="D305" s="152"/>
      <c r="E305" s="152"/>
      <c r="F305" s="152"/>
      <c r="G305" s="152"/>
      <c r="H305" s="152"/>
      <c r="I305" s="152"/>
      <c r="J305" s="152"/>
      <c r="K305" s="152"/>
      <c r="L305" s="152"/>
      <c r="M305" s="152"/>
      <c r="N305" s="152"/>
      <c r="O305" s="152"/>
      <c r="P305" s="152"/>
      <c r="Q305" s="152"/>
      <c r="R305" s="152"/>
      <c r="S305" s="152"/>
      <c r="T305" s="152"/>
      <c r="U305" s="152"/>
      <c r="V305" s="152"/>
      <c r="W305" s="152"/>
      <c r="X305" s="152"/>
      <c r="Y305" s="152"/>
    </row>
    <row r="306">
      <c r="A306" s="152"/>
      <c r="B306" s="152"/>
      <c r="C306" s="152"/>
      <c r="D306" s="152"/>
      <c r="E306" s="152"/>
      <c r="F306" s="152"/>
      <c r="G306" s="152"/>
      <c r="H306" s="152"/>
      <c r="I306" s="152"/>
      <c r="J306" s="152"/>
      <c r="K306" s="152"/>
      <c r="L306" s="152"/>
      <c r="M306" s="152"/>
      <c r="N306" s="152"/>
      <c r="O306" s="152"/>
      <c r="P306" s="152"/>
      <c r="Q306" s="152"/>
      <c r="R306" s="152"/>
      <c r="S306" s="152"/>
      <c r="T306" s="152"/>
      <c r="U306" s="152"/>
      <c r="V306" s="152"/>
      <c r="W306" s="152"/>
      <c r="X306" s="152"/>
      <c r="Y306" s="152"/>
    </row>
    <row r="307">
      <c r="A307" s="152"/>
      <c r="B307" s="152"/>
      <c r="C307" s="152"/>
      <c r="D307" s="152"/>
      <c r="E307" s="152"/>
      <c r="F307" s="152"/>
      <c r="G307" s="152"/>
      <c r="H307" s="152"/>
      <c r="I307" s="152"/>
      <c r="J307" s="152"/>
      <c r="K307" s="152"/>
      <c r="L307" s="152"/>
      <c r="M307" s="152"/>
      <c r="N307" s="152"/>
      <c r="O307" s="152"/>
      <c r="P307" s="152"/>
      <c r="Q307" s="152"/>
      <c r="R307" s="152"/>
      <c r="S307" s="152"/>
      <c r="T307" s="152"/>
      <c r="U307" s="152"/>
      <c r="V307" s="152"/>
      <c r="W307" s="152"/>
      <c r="X307" s="152"/>
      <c r="Y307" s="152"/>
    </row>
    <row r="308">
      <c r="A308" s="152"/>
      <c r="B308" s="152"/>
      <c r="C308" s="152"/>
      <c r="D308" s="152"/>
      <c r="E308" s="152"/>
      <c r="F308" s="152"/>
      <c r="G308" s="152"/>
      <c r="H308" s="152"/>
      <c r="I308" s="152"/>
      <c r="J308" s="152"/>
      <c r="K308" s="152"/>
      <c r="L308" s="152"/>
      <c r="M308" s="152"/>
      <c r="N308" s="152"/>
      <c r="O308" s="152"/>
      <c r="P308" s="152"/>
      <c r="Q308" s="152"/>
      <c r="R308" s="152"/>
      <c r="S308" s="152"/>
      <c r="T308" s="152"/>
      <c r="U308" s="152"/>
      <c r="V308" s="152"/>
      <c r="W308" s="152"/>
      <c r="X308" s="152"/>
      <c r="Y308" s="152"/>
    </row>
    <row r="309">
      <c r="A309" s="152"/>
      <c r="B309" s="152"/>
      <c r="C309" s="152"/>
      <c r="D309" s="152"/>
      <c r="E309" s="152"/>
      <c r="F309" s="152"/>
      <c r="G309" s="152"/>
      <c r="H309" s="152"/>
      <c r="I309" s="152"/>
      <c r="J309" s="152"/>
      <c r="K309" s="152"/>
      <c r="L309" s="152"/>
      <c r="M309" s="152"/>
      <c r="N309" s="152"/>
      <c r="O309" s="152"/>
      <c r="P309" s="152"/>
      <c r="Q309" s="152"/>
      <c r="R309" s="152"/>
      <c r="S309" s="152"/>
      <c r="T309" s="152"/>
      <c r="U309" s="152"/>
      <c r="V309" s="152"/>
      <c r="W309" s="152"/>
      <c r="X309" s="152"/>
      <c r="Y309" s="152"/>
    </row>
    <row r="310">
      <c r="A310" s="152"/>
      <c r="B310" s="152"/>
      <c r="C310" s="152"/>
      <c r="D310" s="152"/>
      <c r="E310" s="152"/>
      <c r="F310" s="152"/>
      <c r="G310" s="152"/>
      <c r="H310" s="152"/>
      <c r="I310" s="152"/>
      <c r="J310" s="152"/>
      <c r="K310" s="152"/>
      <c r="L310" s="152"/>
      <c r="M310" s="152"/>
      <c r="N310" s="152"/>
      <c r="O310" s="152"/>
      <c r="P310" s="152"/>
      <c r="Q310" s="152"/>
      <c r="R310" s="152"/>
      <c r="S310" s="152"/>
      <c r="T310" s="152"/>
      <c r="U310" s="152"/>
      <c r="V310" s="152"/>
      <c r="W310" s="152"/>
      <c r="X310" s="152"/>
      <c r="Y310" s="152"/>
    </row>
    <row r="311">
      <c r="A311" s="152"/>
      <c r="B311" s="152"/>
      <c r="C311" s="152"/>
      <c r="D311" s="152"/>
      <c r="E311" s="152"/>
      <c r="F311" s="152"/>
      <c r="G311" s="152"/>
      <c r="H311" s="152"/>
      <c r="I311" s="152"/>
      <c r="J311" s="152"/>
      <c r="K311" s="152"/>
      <c r="L311" s="152"/>
      <c r="M311" s="152"/>
      <c r="N311" s="152"/>
      <c r="O311" s="152"/>
      <c r="P311" s="152"/>
      <c r="Q311" s="152"/>
      <c r="R311" s="152"/>
      <c r="S311" s="152"/>
      <c r="T311" s="152"/>
      <c r="U311" s="152"/>
      <c r="V311" s="152"/>
      <c r="W311" s="152"/>
      <c r="X311" s="152"/>
      <c r="Y311" s="152"/>
    </row>
    <row r="312">
      <c r="A312" s="152"/>
      <c r="B312" s="152"/>
      <c r="C312" s="152"/>
      <c r="D312" s="152"/>
      <c r="E312" s="152"/>
      <c r="F312" s="152"/>
      <c r="G312" s="152"/>
      <c r="H312" s="152"/>
      <c r="I312" s="152"/>
      <c r="J312" s="152"/>
      <c r="K312" s="152"/>
      <c r="L312" s="152"/>
      <c r="M312" s="152"/>
      <c r="N312" s="152"/>
      <c r="O312" s="152"/>
      <c r="P312" s="152"/>
      <c r="Q312" s="152"/>
      <c r="R312" s="152"/>
      <c r="S312" s="152"/>
      <c r="T312" s="152"/>
      <c r="U312" s="152"/>
      <c r="V312" s="152"/>
      <c r="W312" s="152"/>
      <c r="X312" s="152"/>
      <c r="Y312" s="152"/>
    </row>
    <row r="313">
      <c r="A313" s="152"/>
      <c r="B313" s="152"/>
      <c r="C313" s="152"/>
      <c r="D313" s="152"/>
      <c r="E313" s="152"/>
      <c r="F313" s="152"/>
      <c r="G313" s="152"/>
      <c r="H313" s="152"/>
      <c r="I313" s="152"/>
      <c r="J313" s="152"/>
      <c r="K313" s="152"/>
      <c r="L313" s="152"/>
      <c r="M313" s="152"/>
      <c r="N313" s="152"/>
      <c r="O313" s="152"/>
      <c r="P313" s="152"/>
      <c r="Q313" s="152"/>
      <c r="R313" s="152"/>
      <c r="S313" s="152"/>
      <c r="T313" s="152"/>
      <c r="U313" s="152"/>
      <c r="V313" s="152"/>
      <c r="W313" s="152"/>
      <c r="X313" s="152"/>
      <c r="Y313" s="152"/>
    </row>
    <row r="314">
      <c r="A314" s="152"/>
      <c r="B314" s="152"/>
      <c r="C314" s="152"/>
      <c r="D314" s="152"/>
      <c r="E314" s="152"/>
      <c r="F314" s="152"/>
      <c r="G314" s="152"/>
      <c r="H314" s="152"/>
      <c r="I314" s="152"/>
      <c r="J314" s="152"/>
      <c r="K314" s="152"/>
      <c r="L314" s="152"/>
      <c r="M314" s="152"/>
      <c r="N314" s="152"/>
      <c r="O314" s="152"/>
      <c r="P314" s="152"/>
      <c r="Q314" s="152"/>
      <c r="R314" s="152"/>
      <c r="S314" s="152"/>
      <c r="T314" s="152"/>
      <c r="U314" s="152"/>
      <c r="V314" s="152"/>
      <c r="W314" s="152"/>
      <c r="X314" s="152"/>
      <c r="Y314" s="152"/>
    </row>
    <row r="315">
      <c r="A315" s="152"/>
      <c r="B315" s="152"/>
      <c r="C315" s="152"/>
      <c r="D315" s="152"/>
      <c r="E315" s="152"/>
      <c r="F315" s="152"/>
      <c r="G315" s="152"/>
      <c r="H315" s="152"/>
      <c r="I315" s="152"/>
      <c r="J315" s="152"/>
      <c r="K315" s="152"/>
      <c r="L315" s="152"/>
      <c r="M315" s="152"/>
      <c r="N315" s="152"/>
      <c r="O315" s="152"/>
      <c r="P315" s="152"/>
      <c r="Q315" s="152"/>
      <c r="R315" s="152"/>
      <c r="S315" s="152"/>
      <c r="T315" s="152"/>
      <c r="U315" s="152"/>
      <c r="V315" s="152"/>
      <c r="W315" s="152"/>
      <c r="X315" s="152"/>
      <c r="Y315" s="152"/>
    </row>
    <row r="316">
      <c r="A316" s="152"/>
      <c r="B316" s="152"/>
      <c r="C316" s="152"/>
      <c r="D316" s="152"/>
      <c r="E316" s="152"/>
      <c r="F316" s="152"/>
      <c r="G316" s="152"/>
      <c r="H316" s="152"/>
      <c r="I316" s="152"/>
      <c r="J316" s="152"/>
      <c r="K316" s="152"/>
      <c r="L316" s="152"/>
      <c r="M316" s="152"/>
      <c r="N316" s="152"/>
      <c r="O316" s="152"/>
      <c r="P316" s="152"/>
      <c r="Q316" s="152"/>
      <c r="R316" s="152"/>
      <c r="S316" s="152"/>
      <c r="T316" s="152"/>
      <c r="U316" s="152"/>
      <c r="V316" s="152"/>
      <c r="W316" s="152"/>
      <c r="X316" s="152"/>
      <c r="Y316" s="152"/>
    </row>
    <row r="317">
      <c r="A317" s="152"/>
      <c r="B317" s="152"/>
      <c r="C317" s="152"/>
      <c r="D317" s="152"/>
      <c r="E317" s="152"/>
      <c r="F317" s="152"/>
      <c r="G317" s="152"/>
      <c r="H317" s="152"/>
      <c r="I317" s="152"/>
      <c r="J317" s="152"/>
      <c r="K317" s="152"/>
      <c r="L317" s="152"/>
      <c r="M317" s="152"/>
      <c r="N317" s="152"/>
      <c r="O317" s="152"/>
      <c r="P317" s="152"/>
      <c r="Q317" s="152"/>
      <c r="R317" s="152"/>
      <c r="S317" s="152"/>
      <c r="T317" s="152"/>
      <c r="U317" s="152"/>
      <c r="V317" s="152"/>
      <c r="W317" s="152"/>
      <c r="X317" s="152"/>
      <c r="Y317" s="152"/>
    </row>
    <row r="318">
      <c r="A318" s="152"/>
      <c r="B318" s="152"/>
      <c r="C318" s="152"/>
      <c r="D318" s="152"/>
      <c r="E318" s="152"/>
      <c r="F318" s="152"/>
      <c r="G318" s="152"/>
      <c r="H318" s="152"/>
      <c r="I318" s="152"/>
      <c r="J318" s="152"/>
      <c r="K318" s="152"/>
      <c r="L318" s="152"/>
      <c r="M318" s="152"/>
      <c r="N318" s="152"/>
      <c r="O318" s="152"/>
      <c r="P318" s="152"/>
      <c r="Q318" s="152"/>
      <c r="R318" s="152"/>
      <c r="S318" s="152"/>
      <c r="T318" s="152"/>
      <c r="U318" s="152"/>
      <c r="V318" s="152"/>
      <c r="W318" s="152"/>
      <c r="X318" s="152"/>
      <c r="Y318" s="152"/>
    </row>
    <row r="319">
      <c r="A319" s="152"/>
      <c r="B319" s="152"/>
      <c r="C319" s="152"/>
      <c r="D319" s="152"/>
      <c r="E319" s="152"/>
      <c r="F319" s="152"/>
      <c r="G319" s="152"/>
      <c r="H319" s="152"/>
      <c r="I319" s="152"/>
      <c r="J319" s="152"/>
      <c r="K319" s="152"/>
      <c r="L319" s="152"/>
      <c r="M319" s="152"/>
      <c r="N319" s="152"/>
      <c r="O319" s="152"/>
      <c r="P319" s="152"/>
      <c r="Q319" s="152"/>
      <c r="R319" s="152"/>
      <c r="S319" s="152"/>
      <c r="T319" s="152"/>
      <c r="U319" s="152"/>
      <c r="V319" s="152"/>
      <c r="W319" s="152"/>
      <c r="X319" s="152"/>
      <c r="Y319" s="152"/>
    </row>
    <row r="320">
      <c r="A320" s="152"/>
      <c r="B320" s="152"/>
      <c r="C320" s="152"/>
      <c r="D320" s="152"/>
      <c r="E320" s="152"/>
      <c r="F320" s="152"/>
      <c r="G320" s="152"/>
      <c r="H320" s="152"/>
      <c r="I320" s="152"/>
      <c r="J320" s="152"/>
      <c r="K320" s="152"/>
      <c r="L320" s="152"/>
      <c r="M320" s="152"/>
      <c r="N320" s="152"/>
      <c r="O320" s="152"/>
      <c r="P320" s="152"/>
      <c r="Q320" s="152"/>
      <c r="R320" s="152"/>
      <c r="S320" s="152"/>
      <c r="T320" s="152"/>
      <c r="U320" s="152"/>
      <c r="V320" s="152"/>
      <c r="W320" s="152"/>
      <c r="X320" s="152"/>
      <c r="Y320" s="152"/>
    </row>
    <row r="321">
      <c r="A321" s="152"/>
      <c r="B321" s="152"/>
      <c r="C321" s="152"/>
      <c r="D321" s="152"/>
      <c r="E321" s="152"/>
      <c r="F321" s="152"/>
      <c r="G321" s="152"/>
      <c r="H321" s="152"/>
      <c r="I321" s="152"/>
      <c r="J321" s="152"/>
      <c r="K321" s="152"/>
      <c r="L321" s="152"/>
      <c r="M321" s="152"/>
      <c r="N321" s="152"/>
      <c r="O321" s="152"/>
      <c r="P321" s="152"/>
      <c r="Q321" s="152"/>
      <c r="R321" s="152"/>
      <c r="S321" s="152"/>
      <c r="T321" s="152"/>
      <c r="U321" s="152"/>
      <c r="V321" s="152"/>
      <c r="W321" s="152"/>
      <c r="X321" s="152"/>
      <c r="Y321" s="152"/>
    </row>
    <row r="322">
      <c r="A322" s="152"/>
      <c r="B322" s="152"/>
      <c r="C322" s="152"/>
      <c r="D322" s="152"/>
      <c r="E322" s="152"/>
      <c r="F322" s="152"/>
      <c r="G322" s="152"/>
      <c r="H322" s="152"/>
      <c r="I322" s="152"/>
      <c r="J322" s="152"/>
      <c r="K322" s="152"/>
      <c r="L322" s="152"/>
      <c r="M322" s="152"/>
      <c r="N322" s="152"/>
      <c r="O322" s="152"/>
      <c r="P322" s="152"/>
      <c r="Q322" s="152"/>
      <c r="R322" s="152"/>
      <c r="S322" s="152"/>
      <c r="T322" s="152"/>
      <c r="U322" s="152"/>
      <c r="V322" s="152"/>
      <c r="W322" s="152"/>
      <c r="X322" s="152"/>
      <c r="Y322" s="152"/>
    </row>
    <row r="323">
      <c r="A323" s="152"/>
      <c r="B323" s="152"/>
      <c r="C323" s="152"/>
      <c r="D323" s="152"/>
      <c r="E323" s="152"/>
      <c r="F323" s="152"/>
      <c r="G323" s="152"/>
      <c r="H323" s="152"/>
      <c r="I323" s="152"/>
      <c r="J323" s="152"/>
      <c r="K323" s="152"/>
      <c r="L323" s="152"/>
      <c r="M323" s="152"/>
      <c r="N323" s="152"/>
      <c r="O323" s="152"/>
      <c r="P323" s="152"/>
      <c r="Q323" s="152"/>
      <c r="R323" s="152"/>
      <c r="S323" s="152"/>
      <c r="T323" s="152"/>
      <c r="U323" s="152"/>
      <c r="V323" s="152"/>
      <c r="W323" s="152"/>
      <c r="X323" s="152"/>
      <c r="Y323" s="152"/>
    </row>
    <row r="324">
      <c r="A324" s="152"/>
      <c r="B324" s="152"/>
      <c r="C324" s="152"/>
      <c r="D324" s="152"/>
      <c r="E324" s="152"/>
      <c r="F324" s="152"/>
      <c r="G324" s="152"/>
      <c r="H324" s="152"/>
      <c r="I324" s="152"/>
      <c r="J324" s="152"/>
      <c r="K324" s="152"/>
      <c r="L324" s="152"/>
      <c r="M324" s="152"/>
      <c r="N324" s="152"/>
      <c r="O324" s="152"/>
      <c r="P324" s="152"/>
      <c r="Q324" s="152"/>
      <c r="R324" s="152"/>
      <c r="S324" s="152"/>
      <c r="T324" s="152"/>
      <c r="U324" s="152"/>
      <c r="V324" s="152"/>
      <c r="W324" s="152"/>
      <c r="X324" s="152"/>
      <c r="Y324" s="152"/>
    </row>
    <row r="325">
      <c r="A325" s="152"/>
      <c r="B325" s="152"/>
      <c r="C325" s="152"/>
      <c r="D325" s="152"/>
      <c r="E325" s="152"/>
      <c r="F325" s="152"/>
      <c r="G325" s="152"/>
      <c r="H325" s="152"/>
      <c r="I325" s="152"/>
      <c r="J325" s="152"/>
      <c r="K325" s="152"/>
      <c r="L325" s="152"/>
      <c r="M325" s="152"/>
      <c r="N325" s="152"/>
      <c r="O325" s="152"/>
      <c r="P325" s="152"/>
      <c r="Q325" s="152"/>
      <c r="R325" s="152"/>
      <c r="S325" s="152"/>
      <c r="T325" s="152"/>
      <c r="U325" s="152"/>
      <c r="V325" s="152"/>
      <c r="W325" s="152"/>
      <c r="X325" s="152"/>
      <c r="Y325" s="152"/>
    </row>
    <row r="326">
      <c r="A326" s="152"/>
      <c r="B326" s="152"/>
      <c r="C326" s="152"/>
      <c r="D326" s="152"/>
      <c r="E326" s="152"/>
      <c r="F326" s="152"/>
      <c r="G326" s="152"/>
      <c r="H326" s="152"/>
      <c r="I326" s="152"/>
      <c r="J326" s="152"/>
      <c r="K326" s="152"/>
      <c r="L326" s="152"/>
      <c r="M326" s="152"/>
      <c r="N326" s="152"/>
      <c r="O326" s="152"/>
      <c r="P326" s="152"/>
      <c r="Q326" s="152"/>
      <c r="R326" s="152"/>
      <c r="S326" s="152"/>
      <c r="T326" s="152"/>
      <c r="U326" s="152"/>
      <c r="V326" s="152"/>
      <c r="W326" s="152"/>
      <c r="X326" s="152"/>
      <c r="Y326" s="152"/>
    </row>
    <row r="327">
      <c r="A327" s="152"/>
      <c r="B327" s="152"/>
      <c r="C327" s="152"/>
      <c r="D327" s="152"/>
      <c r="E327" s="152"/>
      <c r="F327" s="152"/>
      <c r="G327" s="152"/>
      <c r="H327" s="152"/>
      <c r="I327" s="152"/>
      <c r="J327" s="152"/>
      <c r="K327" s="152"/>
      <c r="L327" s="152"/>
      <c r="M327" s="152"/>
      <c r="N327" s="152"/>
      <c r="O327" s="152"/>
      <c r="P327" s="152"/>
      <c r="Q327" s="152"/>
      <c r="R327" s="152"/>
      <c r="S327" s="152"/>
      <c r="T327" s="152"/>
      <c r="U327" s="152"/>
      <c r="V327" s="152"/>
      <c r="W327" s="152"/>
      <c r="X327" s="152"/>
      <c r="Y327" s="152"/>
    </row>
    <row r="328">
      <c r="A328" s="152"/>
      <c r="B328" s="152"/>
      <c r="C328" s="152"/>
      <c r="D328" s="152"/>
      <c r="E328" s="152"/>
      <c r="F328" s="152"/>
      <c r="G328" s="152"/>
      <c r="H328" s="152"/>
      <c r="I328" s="152"/>
      <c r="J328" s="152"/>
      <c r="K328" s="152"/>
      <c r="L328" s="152"/>
      <c r="M328" s="152"/>
      <c r="N328" s="152"/>
      <c r="O328" s="152"/>
      <c r="P328" s="152"/>
      <c r="Q328" s="152"/>
      <c r="R328" s="152"/>
      <c r="S328" s="152"/>
      <c r="T328" s="152"/>
      <c r="U328" s="152"/>
      <c r="V328" s="152"/>
      <c r="W328" s="152"/>
      <c r="X328" s="152"/>
      <c r="Y328" s="152"/>
    </row>
    <row r="329">
      <c r="A329" s="152"/>
      <c r="B329" s="152"/>
      <c r="C329" s="152"/>
      <c r="D329" s="152"/>
      <c r="E329" s="152"/>
      <c r="F329" s="152"/>
      <c r="G329" s="152"/>
      <c r="H329" s="152"/>
      <c r="I329" s="152"/>
      <c r="J329" s="152"/>
      <c r="K329" s="152"/>
      <c r="L329" s="152"/>
      <c r="M329" s="152"/>
      <c r="N329" s="152"/>
      <c r="O329" s="152"/>
      <c r="P329" s="152"/>
      <c r="Q329" s="152"/>
      <c r="R329" s="152"/>
      <c r="S329" s="152"/>
      <c r="T329" s="152"/>
      <c r="U329" s="152"/>
      <c r="V329" s="152"/>
      <c r="W329" s="152"/>
      <c r="X329" s="152"/>
      <c r="Y329" s="152"/>
    </row>
    <row r="330">
      <c r="A330" s="152"/>
      <c r="B330" s="152"/>
      <c r="C330" s="152"/>
      <c r="D330" s="152"/>
      <c r="E330" s="152"/>
      <c r="F330" s="152"/>
      <c r="G330" s="152"/>
      <c r="H330" s="152"/>
      <c r="I330" s="152"/>
      <c r="J330" s="152"/>
      <c r="K330" s="152"/>
      <c r="L330" s="152"/>
      <c r="M330" s="152"/>
      <c r="N330" s="152"/>
      <c r="O330" s="152"/>
      <c r="P330" s="152"/>
      <c r="Q330" s="152"/>
      <c r="R330" s="152"/>
      <c r="S330" s="152"/>
      <c r="T330" s="152"/>
      <c r="U330" s="152"/>
      <c r="V330" s="152"/>
      <c r="W330" s="152"/>
      <c r="X330" s="152"/>
      <c r="Y330" s="152"/>
    </row>
    <row r="331">
      <c r="A331" s="152"/>
      <c r="B331" s="152"/>
      <c r="C331" s="152"/>
      <c r="D331" s="152"/>
      <c r="E331" s="152"/>
      <c r="F331" s="152"/>
      <c r="G331" s="152"/>
      <c r="H331" s="152"/>
      <c r="I331" s="152"/>
      <c r="J331" s="152"/>
      <c r="K331" s="152"/>
      <c r="L331" s="152"/>
      <c r="M331" s="152"/>
      <c r="N331" s="152"/>
      <c r="O331" s="152"/>
      <c r="P331" s="152"/>
      <c r="Q331" s="152"/>
      <c r="R331" s="152"/>
      <c r="S331" s="152"/>
      <c r="T331" s="152"/>
      <c r="U331" s="152"/>
      <c r="V331" s="152"/>
      <c r="W331" s="152"/>
      <c r="X331" s="152"/>
      <c r="Y331" s="152"/>
    </row>
    <row r="332">
      <c r="A332" s="152"/>
      <c r="B332" s="152"/>
      <c r="C332" s="152"/>
      <c r="D332" s="152"/>
      <c r="E332" s="152"/>
      <c r="F332" s="152"/>
      <c r="G332" s="152"/>
      <c r="H332" s="152"/>
      <c r="I332" s="152"/>
      <c r="J332" s="152"/>
      <c r="K332" s="152"/>
      <c r="L332" s="152"/>
      <c r="M332" s="152"/>
      <c r="N332" s="152"/>
      <c r="O332" s="152"/>
      <c r="P332" s="152"/>
      <c r="Q332" s="152"/>
      <c r="R332" s="152"/>
      <c r="S332" s="152"/>
      <c r="T332" s="152"/>
      <c r="U332" s="152"/>
      <c r="V332" s="152"/>
      <c r="W332" s="152"/>
      <c r="X332" s="152"/>
      <c r="Y332" s="152"/>
    </row>
    <row r="333">
      <c r="A333" s="152"/>
      <c r="B333" s="152"/>
      <c r="C333" s="152"/>
      <c r="D333" s="152"/>
      <c r="E333" s="152"/>
      <c r="F333" s="152"/>
      <c r="G333" s="152"/>
      <c r="H333" s="152"/>
      <c r="I333" s="152"/>
      <c r="J333" s="152"/>
      <c r="K333" s="152"/>
      <c r="L333" s="152"/>
      <c r="M333" s="152"/>
      <c r="N333" s="152"/>
      <c r="O333" s="152"/>
      <c r="P333" s="152"/>
      <c r="Q333" s="152"/>
      <c r="R333" s="152"/>
      <c r="S333" s="152"/>
      <c r="T333" s="152"/>
      <c r="U333" s="152"/>
      <c r="V333" s="152"/>
      <c r="W333" s="152"/>
      <c r="X333" s="152"/>
      <c r="Y333" s="152"/>
    </row>
    <row r="334">
      <c r="A334" s="152"/>
      <c r="B334" s="152"/>
      <c r="C334" s="152"/>
      <c r="D334" s="152"/>
      <c r="E334" s="152"/>
      <c r="F334" s="152"/>
      <c r="G334" s="152"/>
      <c r="H334" s="152"/>
      <c r="I334" s="152"/>
      <c r="J334" s="152"/>
      <c r="K334" s="152"/>
      <c r="L334" s="152"/>
      <c r="M334" s="152"/>
      <c r="N334" s="152"/>
      <c r="O334" s="152"/>
      <c r="P334" s="152"/>
      <c r="Q334" s="152"/>
      <c r="R334" s="152"/>
      <c r="S334" s="152"/>
      <c r="T334" s="152"/>
      <c r="U334" s="152"/>
      <c r="V334" s="152"/>
      <c r="W334" s="152"/>
      <c r="X334" s="152"/>
      <c r="Y334" s="152"/>
    </row>
    <row r="335">
      <c r="A335" s="152"/>
      <c r="B335" s="152"/>
      <c r="C335" s="152"/>
      <c r="D335" s="152"/>
      <c r="E335" s="152"/>
      <c r="F335" s="152"/>
      <c r="G335" s="152"/>
      <c r="H335" s="152"/>
      <c r="I335" s="152"/>
      <c r="J335" s="152"/>
      <c r="K335" s="152"/>
      <c r="L335" s="152"/>
      <c r="M335" s="152"/>
      <c r="N335" s="152"/>
      <c r="O335" s="152"/>
      <c r="P335" s="152"/>
      <c r="Q335" s="152"/>
      <c r="R335" s="152"/>
      <c r="S335" s="152"/>
      <c r="T335" s="152"/>
      <c r="U335" s="152"/>
      <c r="V335" s="152"/>
      <c r="W335" s="152"/>
      <c r="X335" s="152"/>
      <c r="Y335" s="152"/>
    </row>
    <row r="336">
      <c r="A336" s="152"/>
      <c r="B336" s="152"/>
      <c r="C336" s="152"/>
      <c r="D336" s="152"/>
      <c r="E336" s="152"/>
      <c r="F336" s="152"/>
      <c r="G336" s="152"/>
      <c r="H336" s="152"/>
      <c r="I336" s="152"/>
      <c r="J336" s="152"/>
      <c r="K336" s="152"/>
      <c r="L336" s="152"/>
      <c r="M336" s="152"/>
      <c r="N336" s="152"/>
      <c r="O336" s="152"/>
      <c r="P336" s="152"/>
      <c r="Q336" s="152"/>
      <c r="R336" s="152"/>
      <c r="S336" s="152"/>
      <c r="T336" s="152"/>
      <c r="U336" s="152"/>
      <c r="V336" s="152"/>
      <c r="W336" s="152"/>
      <c r="X336" s="152"/>
      <c r="Y336" s="152"/>
    </row>
    <row r="337">
      <c r="A337" s="152"/>
      <c r="B337" s="152"/>
      <c r="C337" s="152"/>
      <c r="D337" s="152"/>
      <c r="E337" s="152"/>
      <c r="F337" s="152"/>
      <c r="G337" s="152"/>
      <c r="H337" s="152"/>
      <c r="I337" s="152"/>
      <c r="J337" s="152"/>
      <c r="K337" s="152"/>
      <c r="L337" s="152"/>
      <c r="M337" s="152"/>
      <c r="N337" s="152"/>
      <c r="O337" s="152"/>
      <c r="P337" s="152"/>
      <c r="Q337" s="152"/>
      <c r="R337" s="152"/>
      <c r="S337" s="152"/>
      <c r="T337" s="152"/>
      <c r="U337" s="152"/>
      <c r="V337" s="152"/>
      <c r="W337" s="152"/>
      <c r="X337" s="152"/>
      <c r="Y337" s="152"/>
    </row>
    <row r="338">
      <c r="A338" s="152"/>
      <c r="B338" s="152"/>
      <c r="C338" s="152"/>
      <c r="D338" s="152"/>
      <c r="E338" s="152"/>
      <c r="F338" s="152"/>
      <c r="G338" s="152"/>
      <c r="H338" s="152"/>
      <c r="I338" s="152"/>
      <c r="J338" s="152"/>
      <c r="K338" s="152"/>
      <c r="L338" s="152"/>
      <c r="M338" s="152"/>
      <c r="N338" s="152"/>
      <c r="O338" s="152"/>
      <c r="P338" s="152"/>
      <c r="Q338" s="152"/>
      <c r="R338" s="152"/>
      <c r="S338" s="152"/>
      <c r="T338" s="152"/>
      <c r="U338" s="152"/>
      <c r="V338" s="152"/>
      <c r="W338" s="152"/>
      <c r="X338" s="152"/>
      <c r="Y338" s="152"/>
    </row>
    <row r="339">
      <c r="A339" s="152"/>
      <c r="B339" s="152"/>
      <c r="C339" s="152"/>
      <c r="D339" s="152"/>
      <c r="E339" s="152"/>
      <c r="F339" s="152"/>
      <c r="G339" s="152"/>
      <c r="H339" s="152"/>
      <c r="I339" s="152"/>
      <c r="J339" s="152"/>
      <c r="K339" s="152"/>
      <c r="L339" s="152"/>
      <c r="M339" s="152"/>
      <c r="N339" s="152"/>
      <c r="O339" s="152"/>
      <c r="P339" s="152"/>
      <c r="Q339" s="152"/>
      <c r="R339" s="152"/>
      <c r="S339" s="152"/>
      <c r="T339" s="152"/>
      <c r="U339" s="152"/>
      <c r="V339" s="152"/>
      <c r="W339" s="152"/>
      <c r="X339" s="152"/>
      <c r="Y339" s="152"/>
    </row>
    <row r="340">
      <c r="A340" s="152"/>
      <c r="B340" s="152"/>
      <c r="C340" s="152"/>
      <c r="D340" s="152"/>
      <c r="E340" s="152"/>
      <c r="F340" s="152"/>
      <c r="G340" s="152"/>
      <c r="H340" s="152"/>
      <c r="I340" s="152"/>
      <c r="J340" s="152"/>
      <c r="K340" s="152"/>
      <c r="L340" s="152"/>
      <c r="M340" s="152"/>
      <c r="N340" s="152"/>
      <c r="O340" s="152"/>
      <c r="P340" s="152"/>
      <c r="Q340" s="152"/>
      <c r="R340" s="152"/>
      <c r="S340" s="152"/>
      <c r="T340" s="152"/>
      <c r="U340" s="152"/>
      <c r="V340" s="152"/>
      <c r="W340" s="152"/>
      <c r="X340" s="152"/>
      <c r="Y340" s="152"/>
    </row>
    <row r="341">
      <c r="A341" s="152"/>
      <c r="B341" s="152"/>
      <c r="C341" s="152"/>
      <c r="D341" s="152"/>
      <c r="E341" s="152"/>
      <c r="F341" s="152"/>
      <c r="G341" s="152"/>
      <c r="H341" s="152"/>
      <c r="I341" s="152"/>
      <c r="J341" s="152"/>
      <c r="K341" s="152"/>
      <c r="L341" s="152"/>
      <c r="M341" s="152"/>
      <c r="N341" s="152"/>
      <c r="O341" s="152"/>
      <c r="P341" s="152"/>
      <c r="Q341" s="152"/>
      <c r="R341" s="152"/>
      <c r="S341" s="152"/>
      <c r="T341" s="152"/>
      <c r="U341" s="152"/>
      <c r="V341" s="152"/>
      <c r="W341" s="152"/>
      <c r="X341" s="152"/>
      <c r="Y341" s="152"/>
    </row>
    <row r="342">
      <c r="A342" s="152"/>
      <c r="B342" s="152"/>
      <c r="C342" s="152"/>
      <c r="D342" s="152"/>
      <c r="E342" s="152"/>
      <c r="F342" s="152"/>
      <c r="G342" s="152"/>
      <c r="H342" s="152"/>
      <c r="I342" s="152"/>
      <c r="J342" s="152"/>
      <c r="K342" s="152"/>
      <c r="L342" s="152"/>
      <c r="M342" s="152"/>
      <c r="N342" s="152"/>
      <c r="O342" s="152"/>
      <c r="P342" s="152"/>
      <c r="Q342" s="152"/>
      <c r="R342" s="152"/>
      <c r="S342" s="152"/>
      <c r="T342" s="152"/>
      <c r="U342" s="152"/>
      <c r="V342" s="152"/>
      <c r="W342" s="152"/>
      <c r="X342" s="152"/>
      <c r="Y342" s="152"/>
    </row>
    <row r="343">
      <c r="A343" s="152"/>
      <c r="B343" s="152"/>
      <c r="C343" s="152"/>
      <c r="D343" s="152"/>
      <c r="E343" s="152"/>
      <c r="F343" s="152"/>
      <c r="G343" s="152"/>
      <c r="H343" s="152"/>
      <c r="I343" s="152"/>
      <c r="J343" s="152"/>
      <c r="K343" s="152"/>
      <c r="L343" s="152"/>
      <c r="M343" s="152"/>
      <c r="N343" s="152"/>
      <c r="O343" s="152"/>
      <c r="P343" s="152"/>
      <c r="Q343" s="152"/>
      <c r="R343" s="152"/>
      <c r="S343" s="152"/>
      <c r="T343" s="152"/>
      <c r="U343" s="152"/>
      <c r="V343" s="152"/>
      <c r="W343" s="152"/>
      <c r="X343" s="152"/>
      <c r="Y343" s="152"/>
    </row>
    <row r="344">
      <c r="A344" s="152"/>
      <c r="B344" s="152"/>
      <c r="C344" s="152"/>
      <c r="D344" s="152"/>
      <c r="E344" s="152"/>
      <c r="F344" s="152"/>
      <c r="G344" s="152"/>
      <c r="H344" s="152"/>
      <c r="I344" s="152"/>
      <c r="J344" s="152"/>
      <c r="K344" s="152"/>
      <c r="L344" s="152"/>
      <c r="M344" s="152"/>
      <c r="N344" s="152"/>
      <c r="O344" s="152"/>
      <c r="P344" s="152"/>
      <c r="Q344" s="152"/>
      <c r="R344" s="152"/>
      <c r="S344" s="152"/>
      <c r="T344" s="152"/>
      <c r="U344" s="152"/>
      <c r="V344" s="152"/>
      <c r="W344" s="152"/>
      <c r="X344" s="152"/>
      <c r="Y344" s="152"/>
    </row>
    <row r="345">
      <c r="A345" s="152"/>
      <c r="B345" s="152"/>
      <c r="C345" s="152"/>
      <c r="D345" s="152"/>
      <c r="E345" s="152"/>
      <c r="F345" s="152"/>
      <c r="G345" s="152"/>
      <c r="H345" s="152"/>
      <c r="I345" s="152"/>
      <c r="J345" s="152"/>
      <c r="K345" s="152"/>
      <c r="L345" s="152"/>
      <c r="M345" s="152"/>
      <c r="N345" s="152"/>
      <c r="O345" s="152"/>
      <c r="P345" s="152"/>
      <c r="Q345" s="152"/>
      <c r="R345" s="152"/>
      <c r="S345" s="152"/>
      <c r="T345" s="152"/>
      <c r="U345" s="152"/>
      <c r="V345" s="152"/>
      <c r="W345" s="152"/>
      <c r="X345" s="152"/>
      <c r="Y345" s="152"/>
    </row>
    <row r="346">
      <c r="A346" s="152"/>
      <c r="B346" s="152"/>
      <c r="C346" s="152"/>
      <c r="D346" s="152"/>
      <c r="E346" s="152"/>
      <c r="F346" s="152"/>
      <c r="G346" s="152"/>
      <c r="H346" s="152"/>
      <c r="I346" s="152"/>
      <c r="J346" s="152"/>
      <c r="K346" s="152"/>
      <c r="L346" s="152"/>
      <c r="M346" s="152"/>
      <c r="N346" s="152"/>
      <c r="O346" s="152"/>
      <c r="P346" s="152"/>
      <c r="Q346" s="152"/>
      <c r="R346" s="152"/>
      <c r="S346" s="152"/>
      <c r="T346" s="152"/>
      <c r="U346" s="152"/>
      <c r="V346" s="152"/>
      <c r="W346" s="152"/>
      <c r="X346" s="152"/>
      <c r="Y346" s="152"/>
    </row>
    <row r="347">
      <c r="A347" s="152"/>
      <c r="B347" s="152"/>
      <c r="C347" s="152"/>
      <c r="D347" s="152"/>
      <c r="E347" s="152"/>
      <c r="F347" s="152"/>
      <c r="G347" s="152"/>
      <c r="H347" s="152"/>
      <c r="I347" s="152"/>
      <c r="J347" s="152"/>
      <c r="K347" s="152"/>
      <c r="L347" s="152"/>
      <c r="M347" s="152"/>
      <c r="N347" s="152"/>
      <c r="O347" s="152"/>
      <c r="P347" s="152"/>
      <c r="Q347" s="152"/>
      <c r="R347" s="152"/>
      <c r="S347" s="152"/>
      <c r="T347" s="152"/>
      <c r="U347" s="152"/>
      <c r="V347" s="152"/>
      <c r="W347" s="152"/>
      <c r="X347" s="152"/>
      <c r="Y347" s="152"/>
    </row>
    <row r="348">
      <c r="A348" s="152"/>
      <c r="B348" s="152"/>
      <c r="C348" s="152"/>
      <c r="D348" s="152"/>
      <c r="E348" s="152"/>
      <c r="F348" s="152"/>
      <c r="G348" s="152"/>
      <c r="H348" s="152"/>
      <c r="I348" s="152"/>
      <c r="J348" s="152"/>
      <c r="K348" s="152"/>
      <c r="L348" s="152"/>
      <c r="M348" s="152"/>
      <c r="N348" s="152"/>
      <c r="O348" s="152"/>
      <c r="P348" s="152"/>
      <c r="Q348" s="152"/>
      <c r="R348" s="152"/>
      <c r="S348" s="152"/>
      <c r="T348" s="152"/>
      <c r="U348" s="152"/>
      <c r="V348" s="152"/>
      <c r="W348" s="152"/>
      <c r="X348" s="152"/>
      <c r="Y348" s="152"/>
    </row>
    <row r="349">
      <c r="A349" s="152"/>
      <c r="B349" s="152"/>
      <c r="C349" s="152"/>
      <c r="D349" s="152"/>
      <c r="E349" s="152"/>
      <c r="F349" s="152"/>
      <c r="G349" s="152"/>
      <c r="H349" s="152"/>
      <c r="I349" s="152"/>
      <c r="J349" s="152"/>
      <c r="K349" s="152"/>
      <c r="L349" s="152"/>
      <c r="M349" s="152"/>
      <c r="N349" s="152"/>
      <c r="O349" s="152"/>
      <c r="P349" s="152"/>
      <c r="Q349" s="152"/>
      <c r="R349" s="152"/>
      <c r="S349" s="152"/>
      <c r="T349" s="152"/>
      <c r="U349" s="152"/>
      <c r="V349" s="152"/>
      <c r="W349" s="152"/>
      <c r="X349" s="152"/>
      <c r="Y349" s="152"/>
    </row>
    <row r="350">
      <c r="A350" s="152"/>
      <c r="B350" s="152"/>
      <c r="C350" s="152"/>
      <c r="D350" s="152"/>
      <c r="E350" s="152"/>
      <c r="F350" s="152"/>
      <c r="G350" s="152"/>
      <c r="H350" s="152"/>
      <c r="I350" s="152"/>
      <c r="J350" s="152"/>
      <c r="K350" s="152"/>
      <c r="L350" s="152"/>
      <c r="M350" s="152"/>
      <c r="N350" s="152"/>
      <c r="O350" s="152"/>
      <c r="P350" s="152"/>
      <c r="Q350" s="152"/>
      <c r="R350" s="152"/>
      <c r="S350" s="152"/>
      <c r="T350" s="152"/>
      <c r="U350" s="152"/>
      <c r="V350" s="152"/>
      <c r="W350" s="152"/>
      <c r="X350" s="152"/>
      <c r="Y350" s="152"/>
    </row>
    <row r="351">
      <c r="A351" s="152"/>
      <c r="B351" s="152"/>
      <c r="C351" s="152"/>
      <c r="D351" s="152"/>
      <c r="E351" s="152"/>
      <c r="F351" s="152"/>
      <c r="G351" s="152"/>
      <c r="H351" s="152"/>
      <c r="I351" s="152"/>
      <c r="J351" s="152"/>
      <c r="K351" s="152"/>
      <c r="L351" s="152"/>
      <c r="M351" s="152"/>
      <c r="N351" s="152"/>
      <c r="O351" s="152"/>
      <c r="P351" s="152"/>
      <c r="Q351" s="152"/>
      <c r="R351" s="152"/>
      <c r="S351" s="152"/>
      <c r="T351" s="152"/>
      <c r="U351" s="152"/>
      <c r="V351" s="152"/>
      <c r="W351" s="152"/>
      <c r="X351" s="152"/>
      <c r="Y351" s="152"/>
    </row>
    <row r="352">
      <c r="A352" s="152"/>
      <c r="B352" s="152"/>
      <c r="C352" s="152"/>
      <c r="D352" s="152"/>
      <c r="E352" s="152"/>
      <c r="F352" s="152"/>
      <c r="G352" s="152"/>
      <c r="H352" s="152"/>
      <c r="I352" s="152"/>
      <c r="J352" s="152"/>
      <c r="K352" s="152"/>
      <c r="L352" s="152"/>
      <c r="M352" s="152"/>
      <c r="N352" s="152"/>
      <c r="O352" s="152"/>
      <c r="P352" s="152"/>
      <c r="Q352" s="152"/>
      <c r="R352" s="152"/>
      <c r="S352" s="152"/>
      <c r="T352" s="152"/>
      <c r="U352" s="152"/>
      <c r="V352" s="152"/>
      <c r="W352" s="152"/>
      <c r="X352" s="152"/>
      <c r="Y352" s="152"/>
    </row>
    <row r="353">
      <c r="A353" s="152"/>
      <c r="B353" s="152"/>
      <c r="C353" s="152"/>
      <c r="D353" s="152"/>
      <c r="E353" s="152"/>
      <c r="F353" s="152"/>
      <c r="G353" s="152"/>
      <c r="H353" s="152"/>
      <c r="I353" s="152"/>
      <c r="J353" s="152"/>
      <c r="K353" s="152"/>
      <c r="L353" s="152"/>
      <c r="M353" s="152"/>
      <c r="N353" s="152"/>
      <c r="O353" s="152"/>
      <c r="P353" s="152"/>
      <c r="Q353" s="152"/>
      <c r="R353" s="152"/>
      <c r="S353" s="152"/>
      <c r="T353" s="152"/>
      <c r="U353" s="152"/>
      <c r="V353" s="152"/>
      <c r="W353" s="152"/>
      <c r="X353" s="152"/>
      <c r="Y353" s="152"/>
    </row>
    <row r="354">
      <c r="A354" s="152"/>
      <c r="B354" s="152"/>
      <c r="C354" s="152"/>
      <c r="D354" s="152"/>
      <c r="E354" s="152"/>
      <c r="F354" s="152"/>
      <c r="G354" s="152"/>
      <c r="H354" s="152"/>
      <c r="I354" s="152"/>
      <c r="J354" s="152"/>
      <c r="K354" s="152"/>
      <c r="L354" s="152"/>
      <c r="M354" s="152"/>
      <c r="N354" s="152"/>
      <c r="O354" s="152"/>
      <c r="P354" s="152"/>
      <c r="Q354" s="152"/>
      <c r="R354" s="152"/>
      <c r="S354" s="152"/>
      <c r="T354" s="152"/>
      <c r="U354" s="152"/>
      <c r="V354" s="152"/>
      <c r="W354" s="152"/>
      <c r="X354" s="152"/>
      <c r="Y354" s="152"/>
    </row>
    <row r="355">
      <c r="A355" s="152"/>
      <c r="B355" s="152"/>
      <c r="C355" s="152"/>
      <c r="D355" s="152"/>
      <c r="E355" s="152"/>
      <c r="F355" s="152"/>
      <c r="G355" s="152"/>
      <c r="H355" s="152"/>
      <c r="I355" s="152"/>
      <c r="J355" s="152"/>
      <c r="K355" s="152"/>
      <c r="L355" s="152"/>
      <c r="M355" s="152"/>
      <c r="N355" s="152"/>
      <c r="O355" s="152"/>
      <c r="P355" s="152"/>
      <c r="Q355" s="152"/>
      <c r="R355" s="152"/>
      <c r="S355" s="152"/>
      <c r="T355" s="152"/>
      <c r="U355" s="152"/>
      <c r="V355" s="152"/>
      <c r="W355" s="152"/>
      <c r="X355" s="152"/>
      <c r="Y355" s="152"/>
    </row>
    <row r="356">
      <c r="A356" s="152"/>
      <c r="B356" s="152"/>
      <c r="C356" s="152"/>
      <c r="D356" s="152"/>
      <c r="E356" s="152"/>
      <c r="F356" s="152"/>
      <c r="G356" s="152"/>
      <c r="H356" s="152"/>
      <c r="I356" s="152"/>
      <c r="J356" s="152"/>
      <c r="K356" s="152"/>
      <c r="L356" s="152"/>
      <c r="M356" s="152"/>
      <c r="N356" s="152"/>
      <c r="O356" s="152"/>
      <c r="P356" s="152"/>
      <c r="Q356" s="152"/>
      <c r="R356" s="152"/>
      <c r="S356" s="152"/>
      <c r="T356" s="152"/>
      <c r="U356" s="152"/>
      <c r="V356" s="152"/>
      <c r="W356" s="152"/>
      <c r="X356" s="152"/>
      <c r="Y356" s="152"/>
    </row>
    <row r="357">
      <c r="A357" s="152"/>
      <c r="B357" s="152"/>
      <c r="C357" s="152"/>
      <c r="D357" s="152"/>
      <c r="E357" s="152"/>
      <c r="F357" s="152"/>
      <c r="G357" s="152"/>
      <c r="H357" s="152"/>
      <c r="I357" s="152"/>
      <c r="J357" s="152"/>
      <c r="K357" s="152"/>
      <c r="L357" s="152"/>
      <c r="M357" s="152"/>
      <c r="N357" s="152"/>
      <c r="O357" s="152"/>
      <c r="P357" s="152"/>
      <c r="Q357" s="152"/>
      <c r="R357" s="152"/>
      <c r="S357" s="152"/>
      <c r="T357" s="152"/>
      <c r="U357" s="152"/>
      <c r="V357" s="152"/>
      <c r="W357" s="152"/>
      <c r="X357" s="152"/>
      <c r="Y357" s="152"/>
    </row>
    <row r="358">
      <c r="A358" s="152"/>
      <c r="B358" s="152"/>
      <c r="C358" s="152"/>
      <c r="D358" s="152"/>
      <c r="E358" s="152"/>
      <c r="F358" s="152"/>
      <c r="G358" s="152"/>
      <c r="H358" s="152"/>
      <c r="I358" s="152"/>
      <c r="J358" s="152"/>
      <c r="K358" s="152"/>
      <c r="L358" s="152"/>
      <c r="M358" s="152"/>
      <c r="N358" s="152"/>
      <c r="O358" s="152"/>
      <c r="P358" s="152"/>
      <c r="Q358" s="152"/>
      <c r="R358" s="152"/>
      <c r="S358" s="152"/>
      <c r="T358" s="152"/>
      <c r="U358" s="152"/>
      <c r="V358" s="152"/>
      <c r="W358" s="152"/>
      <c r="X358" s="152"/>
      <c r="Y358" s="152"/>
    </row>
    <row r="359">
      <c r="A359" s="152"/>
      <c r="B359" s="152"/>
      <c r="C359" s="152"/>
      <c r="D359" s="152"/>
      <c r="E359" s="152"/>
      <c r="F359" s="152"/>
      <c r="G359" s="152"/>
      <c r="H359" s="152"/>
      <c r="I359" s="152"/>
      <c r="J359" s="152"/>
      <c r="K359" s="152"/>
      <c r="L359" s="152"/>
      <c r="M359" s="152"/>
      <c r="N359" s="152"/>
      <c r="O359" s="152"/>
      <c r="P359" s="152"/>
      <c r="Q359" s="152"/>
      <c r="R359" s="152"/>
      <c r="S359" s="152"/>
      <c r="T359" s="152"/>
      <c r="U359" s="152"/>
      <c r="V359" s="152"/>
      <c r="W359" s="152"/>
      <c r="X359" s="152"/>
      <c r="Y359" s="152"/>
    </row>
    <row r="360">
      <c r="A360" s="152"/>
      <c r="B360" s="152"/>
      <c r="C360" s="152"/>
      <c r="D360" s="152"/>
      <c r="E360" s="152"/>
      <c r="F360" s="152"/>
      <c r="G360" s="152"/>
      <c r="H360" s="152"/>
      <c r="I360" s="152"/>
      <c r="J360" s="152"/>
      <c r="K360" s="152"/>
      <c r="L360" s="152"/>
      <c r="M360" s="152"/>
      <c r="N360" s="152"/>
      <c r="O360" s="152"/>
      <c r="P360" s="152"/>
      <c r="Q360" s="152"/>
      <c r="R360" s="152"/>
      <c r="S360" s="152"/>
      <c r="T360" s="152"/>
      <c r="U360" s="152"/>
      <c r="V360" s="152"/>
      <c r="W360" s="152"/>
      <c r="X360" s="152"/>
      <c r="Y360" s="152"/>
    </row>
    <row r="361">
      <c r="A361" s="152"/>
      <c r="B361" s="152"/>
      <c r="C361" s="152"/>
      <c r="D361" s="152"/>
      <c r="E361" s="152"/>
      <c r="F361" s="152"/>
      <c r="G361" s="152"/>
      <c r="H361" s="152"/>
      <c r="I361" s="152"/>
      <c r="J361" s="152"/>
      <c r="K361" s="152"/>
      <c r="L361" s="152"/>
      <c r="M361" s="152"/>
      <c r="N361" s="152"/>
      <c r="O361" s="152"/>
      <c r="P361" s="152"/>
      <c r="Q361" s="152"/>
      <c r="R361" s="152"/>
      <c r="S361" s="152"/>
      <c r="T361" s="152"/>
      <c r="U361" s="152"/>
      <c r="V361" s="152"/>
      <c r="W361" s="152"/>
      <c r="X361" s="152"/>
      <c r="Y361" s="152"/>
    </row>
    <row r="362">
      <c r="A362" s="152"/>
      <c r="B362" s="152"/>
      <c r="C362" s="152"/>
      <c r="D362" s="152"/>
      <c r="E362" s="152"/>
      <c r="F362" s="152"/>
      <c r="G362" s="152"/>
      <c r="H362" s="152"/>
      <c r="I362" s="152"/>
      <c r="J362" s="152"/>
      <c r="K362" s="152"/>
      <c r="L362" s="152"/>
      <c r="M362" s="152"/>
      <c r="N362" s="152"/>
      <c r="O362" s="152"/>
      <c r="P362" s="152"/>
      <c r="Q362" s="152"/>
      <c r="R362" s="152"/>
      <c r="S362" s="152"/>
      <c r="T362" s="152"/>
      <c r="U362" s="152"/>
      <c r="V362" s="152"/>
      <c r="W362" s="152"/>
      <c r="X362" s="152"/>
      <c r="Y362" s="152"/>
    </row>
    <row r="363">
      <c r="A363" s="152"/>
      <c r="B363" s="152"/>
      <c r="C363" s="152"/>
      <c r="D363" s="152"/>
      <c r="E363" s="152"/>
      <c r="F363" s="152"/>
      <c r="G363" s="152"/>
      <c r="H363" s="152"/>
      <c r="I363" s="152"/>
      <c r="J363" s="152"/>
      <c r="K363" s="152"/>
      <c r="L363" s="152"/>
      <c r="M363" s="152"/>
      <c r="N363" s="152"/>
      <c r="O363" s="152"/>
      <c r="P363" s="152"/>
      <c r="Q363" s="152"/>
      <c r="R363" s="152"/>
      <c r="S363" s="152"/>
      <c r="T363" s="152"/>
      <c r="U363" s="152"/>
      <c r="V363" s="152"/>
      <c r="W363" s="152"/>
      <c r="X363" s="152"/>
      <c r="Y363" s="152"/>
    </row>
    <row r="364">
      <c r="A364" s="152"/>
      <c r="B364" s="152"/>
      <c r="C364" s="152"/>
      <c r="D364" s="152"/>
      <c r="E364" s="152"/>
      <c r="F364" s="152"/>
      <c r="G364" s="152"/>
      <c r="H364" s="152"/>
      <c r="I364" s="152"/>
      <c r="J364" s="152"/>
      <c r="K364" s="152"/>
      <c r="L364" s="152"/>
      <c r="M364" s="152"/>
      <c r="N364" s="152"/>
      <c r="O364" s="152"/>
      <c r="P364" s="152"/>
      <c r="Q364" s="152"/>
      <c r="R364" s="152"/>
      <c r="S364" s="152"/>
      <c r="T364" s="152"/>
      <c r="U364" s="152"/>
      <c r="V364" s="152"/>
      <c r="W364" s="152"/>
      <c r="X364" s="152"/>
      <c r="Y364" s="152"/>
    </row>
    <row r="365">
      <c r="A365" s="152"/>
      <c r="B365" s="152"/>
      <c r="C365" s="152"/>
      <c r="D365" s="152"/>
      <c r="E365" s="152"/>
      <c r="F365" s="152"/>
      <c r="G365" s="152"/>
      <c r="H365" s="152"/>
      <c r="I365" s="152"/>
      <c r="J365" s="152"/>
      <c r="K365" s="152"/>
      <c r="L365" s="152"/>
      <c r="M365" s="152"/>
      <c r="N365" s="152"/>
      <c r="O365" s="152"/>
      <c r="P365" s="152"/>
      <c r="Q365" s="152"/>
      <c r="R365" s="152"/>
      <c r="S365" s="152"/>
      <c r="T365" s="152"/>
      <c r="U365" s="152"/>
      <c r="V365" s="152"/>
      <c r="W365" s="152"/>
      <c r="X365" s="152"/>
      <c r="Y365" s="152"/>
    </row>
    <row r="366">
      <c r="A366" s="152"/>
      <c r="B366" s="152"/>
      <c r="C366" s="152"/>
      <c r="D366" s="152"/>
      <c r="E366" s="152"/>
      <c r="F366" s="152"/>
      <c r="G366" s="152"/>
      <c r="H366" s="152"/>
      <c r="I366" s="152"/>
      <c r="J366" s="152"/>
      <c r="K366" s="152"/>
      <c r="L366" s="152"/>
      <c r="M366" s="152"/>
      <c r="N366" s="152"/>
      <c r="O366" s="152"/>
      <c r="P366" s="152"/>
      <c r="Q366" s="152"/>
      <c r="R366" s="152"/>
      <c r="S366" s="152"/>
      <c r="T366" s="152"/>
      <c r="U366" s="152"/>
      <c r="V366" s="152"/>
      <c r="W366" s="152"/>
      <c r="X366" s="152"/>
      <c r="Y366" s="152"/>
    </row>
    <row r="367">
      <c r="A367" s="152"/>
      <c r="B367" s="152"/>
      <c r="C367" s="152"/>
      <c r="D367" s="152"/>
      <c r="E367" s="152"/>
      <c r="F367" s="152"/>
      <c r="G367" s="152"/>
      <c r="H367" s="152"/>
      <c r="I367" s="152"/>
      <c r="J367" s="152"/>
      <c r="K367" s="152"/>
      <c r="L367" s="152"/>
      <c r="M367" s="152"/>
      <c r="N367" s="152"/>
      <c r="O367" s="152"/>
      <c r="P367" s="152"/>
      <c r="Q367" s="152"/>
      <c r="R367" s="152"/>
      <c r="S367" s="152"/>
      <c r="T367" s="152"/>
      <c r="U367" s="152"/>
      <c r="V367" s="152"/>
      <c r="W367" s="152"/>
      <c r="X367" s="152"/>
      <c r="Y367" s="152"/>
    </row>
    <row r="368">
      <c r="A368" s="152"/>
      <c r="B368" s="152"/>
      <c r="C368" s="152"/>
      <c r="D368" s="152"/>
      <c r="E368" s="152"/>
      <c r="F368" s="152"/>
      <c r="G368" s="152"/>
      <c r="H368" s="152"/>
      <c r="I368" s="152"/>
      <c r="J368" s="152"/>
      <c r="K368" s="152"/>
      <c r="L368" s="152"/>
      <c r="M368" s="152"/>
      <c r="N368" s="152"/>
      <c r="O368" s="152"/>
      <c r="P368" s="152"/>
      <c r="Q368" s="152"/>
      <c r="R368" s="152"/>
      <c r="S368" s="152"/>
      <c r="T368" s="152"/>
      <c r="U368" s="152"/>
      <c r="V368" s="152"/>
      <c r="W368" s="152"/>
      <c r="X368" s="152"/>
      <c r="Y368" s="152"/>
    </row>
    <row r="369">
      <c r="A369" s="152"/>
      <c r="B369" s="152"/>
      <c r="C369" s="152"/>
      <c r="D369" s="152"/>
      <c r="E369" s="152"/>
      <c r="F369" s="152"/>
      <c r="G369" s="152"/>
      <c r="H369" s="152"/>
      <c r="I369" s="152"/>
      <c r="J369" s="152"/>
      <c r="K369" s="152"/>
      <c r="L369" s="152"/>
      <c r="M369" s="152"/>
      <c r="N369" s="152"/>
      <c r="O369" s="152"/>
      <c r="P369" s="152"/>
      <c r="Q369" s="152"/>
      <c r="R369" s="152"/>
      <c r="S369" s="152"/>
      <c r="T369" s="152"/>
      <c r="U369" s="152"/>
      <c r="V369" s="152"/>
      <c r="W369" s="152"/>
      <c r="X369" s="152"/>
      <c r="Y369" s="152"/>
    </row>
    <row r="370">
      <c r="A370" s="152"/>
      <c r="B370" s="152"/>
      <c r="C370" s="152"/>
      <c r="D370" s="152"/>
      <c r="E370" s="152"/>
      <c r="F370" s="152"/>
      <c r="G370" s="152"/>
      <c r="H370" s="152"/>
      <c r="I370" s="152"/>
      <c r="J370" s="152"/>
      <c r="K370" s="152"/>
      <c r="L370" s="152"/>
      <c r="M370" s="152"/>
      <c r="N370" s="152"/>
      <c r="O370" s="152"/>
      <c r="P370" s="152"/>
      <c r="Q370" s="152"/>
      <c r="R370" s="152"/>
      <c r="S370" s="152"/>
      <c r="T370" s="152"/>
      <c r="U370" s="152"/>
      <c r="V370" s="152"/>
      <c r="W370" s="152"/>
      <c r="X370" s="152"/>
      <c r="Y370" s="152"/>
    </row>
    <row r="371">
      <c r="A371" s="152"/>
      <c r="B371" s="152"/>
      <c r="C371" s="152"/>
      <c r="D371" s="152"/>
      <c r="E371" s="152"/>
      <c r="F371" s="152"/>
      <c r="G371" s="152"/>
      <c r="H371" s="152"/>
      <c r="I371" s="152"/>
      <c r="J371" s="152"/>
      <c r="K371" s="152"/>
      <c r="L371" s="152"/>
      <c r="M371" s="152"/>
      <c r="N371" s="152"/>
      <c r="O371" s="152"/>
      <c r="P371" s="152"/>
      <c r="Q371" s="152"/>
      <c r="R371" s="152"/>
      <c r="S371" s="152"/>
      <c r="T371" s="152"/>
      <c r="U371" s="152"/>
      <c r="V371" s="152"/>
      <c r="W371" s="152"/>
      <c r="X371" s="152"/>
      <c r="Y371" s="152"/>
    </row>
    <row r="372">
      <c r="A372" s="152"/>
      <c r="B372" s="152"/>
      <c r="C372" s="152"/>
      <c r="D372" s="152"/>
      <c r="E372" s="152"/>
      <c r="F372" s="152"/>
      <c r="G372" s="152"/>
      <c r="H372" s="152"/>
      <c r="I372" s="152"/>
      <c r="J372" s="152"/>
      <c r="K372" s="152"/>
      <c r="L372" s="152"/>
      <c r="M372" s="152"/>
      <c r="N372" s="152"/>
      <c r="O372" s="152"/>
      <c r="P372" s="152"/>
      <c r="Q372" s="152"/>
      <c r="R372" s="152"/>
      <c r="S372" s="152"/>
      <c r="T372" s="152"/>
      <c r="U372" s="152"/>
      <c r="V372" s="152"/>
      <c r="W372" s="152"/>
      <c r="X372" s="152"/>
      <c r="Y372" s="152"/>
    </row>
    <row r="373">
      <c r="A373" s="152"/>
      <c r="B373" s="152"/>
      <c r="C373" s="152"/>
      <c r="D373" s="152"/>
      <c r="E373" s="152"/>
      <c r="F373" s="152"/>
      <c r="G373" s="152"/>
      <c r="H373" s="152"/>
      <c r="I373" s="152"/>
      <c r="J373" s="152"/>
      <c r="K373" s="152"/>
      <c r="L373" s="152"/>
      <c r="M373" s="152"/>
      <c r="N373" s="152"/>
      <c r="O373" s="152"/>
      <c r="P373" s="152"/>
      <c r="Q373" s="152"/>
      <c r="R373" s="152"/>
      <c r="S373" s="152"/>
      <c r="T373" s="152"/>
      <c r="U373" s="152"/>
      <c r="V373" s="152"/>
      <c r="W373" s="152"/>
      <c r="X373" s="152"/>
      <c r="Y373" s="152"/>
    </row>
    <row r="374">
      <c r="A374" s="152"/>
      <c r="B374" s="152"/>
      <c r="C374" s="152"/>
      <c r="D374" s="152"/>
      <c r="E374" s="152"/>
      <c r="F374" s="152"/>
      <c r="G374" s="152"/>
      <c r="H374" s="152"/>
      <c r="I374" s="152"/>
      <c r="J374" s="152"/>
      <c r="K374" s="152"/>
      <c r="L374" s="152"/>
      <c r="M374" s="152"/>
      <c r="N374" s="152"/>
      <c r="O374" s="152"/>
      <c r="P374" s="152"/>
      <c r="Q374" s="152"/>
      <c r="R374" s="152"/>
      <c r="S374" s="152"/>
      <c r="T374" s="152"/>
      <c r="U374" s="152"/>
      <c r="V374" s="152"/>
      <c r="W374" s="152"/>
      <c r="X374" s="152"/>
      <c r="Y374" s="152"/>
    </row>
    <row r="375">
      <c r="A375" s="152"/>
      <c r="B375" s="152"/>
      <c r="C375" s="152"/>
      <c r="D375" s="152"/>
      <c r="E375" s="152"/>
      <c r="F375" s="152"/>
      <c r="G375" s="152"/>
      <c r="H375" s="152"/>
      <c r="I375" s="152"/>
      <c r="J375" s="152"/>
      <c r="K375" s="152"/>
      <c r="L375" s="152"/>
      <c r="M375" s="152"/>
      <c r="N375" s="152"/>
      <c r="O375" s="152"/>
      <c r="P375" s="152"/>
      <c r="Q375" s="152"/>
      <c r="R375" s="152"/>
      <c r="S375" s="152"/>
      <c r="T375" s="152"/>
      <c r="U375" s="152"/>
      <c r="V375" s="152"/>
      <c r="W375" s="152"/>
      <c r="X375" s="152"/>
      <c r="Y375" s="152"/>
    </row>
    <row r="376">
      <c r="A376" s="152"/>
      <c r="B376" s="152"/>
      <c r="C376" s="152"/>
      <c r="D376" s="152"/>
      <c r="E376" s="152"/>
      <c r="F376" s="152"/>
      <c r="G376" s="152"/>
      <c r="H376" s="152"/>
      <c r="I376" s="152"/>
      <c r="J376" s="152"/>
      <c r="K376" s="152"/>
      <c r="L376" s="152"/>
      <c r="M376" s="152"/>
      <c r="N376" s="152"/>
      <c r="O376" s="152"/>
      <c r="P376" s="152"/>
      <c r="Q376" s="152"/>
      <c r="R376" s="152"/>
      <c r="S376" s="152"/>
      <c r="T376" s="152"/>
      <c r="U376" s="152"/>
      <c r="V376" s="152"/>
      <c r="W376" s="152"/>
      <c r="X376" s="152"/>
      <c r="Y376" s="152"/>
    </row>
    <row r="377">
      <c r="A377" s="152"/>
      <c r="B377" s="152"/>
      <c r="C377" s="152"/>
      <c r="D377" s="152"/>
      <c r="E377" s="152"/>
      <c r="F377" s="152"/>
      <c r="G377" s="152"/>
      <c r="H377" s="152"/>
      <c r="I377" s="152"/>
      <c r="J377" s="152"/>
      <c r="K377" s="152"/>
      <c r="L377" s="152"/>
      <c r="M377" s="152"/>
      <c r="N377" s="152"/>
      <c r="O377" s="152"/>
      <c r="P377" s="152"/>
      <c r="Q377" s="152"/>
      <c r="R377" s="152"/>
      <c r="S377" s="152"/>
      <c r="T377" s="152"/>
      <c r="U377" s="152"/>
      <c r="V377" s="152"/>
      <c r="W377" s="152"/>
      <c r="X377" s="152"/>
      <c r="Y377" s="152"/>
    </row>
    <row r="378">
      <c r="A378" s="152"/>
      <c r="B378" s="152"/>
      <c r="C378" s="152"/>
      <c r="D378" s="152"/>
      <c r="E378" s="152"/>
      <c r="F378" s="152"/>
      <c r="G378" s="152"/>
      <c r="H378" s="152"/>
      <c r="I378" s="152"/>
      <c r="J378" s="152"/>
      <c r="K378" s="152"/>
      <c r="L378" s="152"/>
      <c r="M378" s="152"/>
      <c r="N378" s="152"/>
      <c r="O378" s="152"/>
      <c r="P378" s="152"/>
      <c r="Q378" s="152"/>
      <c r="R378" s="152"/>
      <c r="S378" s="152"/>
      <c r="T378" s="152"/>
      <c r="U378" s="152"/>
      <c r="V378" s="152"/>
      <c r="W378" s="152"/>
      <c r="X378" s="152"/>
      <c r="Y378" s="152"/>
    </row>
    <row r="379">
      <c r="A379" s="152"/>
      <c r="B379" s="152"/>
      <c r="C379" s="152"/>
      <c r="D379" s="152"/>
      <c r="E379" s="152"/>
      <c r="F379" s="152"/>
      <c r="G379" s="152"/>
      <c r="H379" s="152"/>
      <c r="I379" s="152"/>
      <c r="J379" s="152"/>
      <c r="K379" s="152"/>
      <c r="L379" s="152"/>
      <c r="M379" s="152"/>
      <c r="N379" s="152"/>
      <c r="O379" s="152"/>
      <c r="P379" s="152"/>
      <c r="Q379" s="152"/>
      <c r="R379" s="152"/>
      <c r="S379" s="152"/>
      <c r="T379" s="152"/>
      <c r="U379" s="152"/>
      <c r="V379" s="152"/>
      <c r="W379" s="152"/>
      <c r="X379" s="152"/>
      <c r="Y379" s="152"/>
    </row>
    <row r="380">
      <c r="A380" s="152"/>
      <c r="B380" s="152"/>
      <c r="C380" s="152"/>
      <c r="D380" s="152"/>
      <c r="E380" s="152"/>
      <c r="F380" s="152"/>
      <c r="G380" s="152"/>
      <c r="H380" s="152"/>
      <c r="I380" s="152"/>
      <c r="J380" s="152"/>
      <c r="K380" s="152"/>
      <c r="L380" s="152"/>
      <c r="M380" s="152"/>
      <c r="N380" s="152"/>
      <c r="O380" s="152"/>
      <c r="P380" s="152"/>
      <c r="Q380" s="152"/>
      <c r="R380" s="152"/>
      <c r="S380" s="152"/>
      <c r="T380" s="152"/>
      <c r="U380" s="152"/>
      <c r="V380" s="152"/>
      <c r="W380" s="152"/>
      <c r="X380" s="152"/>
      <c r="Y380" s="152"/>
    </row>
    <row r="381">
      <c r="A381" s="152"/>
      <c r="B381" s="152"/>
      <c r="C381" s="152"/>
      <c r="D381" s="152"/>
      <c r="E381" s="152"/>
      <c r="F381" s="152"/>
      <c r="G381" s="152"/>
      <c r="H381" s="152"/>
      <c r="I381" s="152"/>
      <c r="J381" s="152"/>
      <c r="K381" s="152"/>
      <c r="L381" s="152"/>
      <c r="M381" s="152"/>
      <c r="N381" s="152"/>
      <c r="O381" s="152"/>
      <c r="P381" s="152"/>
      <c r="Q381" s="152"/>
      <c r="R381" s="152"/>
      <c r="S381" s="152"/>
      <c r="T381" s="152"/>
      <c r="U381" s="152"/>
      <c r="V381" s="152"/>
      <c r="W381" s="152"/>
      <c r="X381" s="152"/>
      <c r="Y381" s="152"/>
    </row>
    <row r="382">
      <c r="A382" s="152"/>
      <c r="B382" s="152"/>
      <c r="C382" s="152"/>
      <c r="D382" s="152"/>
      <c r="E382" s="152"/>
      <c r="F382" s="152"/>
      <c r="G382" s="152"/>
      <c r="H382" s="152"/>
      <c r="I382" s="152"/>
      <c r="J382" s="152"/>
      <c r="K382" s="152"/>
      <c r="L382" s="152"/>
      <c r="M382" s="152"/>
      <c r="N382" s="152"/>
      <c r="O382" s="152"/>
      <c r="P382" s="152"/>
      <c r="Q382" s="152"/>
      <c r="R382" s="152"/>
      <c r="S382" s="152"/>
      <c r="T382" s="152"/>
      <c r="U382" s="152"/>
      <c r="V382" s="152"/>
      <c r="W382" s="152"/>
      <c r="X382" s="152"/>
      <c r="Y382" s="152"/>
    </row>
    <row r="383">
      <c r="A383" s="152"/>
      <c r="B383" s="152"/>
      <c r="C383" s="152"/>
      <c r="D383" s="152"/>
      <c r="E383" s="152"/>
      <c r="F383" s="152"/>
      <c r="G383" s="152"/>
      <c r="H383" s="152"/>
      <c r="I383" s="152"/>
      <c r="J383" s="152"/>
      <c r="K383" s="152"/>
      <c r="L383" s="152"/>
      <c r="M383" s="152"/>
      <c r="N383" s="152"/>
      <c r="O383" s="152"/>
      <c r="P383" s="152"/>
      <c r="Q383" s="152"/>
      <c r="R383" s="152"/>
      <c r="S383" s="152"/>
      <c r="T383" s="152"/>
      <c r="U383" s="152"/>
      <c r="V383" s="152"/>
      <c r="W383" s="152"/>
      <c r="X383" s="152"/>
      <c r="Y383" s="152"/>
    </row>
    <row r="384">
      <c r="A384" s="152"/>
      <c r="B384" s="152"/>
      <c r="C384" s="152"/>
      <c r="D384" s="152"/>
      <c r="E384" s="152"/>
      <c r="F384" s="152"/>
      <c r="G384" s="152"/>
      <c r="H384" s="152"/>
      <c r="I384" s="152"/>
      <c r="J384" s="152"/>
      <c r="K384" s="152"/>
      <c r="L384" s="152"/>
      <c r="M384" s="152"/>
      <c r="N384" s="152"/>
      <c r="O384" s="152"/>
      <c r="P384" s="152"/>
      <c r="Q384" s="152"/>
      <c r="R384" s="152"/>
      <c r="S384" s="152"/>
      <c r="T384" s="152"/>
      <c r="U384" s="152"/>
      <c r="V384" s="152"/>
      <c r="W384" s="152"/>
      <c r="X384" s="152"/>
      <c r="Y384" s="152"/>
    </row>
    <row r="385">
      <c r="A385" s="152"/>
      <c r="B385" s="152"/>
      <c r="C385" s="152"/>
      <c r="D385" s="152"/>
      <c r="E385" s="152"/>
      <c r="F385" s="152"/>
      <c r="G385" s="152"/>
      <c r="H385" s="152"/>
      <c r="I385" s="152"/>
      <c r="J385" s="152"/>
      <c r="K385" s="152"/>
      <c r="L385" s="152"/>
      <c r="M385" s="152"/>
      <c r="N385" s="152"/>
      <c r="O385" s="152"/>
      <c r="P385" s="152"/>
      <c r="Q385" s="152"/>
      <c r="R385" s="152"/>
      <c r="S385" s="152"/>
      <c r="T385" s="152"/>
      <c r="U385" s="152"/>
      <c r="V385" s="152"/>
      <c r="W385" s="152"/>
      <c r="X385" s="152"/>
      <c r="Y385" s="152"/>
    </row>
    <row r="386">
      <c r="A386" s="152"/>
      <c r="B386" s="152"/>
      <c r="C386" s="152"/>
      <c r="D386" s="152"/>
      <c r="E386" s="152"/>
      <c r="F386" s="152"/>
      <c r="G386" s="152"/>
      <c r="H386" s="152"/>
      <c r="I386" s="152"/>
      <c r="J386" s="152"/>
      <c r="K386" s="152"/>
      <c r="L386" s="152"/>
      <c r="M386" s="152"/>
      <c r="N386" s="152"/>
      <c r="O386" s="152"/>
      <c r="P386" s="152"/>
      <c r="Q386" s="152"/>
      <c r="R386" s="152"/>
      <c r="S386" s="152"/>
      <c r="T386" s="152"/>
      <c r="U386" s="152"/>
      <c r="V386" s="152"/>
      <c r="W386" s="152"/>
      <c r="X386" s="152"/>
      <c r="Y386" s="152"/>
    </row>
    <row r="387">
      <c r="A387" s="152"/>
      <c r="B387" s="152"/>
      <c r="C387" s="152"/>
      <c r="D387" s="152"/>
      <c r="E387" s="152"/>
      <c r="F387" s="152"/>
      <c r="G387" s="152"/>
      <c r="H387" s="152"/>
      <c r="I387" s="152"/>
      <c r="J387" s="152"/>
      <c r="K387" s="152"/>
      <c r="L387" s="152"/>
      <c r="M387" s="152"/>
      <c r="N387" s="152"/>
      <c r="O387" s="152"/>
      <c r="P387" s="152"/>
      <c r="Q387" s="152"/>
      <c r="R387" s="152"/>
      <c r="S387" s="152"/>
      <c r="T387" s="152"/>
      <c r="U387" s="152"/>
      <c r="V387" s="152"/>
      <c r="W387" s="152"/>
      <c r="X387" s="152"/>
      <c r="Y387" s="152"/>
    </row>
    <row r="388">
      <c r="A388" s="152"/>
      <c r="B388" s="152"/>
      <c r="C388" s="152"/>
      <c r="D388" s="152"/>
      <c r="E388" s="152"/>
      <c r="F388" s="152"/>
      <c r="G388" s="152"/>
      <c r="H388" s="152"/>
      <c r="I388" s="152"/>
      <c r="J388" s="152"/>
      <c r="K388" s="152"/>
      <c r="L388" s="152"/>
      <c r="M388" s="152"/>
      <c r="N388" s="152"/>
      <c r="O388" s="152"/>
      <c r="P388" s="152"/>
      <c r="Q388" s="152"/>
      <c r="R388" s="152"/>
      <c r="S388" s="152"/>
      <c r="T388" s="152"/>
      <c r="U388" s="152"/>
      <c r="V388" s="152"/>
      <c r="W388" s="152"/>
      <c r="X388" s="152"/>
      <c r="Y388" s="152"/>
    </row>
    <row r="389">
      <c r="A389" s="152"/>
      <c r="B389" s="152"/>
      <c r="C389" s="152"/>
      <c r="D389" s="152"/>
      <c r="E389" s="152"/>
      <c r="F389" s="152"/>
      <c r="G389" s="152"/>
      <c r="H389" s="152"/>
      <c r="I389" s="152"/>
      <c r="J389" s="152"/>
      <c r="K389" s="152"/>
      <c r="L389" s="152"/>
      <c r="M389" s="152"/>
      <c r="N389" s="152"/>
      <c r="O389" s="152"/>
      <c r="P389" s="152"/>
      <c r="Q389" s="152"/>
      <c r="R389" s="152"/>
      <c r="S389" s="152"/>
      <c r="T389" s="152"/>
      <c r="U389" s="152"/>
      <c r="V389" s="152"/>
      <c r="W389" s="152"/>
      <c r="X389" s="152"/>
      <c r="Y389" s="152"/>
    </row>
    <row r="390">
      <c r="A390" s="152"/>
      <c r="B390" s="152"/>
      <c r="C390" s="152"/>
      <c r="D390" s="152"/>
      <c r="E390" s="152"/>
      <c r="F390" s="152"/>
      <c r="G390" s="152"/>
      <c r="H390" s="152"/>
      <c r="I390" s="152"/>
      <c r="J390" s="152"/>
      <c r="K390" s="152"/>
      <c r="L390" s="152"/>
      <c r="M390" s="152"/>
      <c r="N390" s="152"/>
      <c r="O390" s="152"/>
      <c r="P390" s="152"/>
      <c r="Q390" s="152"/>
      <c r="R390" s="152"/>
      <c r="S390" s="152"/>
      <c r="T390" s="152"/>
      <c r="U390" s="152"/>
      <c r="V390" s="152"/>
      <c r="W390" s="152"/>
      <c r="X390" s="152"/>
      <c r="Y390" s="152"/>
    </row>
    <row r="391">
      <c r="A391" s="152"/>
      <c r="B391" s="152"/>
      <c r="C391" s="152"/>
      <c r="D391" s="152"/>
      <c r="E391" s="152"/>
      <c r="F391" s="152"/>
      <c r="G391" s="152"/>
      <c r="H391" s="152"/>
      <c r="I391" s="152"/>
      <c r="J391" s="152"/>
      <c r="K391" s="152"/>
      <c r="L391" s="152"/>
      <c r="M391" s="152"/>
      <c r="N391" s="152"/>
      <c r="O391" s="152"/>
      <c r="P391" s="152"/>
      <c r="Q391" s="152"/>
      <c r="R391" s="152"/>
      <c r="S391" s="152"/>
      <c r="T391" s="152"/>
      <c r="U391" s="152"/>
      <c r="V391" s="152"/>
      <c r="W391" s="152"/>
      <c r="X391" s="152"/>
      <c r="Y391" s="152"/>
    </row>
    <row r="392">
      <c r="A392" s="152"/>
      <c r="B392" s="152"/>
      <c r="C392" s="152"/>
      <c r="D392" s="152"/>
      <c r="E392" s="152"/>
      <c r="F392" s="152"/>
      <c r="G392" s="152"/>
      <c r="H392" s="152"/>
      <c r="I392" s="152"/>
      <c r="J392" s="152"/>
      <c r="K392" s="152"/>
      <c r="L392" s="152"/>
      <c r="M392" s="152"/>
      <c r="N392" s="152"/>
      <c r="O392" s="152"/>
      <c r="P392" s="152"/>
      <c r="Q392" s="152"/>
      <c r="R392" s="152"/>
      <c r="S392" s="152"/>
      <c r="T392" s="152"/>
      <c r="U392" s="152"/>
      <c r="V392" s="152"/>
      <c r="W392" s="152"/>
      <c r="X392" s="152"/>
      <c r="Y392" s="152"/>
    </row>
    <row r="393">
      <c r="A393" s="152"/>
      <c r="B393" s="152"/>
      <c r="C393" s="152"/>
      <c r="D393" s="152"/>
      <c r="E393" s="152"/>
      <c r="F393" s="152"/>
      <c r="G393" s="152"/>
      <c r="H393" s="152"/>
      <c r="I393" s="152"/>
      <c r="J393" s="152"/>
      <c r="K393" s="152"/>
      <c r="L393" s="152"/>
      <c r="M393" s="152"/>
      <c r="N393" s="152"/>
      <c r="O393" s="152"/>
      <c r="P393" s="152"/>
      <c r="Q393" s="152"/>
      <c r="R393" s="152"/>
      <c r="S393" s="152"/>
      <c r="T393" s="152"/>
      <c r="U393" s="152"/>
      <c r="V393" s="152"/>
      <c r="W393" s="152"/>
      <c r="X393" s="152"/>
      <c r="Y393" s="152"/>
    </row>
    <row r="394">
      <c r="A394" s="152"/>
      <c r="B394" s="152"/>
      <c r="C394" s="152"/>
      <c r="D394" s="152"/>
      <c r="E394" s="152"/>
      <c r="F394" s="152"/>
      <c r="G394" s="152"/>
      <c r="H394" s="152"/>
      <c r="I394" s="152"/>
      <c r="J394" s="152"/>
      <c r="K394" s="152"/>
      <c r="L394" s="152"/>
      <c r="M394" s="152"/>
      <c r="N394" s="152"/>
      <c r="O394" s="152"/>
      <c r="P394" s="152"/>
      <c r="Q394" s="152"/>
      <c r="R394" s="152"/>
      <c r="S394" s="152"/>
      <c r="T394" s="152"/>
      <c r="U394" s="152"/>
      <c r="V394" s="152"/>
      <c r="W394" s="152"/>
      <c r="X394" s="152"/>
      <c r="Y394" s="152"/>
    </row>
    <row r="395">
      <c r="A395" s="152"/>
      <c r="B395" s="152"/>
      <c r="C395" s="152"/>
      <c r="D395" s="152"/>
      <c r="E395" s="152"/>
      <c r="F395" s="152"/>
      <c r="G395" s="152"/>
      <c r="H395" s="152"/>
      <c r="I395" s="152"/>
      <c r="J395" s="152"/>
      <c r="K395" s="152"/>
      <c r="L395" s="152"/>
      <c r="M395" s="152"/>
      <c r="N395" s="152"/>
      <c r="O395" s="152"/>
      <c r="P395" s="152"/>
      <c r="Q395" s="152"/>
      <c r="R395" s="152"/>
      <c r="S395" s="152"/>
      <c r="T395" s="152"/>
      <c r="U395" s="152"/>
      <c r="V395" s="152"/>
      <c r="W395" s="152"/>
      <c r="X395" s="152"/>
      <c r="Y395" s="152"/>
    </row>
    <row r="396">
      <c r="A396" s="152"/>
      <c r="B396" s="152"/>
      <c r="C396" s="152"/>
      <c r="D396" s="152"/>
      <c r="E396" s="152"/>
      <c r="F396" s="152"/>
      <c r="G396" s="152"/>
      <c r="H396" s="152"/>
      <c r="I396" s="152"/>
      <c r="J396" s="152"/>
      <c r="K396" s="152"/>
      <c r="L396" s="152"/>
      <c r="M396" s="152"/>
      <c r="N396" s="152"/>
      <c r="O396" s="152"/>
      <c r="P396" s="152"/>
      <c r="Q396" s="152"/>
      <c r="R396" s="152"/>
      <c r="S396" s="152"/>
      <c r="T396" s="152"/>
      <c r="U396" s="152"/>
      <c r="V396" s="152"/>
      <c r="W396" s="152"/>
      <c r="X396" s="152"/>
      <c r="Y396" s="152"/>
    </row>
    <row r="397">
      <c r="A397" s="152"/>
      <c r="B397" s="152"/>
      <c r="C397" s="152"/>
      <c r="D397" s="152"/>
      <c r="E397" s="152"/>
      <c r="F397" s="152"/>
      <c r="G397" s="152"/>
      <c r="H397" s="152"/>
      <c r="I397" s="152"/>
      <c r="J397" s="152"/>
      <c r="K397" s="152"/>
      <c r="L397" s="152"/>
      <c r="M397" s="152"/>
      <c r="N397" s="152"/>
      <c r="O397" s="152"/>
      <c r="P397" s="152"/>
      <c r="Q397" s="152"/>
      <c r="R397" s="152"/>
      <c r="S397" s="152"/>
      <c r="T397" s="152"/>
      <c r="U397" s="152"/>
      <c r="V397" s="152"/>
      <c r="W397" s="152"/>
      <c r="X397" s="152"/>
      <c r="Y397" s="152"/>
    </row>
    <row r="398">
      <c r="A398" s="152"/>
      <c r="B398" s="152"/>
      <c r="C398" s="152"/>
      <c r="D398" s="152"/>
      <c r="E398" s="152"/>
      <c r="F398" s="152"/>
      <c r="G398" s="152"/>
      <c r="H398" s="152"/>
      <c r="I398" s="152"/>
      <c r="J398" s="152"/>
      <c r="K398" s="152"/>
      <c r="L398" s="152"/>
      <c r="M398" s="152"/>
      <c r="N398" s="152"/>
      <c r="O398" s="152"/>
      <c r="P398" s="152"/>
      <c r="Q398" s="152"/>
      <c r="R398" s="152"/>
      <c r="S398" s="152"/>
      <c r="T398" s="152"/>
      <c r="U398" s="152"/>
      <c r="V398" s="152"/>
      <c r="W398" s="152"/>
      <c r="X398" s="152"/>
      <c r="Y398" s="152"/>
    </row>
    <row r="399">
      <c r="A399" s="152"/>
      <c r="B399" s="152"/>
      <c r="C399" s="152"/>
      <c r="D399" s="152"/>
      <c r="E399" s="152"/>
      <c r="F399" s="152"/>
      <c r="G399" s="152"/>
      <c r="H399" s="152"/>
      <c r="I399" s="152"/>
      <c r="J399" s="152"/>
      <c r="K399" s="152"/>
      <c r="L399" s="152"/>
      <c r="M399" s="152"/>
      <c r="N399" s="152"/>
      <c r="O399" s="152"/>
      <c r="P399" s="152"/>
      <c r="Q399" s="152"/>
      <c r="R399" s="152"/>
      <c r="S399" s="152"/>
      <c r="T399" s="152"/>
      <c r="U399" s="152"/>
      <c r="V399" s="152"/>
      <c r="W399" s="152"/>
      <c r="X399" s="152"/>
      <c r="Y399" s="152"/>
    </row>
    <row r="400">
      <c r="A400" s="152"/>
      <c r="B400" s="152"/>
      <c r="C400" s="152"/>
      <c r="D400" s="152"/>
      <c r="E400" s="152"/>
      <c r="F400" s="152"/>
      <c r="G400" s="152"/>
      <c r="H400" s="152"/>
      <c r="I400" s="152"/>
      <c r="J400" s="152"/>
      <c r="K400" s="152"/>
      <c r="L400" s="152"/>
      <c r="M400" s="152"/>
      <c r="N400" s="152"/>
      <c r="O400" s="152"/>
      <c r="P400" s="152"/>
      <c r="Q400" s="152"/>
      <c r="R400" s="152"/>
      <c r="S400" s="152"/>
      <c r="T400" s="152"/>
      <c r="U400" s="152"/>
      <c r="V400" s="152"/>
      <c r="W400" s="152"/>
      <c r="X400" s="152"/>
      <c r="Y400" s="152"/>
    </row>
    <row r="401">
      <c r="A401" s="152"/>
      <c r="B401" s="152"/>
      <c r="C401" s="152"/>
      <c r="D401" s="152"/>
      <c r="E401" s="152"/>
      <c r="F401" s="152"/>
      <c r="G401" s="152"/>
      <c r="H401" s="152"/>
      <c r="I401" s="152"/>
      <c r="J401" s="152"/>
      <c r="K401" s="152"/>
      <c r="L401" s="152"/>
      <c r="M401" s="152"/>
      <c r="N401" s="152"/>
      <c r="O401" s="152"/>
      <c r="P401" s="152"/>
      <c r="Q401" s="152"/>
      <c r="R401" s="152"/>
      <c r="S401" s="152"/>
      <c r="T401" s="152"/>
      <c r="U401" s="152"/>
      <c r="V401" s="152"/>
      <c r="W401" s="152"/>
      <c r="X401" s="152"/>
      <c r="Y401" s="152"/>
    </row>
    <row r="402">
      <c r="A402" s="152"/>
      <c r="B402" s="152"/>
      <c r="C402" s="152"/>
      <c r="D402" s="152"/>
      <c r="E402" s="152"/>
      <c r="F402" s="152"/>
      <c r="G402" s="152"/>
      <c r="H402" s="152"/>
      <c r="I402" s="152"/>
      <c r="J402" s="152"/>
      <c r="K402" s="152"/>
      <c r="L402" s="152"/>
      <c r="M402" s="152"/>
      <c r="N402" s="152"/>
      <c r="O402" s="152"/>
      <c r="P402" s="152"/>
      <c r="Q402" s="152"/>
      <c r="R402" s="152"/>
      <c r="S402" s="152"/>
      <c r="T402" s="152"/>
      <c r="U402" s="152"/>
      <c r="V402" s="152"/>
      <c r="W402" s="152"/>
      <c r="X402" s="152"/>
      <c r="Y402" s="152"/>
    </row>
    <row r="403">
      <c r="A403" s="152"/>
      <c r="B403" s="152"/>
      <c r="C403" s="152"/>
      <c r="D403" s="152"/>
      <c r="E403" s="152"/>
      <c r="F403" s="152"/>
      <c r="G403" s="152"/>
      <c r="H403" s="152"/>
      <c r="I403" s="152"/>
      <c r="J403" s="152"/>
      <c r="K403" s="152"/>
      <c r="L403" s="152"/>
      <c r="M403" s="152"/>
      <c r="N403" s="152"/>
      <c r="O403" s="152"/>
      <c r="P403" s="152"/>
      <c r="Q403" s="152"/>
      <c r="R403" s="152"/>
      <c r="S403" s="152"/>
      <c r="T403" s="152"/>
      <c r="U403" s="152"/>
      <c r="V403" s="152"/>
      <c r="W403" s="152"/>
      <c r="X403" s="152"/>
      <c r="Y403" s="152"/>
    </row>
    <row r="404">
      <c r="A404" s="152"/>
      <c r="B404" s="152"/>
      <c r="C404" s="152"/>
      <c r="D404" s="152"/>
      <c r="E404" s="152"/>
      <c r="F404" s="152"/>
      <c r="G404" s="152"/>
      <c r="H404" s="152"/>
      <c r="I404" s="152"/>
      <c r="J404" s="152"/>
      <c r="K404" s="152"/>
      <c r="L404" s="152"/>
      <c r="M404" s="152"/>
      <c r="N404" s="152"/>
      <c r="O404" s="152"/>
      <c r="P404" s="152"/>
      <c r="Q404" s="152"/>
      <c r="R404" s="152"/>
      <c r="S404" s="152"/>
      <c r="T404" s="152"/>
      <c r="U404" s="152"/>
      <c r="V404" s="152"/>
      <c r="W404" s="152"/>
      <c r="X404" s="152"/>
      <c r="Y404" s="152"/>
    </row>
    <row r="405">
      <c r="A405" s="152"/>
      <c r="B405" s="152"/>
      <c r="C405" s="152"/>
      <c r="D405" s="152"/>
      <c r="E405" s="152"/>
      <c r="F405" s="152"/>
      <c r="G405" s="152"/>
      <c r="H405" s="152"/>
      <c r="I405" s="152"/>
      <c r="J405" s="152"/>
      <c r="K405" s="152"/>
      <c r="L405" s="152"/>
      <c r="M405" s="152"/>
      <c r="N405" s="152"/>
      <c r="O405" s="152"/>
      <c r="P405" s="152"/>
      <c r="Q405" s="152"/>
      <c r="R405" s="152"/>
      <c r="S405" s="152"/>
      <c r="T405" s="152"/>
      <c r="U405" s="152"/>
      <c r="V405" s="152"/>
      <c r="W405" s="152"/>
      <c r="X405" s="152"/>
      <c r="Y405" s="152"/>
    </row>
    <row r="406">
      <c r="A406" s="152"/>
      <c r="B406" s="152"/>
      <c r="C406" s="152"/>
      <c r="D406" s="152"/>
      <c r="E406" s="152"/>
      <c r="F406" s="152"/>
      <c r="G406" s="152"/>
      <c r="H406" s="152"/>
      <c r="I406" s="152"/>
      <c r="J406" s="152"/>
      <c r="K406" s="152"/>
      <c r="L406" s="152"/>
      <c r="M406" s="152"/>
      <c r="N406" s="152"/>
      <c r="O406" s="152"/>
      <c r="P406" s="152"/>
      <c r="Q406" s="152"/>
      <c r="R406" s="152"/>
      <c r="S406" s="152"/>
      <c r="T406" s="152"/>
      <c r="U406" s="152"/>
      <c r="V406" s="152"/>
      <c r="W406" s="152"/>
      <c r="X406" s="152"/>
      <c r="Y406" s="152"/>
    </row>
    <row r="407">
      <c r="A407" s="152"/>
      <c r="B407" s="152"/>
      <c r="C407" s="152"/>
      <c r="D407" s="152"/>
      <c r="E407" s="152"/>
      <c r="F407" s="152"/>
      <c r="G407" s="152"/>
      <c r="H407" s="152"/>
      <c r="I407" s="152"/>
      <c r="J407" s="152"/>
      <c r="K407" s="152"/>
      <c r="L407" s="152"/>
      <c r="M407" s="152"/>
      <c r="N407" s="152"/>
      <c r="O407" s="152"/>
      <c r="P407" s="152"/>
      <c r="Q407" s="152"/>
      <c r="R407" s="152"/>
      <c r="S407" s="152"/>
      <c r="T407" s="152"/>
      <c r="U407" s="152"/>
      <c r="V407" s="152"/>
      <c r="W407" s="152"/>
      <c r="X407" s="152"/>
      <c r="Y407" s="152"/>
    </row>
    <row r="408">
      <c r="A408" s="152"/>
      <c r="B408" s="152"/>
      <c r="C408" s="152"/>
      <c r="D408" s="152"/>
      <c r="E408" s="152"/>
      <c r="F408" s="152"/>
      <c r="G408" s="152"/>
      <c r="H408" s="152"/>
      <c r="I408" s="152"/>
      <c r="J408" s="152"/>
      <c r="K408" s="152"/>
      <c r="L408" s="152"/>
      <c r="M408" s="152"/>
      <c r="N408" s="152"/>
      <c r="O408" s="152"/>
      <c r="P408" s="152"/>
      <c r="Q408" s="152"/>
      <c r="R408" s="152"/>
      <c r="S408" s="152"/>
      <c r="T408" s="152"/>
      <c r="U408" s="152"/>
      <c r="V408" s="152"/>
      <c r="W408" s="152"/>
      <c r="X408" s="152"/>
      <c r="Y408" s="152"/>
    </row>
    <row r="409">
      <c r="A409" s="152"/>
      <c r="B409" s="152"/>
      <c r="C409" s="152"/>
      <c r="D409" s="152"/>
      <c r="E409" s="152"/>
      <c r="F409" s="152"/>
      <c r="G409" s="152"/>
      <c r="H409" s="152"/>
      <c r="I409" s="152"/>
      <c r="J409" s="152"/>
      <c r="K409" s="152"/>
      <c r="L409" s="152"/>
      <c r="M409" s="152"/>
      <c r="N409" s="152"/>
      <c r="O409" s="152"/>
      <c r="P409" s="152"/>
      <c r="Q409" s="152"/>
      <c r="R409" s="152"/>
      <c r="S409" s="152"/>
      <c r="T409" s="152"/>
      <c r="U409" s="152"/>
      <c r="V409" s="152"/>
      <c r="W409" s="152"/>
      <c r="X409" s="152"/>
      <c r="Y409" s="152"/>
    </row>
    <row r="410">
      <c r="A410" s="152"/>
      <c r="B410" s="152"/>
      <c r="C410" s="152"/>
      <c r="D410" s="152"/>
      <c r="E410" s="152"/>
      <c r="F410" s="152"/>
      <c r="G410" s="152"/>
      <c r="H410" s="152"/>
      <c r="I410" s="152"/>
      <c r="J410" s="152"/>
      <c r="K410" s="152"/>
      <c r="L410" s="152"/>
      <c r="M410" s="152"/>
      <c r="N410" s="152"/>
      <c r="O410" s="152"/>
      <c r="P410" s="152"/>
      <c r="Q410" s="152"/>
      <c r="R410" s="152"/>
      <c r="S410" s="152"/>
      <c r="T410" s="152"/>
      <c r="U410" s="152"/>
      <c r="V410" s="152"/>
      <c r="W410" s="152"/>
      <c r="X410" s="152"/>
      <c r="Y410" s="152"/>
    </row>
    <row r="411">
      <c r="A411" s="152"/>
      <c r="B411" s="152"/>
      <c r="C411" s="152"/>
      <c r="D411" s="152"/>
      <c r="E411" s="152"/>
      <c r="F411" s="152"/>
      <c r="G411" s="152"/>
      <c r="H411" s="152"/>
      <c r="I411" s="152"/>
      <c r="J411" s="152"/>
      <c r="K411" s="152"/>
      <c r="L411" s="152"/>
      <c r="M411" s="152"/>
      <c r="N411" s="152"/>
      <c r="O411" s="152"/>
      <c r="P411" s="152"/>
      <c r="Q411" s="152"/>
      <c r="R411" s="152"/>
      <c r="S411" s="152"/>
      <c r="T411" s="152"/>
      <c r="U411" s="152"/>
      <c r="V411" s="152"/>
      <c r="W411" s="152"/>
      <c r="X411" s="152"/>
      <c r="Y411" s="152"/>
    </row>
    <row r="412">
      <c r="A412" s="152"/>
      <c r="B412" s="152"/>
      <c r="C412" s="152"/>
      <c r="D412" s="152"/>
      <c r="E412" s="152"/>
      <c r="F412" s="152"/>
      <c r="G412" s="152"/>
      <c r="H412" s="152"/>
      <c r="I412" s="152"/>
      <c r="J412" s="152"/>
      <c r="K412" s="152"/>
      <c r="L412" s="152"/>
      <c r="M412" s="152"/>
      <c r="N412" s="152"/>
      <c r="O412" s="152"/>
      <c r="P412" s="152"/>
      <c r="Q412" s="152"/>
      <c r="R412" s="152"/>
      <c r="S412" s="152"/>
      <c r="T412" s="152"/>
      <c r="U412" s="152"/>
      <c r="V412" s="152"/>
      <c r="W412" s="152"/>
      <c r="X412" s="152"/>
      <c r="Y412" s="152"/>
    </row>
    <row r="413">
      <c r="A413" s="152"/>
      <c r="B413" s="152"/>
      <c r="C413" s="152"/>
      <c r="D413" s="152"/>
      <c r="E413" s="152"/>
      <c r="F413" s="152"/>
      <c r="G413" s="152"/>
      <c r="H413" s="152"/>
      <c r="I413" s="152"/>
      <c r="J413" s="152"/>
      <c r="K413" s="152"/>
      <c r="L413" s="152"/>
      <c r="M413" s="152"/>
      <c r="N413" s="152"/>
      <c r="O413" s="152"/>
      <c r="P413" s="152"/>
      <c r="Q413" s="152"/>
      <c r="R413" s="152"/>
      <c r="S413" s="152"/>
      <c r="T413" s="152"/>
      <c r="U413" s="152"/>
      <c r="V413" s="152"/>
      <c r="W413" s="152"/>
      <c r="X413" s="152"/>
      <c r="Y413" s="152"/>
    </row>
    <row r="414">
      <c r="A414" s="152"/>
      <c r="B414" s="152"/>
      <c r="C414" s="152"/>
      <c r="D414" s="152"/>
      <c r="E414" s="152"/>
      <c r="F414" s="152"/>
      <c r="G414" s="152"/>
      <c r="H414" s="152"/>
      <c r="I414" s="152"/>
      <c r="J414" s="152"/>
      <c r="K414" s="152"/>
      <c r="L414" s="152"/>
      <c r="M414" s="152"/>
      <c r="N414" s="152"/>
      <c r="O414" s="152"/>
      <c r="P414" s="152"/>
      <c r="Q414" s="152"/>
      <c r="R414" s="152"/>
      <c r="S414" s="152"/>
      <c r="T414" s="152"/>
      <c r="U414" s="152"/>
      <c r="V414" s="152"/>
      <c r="W414" s="152"/>
      <c r="X414" s="152"/>
      <c r="Y414" s="152"/>
    </row>
    <row r="415">
      <c r="A415" s="152"/>
      <c r="B415" s="152"/>
      <c r="C415" s="152"/>
      <c r="D415" s="152"/>
      <c r="E415" s="152"/>
      <c r="F415" s="152"/>
      <c r="G415" s="152"/>
      <c r="H415" s="152"/>
      <c r="I415" s="152"/>
      <c r="J415" s="152"/>
      <c r="K415" s="152"/>
      <c r="L415" s="152"/>
      <c r="M415" s="152"/>
      <c r="N415" s="152"/>
      <c r="O415" s="152"/>
      <c r="P415" s="152"/>
      <c r="Q415" s="152"/>
      <c r="R415" s="152"/>
      <c r="S415" s="152"/>
      <c r="T415" s="152"/>
      <c r="U415" s="152"/>
      <c r="V415" s="152"/>
      <c r="W415" s="152"/>
      <c r="X415" s="152"/>
      <c r="Y415" s="152"/>
    </row>
    <row r="416">
      <c r="A416" s="152"/>
      <c r="B416" s="152"/>
      <c r="C416" s="152"/>
      <c r="D416" s="152"/>
      <c r="E416" s="152"/>
      <c r="F416" s="152"/>
      <c r="G416" s="152"/>
      <c r="H416" s="152"/>
      <c r="I416" s="152"/>
      <c r="J416" s="152"/>
      <c r="K416" s="152"/>
      <c r="L416" s="152"/>
      <c r="M416" s="152"/>
      <c r="N416" s="152"/>
      <c r="O416" s="152"/>
      <c r="P416" s="152"/>
      <c r="Q416" s="152"/>
      <c r="R416" s="152"/>
      <c r="S416" s="152"/>
      <c r="T416" s="152"/>
      <c r="U416" s="152"/>
      <c r="V416" s="152"/>
      <c r="W416" s="152"/>
      <c r="X416" s="152"/>
      <c r="Y416" s="152"/>
    </row>
    <row r="417">
      <c r="A417" s="152"/>
      <c r="B417" s="152"/>
      <c r="C417" s="152"/>
      <c r="D417" s="152"/>
      <c r="E417" s="152"/>
      <c r="F417" s="152"/>
      <c r="G417" s="152"/>
      <c r="H417" s="152"/>
      <c r="I417" s="152"/>
      <c r="J417" s="152"/>
      <c r="K417" s="152"/>
      <c r="L417" s="152"/>
      <c r="M417" s="152"/>
      <c r="N417" s="152"/>
      <c r="O417" s="152"/>
      <c r="P417" s="152"/>
      <c r="Q417" s="152"/>
      <c r="R417" s="152"/>
      <c r="S417" s="152"/>
      <c r="T417" s="152"/>
      <c r="U417" s="152"/>
      <c r="V417" s="152"/>
      <c r="W417" s="152"/>
      <c r="X417" s="152"/>
      <c r="Y417" s="152"/>
    </row>
    <row r="418">
      <c r="A418" s="152"/>
      <c r="B418" s="152"/>
      <c r="C418" s="152"/>
      <c r="D418" s="152"/>
      <c r="E418" s="152"/>
      <c r="F418" s="152"/>
      <c r="G418" s="152"/>
      <c r="H418" s="152"/>
      <c r="I418" s="152"/>
      <c r="J418" s="152"/>
      <c r="K418" s="152"/>
      <c r="L418" s="152"/>
      <c r="M418" s="152"/>
      <c r="N418" s="152"/>
      <c r="O418" s="152"/>
      <c r="P418" s="152"/>
      <c r="Q418" s="152"/>
      <c r="R418" s="152"/>
      <c r="S418" s="152"/>
      <c r="T418" s="152"/>
      <c r="U418" s="152"/>
      <c r="V418" s="152"/>
      <c r="W418" s="152"/>
      <c r="X418" s="152"/>
      <c r="Y418" s="152"/>
    </row>
    <row r="419">
      <c r="A419" s="152"/>
      <c r="B419" s="152"/>
      <c r="C419" s="152"/>
      <c r="D419" s="152"/>
      <c r="E419" s="152"/>
      <c r="F419" s="152"/>
      <c r="G419" s="152"/>
      <c r="H419" s="152"/>
      <c r="I419" s="152"/>
      <c r="J419" s="152"/>
      <c r="K419" s="152"/>
      <c r="L419" s="152"/>
      <c r="M419" s="152"/>
      <c r="N419" s="152"/>
      <c r="O419" s="152"/>
      <c r="P419" s="152"/>
      <c r="Q419" s="152"/>
      <c r="R419" s="152"/>
      <c r="S419" s="152"/>
      <c r="T419" s="152"/>
      <c r="U419" s="152"/>
      <c r="V419" s="152"/>
      <c r="W419" s="152"/>
      <c r="X419" s="152"/>
      <c r="Y419" s="152"/>
    </row>
    <row r="420">
      <c r="A420" s="152"/>
      <c r="B420" s="152"/>
      <c r="C420" s="152"/>
      <c r="D420" s="152"/>
      <c r="E420" s="152"/>
      <c r="F420" s="152"/>
      <c r="G420" s="152"/>
      <c r="H420" s="152"/>
      <c r="I420" s="152"/>
      <c r="J420" s="152"/>
      <c r="K420" s="152"/>
      <c r="L420" s="152"/>
      <c r="M420" s="152"/>
      <c r="N420" s="152"/>
      <c r="O420" s="152"/>
      <c r="P420" s="152"/>
      <c r="Q420" s="152"/>
      <c r="R420" s="152"/>
      <c r="S420" s="152"/>
      <c r="T420" s="152"/>
      <c r="U420" s="152"/>
      <c r="V420" s="152"/>
      <c r="W420" s="152"/>
      <c r="X420" s="152"/>
      <c r="Y420" s="152"/>
    </row>
    <row r="421">
      <c r="A421" s="152"/>
      <c r="B421" s="152"/>
      <c r="C421" s="152"/>
      <c r="D421" s="152"/>
      <c r="E421" s="152"/>
      <c r="F421" s="152"/>
      <c r="G421" s="152"/>
      <c r="H421" s="152"/>
      <c r="I421" s="152"/>
      <c r="J421" s="152"/>
      <c r="K421" s="152"/>
      <c r="L421" s="152"/>
      <c r="M421" s="152"/>
      <c r="N421" s="152"/>
      <c r="O421" s="152"/>
      <c r="P421" s="152"/>
      <c r="Q421" s="152"/>
      <c r="R421" s="152"/>
      <c r="S421" s="152"/>
      <c r="T421" s="152"/>
      <c r="U421" s="152"/>
      <c r="V421" s="152"/>
      <c r="W421" s="152"/>
      <c r="X421" s="152"/>
      <c r="Y421" s="152"/>
    </row>
    <row r="422">
      <c r="A422" s="152"/>
      <c r="B422" s="152"/>
      <c r="C422" s="152"/>
      <c r="D422" s="152"/>
      <c r="E422" s="152"/>
      <c r="F422" s="152"/>
      <c r="G422" s="152"/>
      <c r="H422" s="152"/>
      <c r="I422" s="152"/>
      <c r="J422" s="152"/>
      <c r="K422" s="152"/>
      <c r="L422" s="152"/>
      <c r="M422" s="152"/>
      <c r="N422" s="152"/>
      <c r="O422" s="152"/>
      <c r="P422" s="152"/>
      <c r="Q422" s="152"/>
      <c r="R422" s="152"/>
      <c r="S422" s="152"/>
      <c r="T422" s="152"/>
      <c r="U422" s="152"/>
      <c r="V422" s="152"/>
      <c r="W422" s="152"/>
      <c r="X422" s="152"/>
      <c r="Y422" s="152"/>
    </row>
    <row r="423">
      <c r="A423" s="152"/>
      <c r="B423" s="152"/>
      <c r="C423" s="152"/>
      <c r="D423" s="152"/>
      <c r="E423" s="152"/>
      <c r="F423" s="152"/>
      <c r="G423" s="152"/>
      <c r="H423" s="152"/>
      <c r="I423" s="152"/>
      <c r="J423" s="152"/>
      <c r="K423" s="152"/>
      <c r="L423" s="152"/>
      <c r="M423" s="152"/>
      <c r="N423" s="152"/>
      <c r="O423" s="152"/>
      <c r="P423" s="152"/>
      <c r="Q423" s="152"/>
      <c r="R423" s="152"/>
      <c r="S423" s="152"/>
      <c r="T423" s="152"/>
      <c r="U423" s="152"/>
      <c r="V423" s="152"/>
      <c r="W423" s="152"/>
      <c r="X423" s="152"/>
      <c r="Y423" s="152"/>
    </row>
    <row r="424">
      <c r="A424" s="152"/>
      <c r="B424" s="152"/>
      <c r="C424" s="152"/>
      <c r="D424" s="152"/>
      <c r="E424" s="152"/>
      <c r="F424" s="152"/>
      <c r="G424" s="152"/>
      <c r="H424" s="152"/>
      <c r="I424" s="152"/>
      <c r="J424" s="152"/>
      <c r="K424" s="152"/>
      <c r="L424" s="152"/>
      <c r="M424" s="152"/>
      <c r="N424" s="152"/>
      <c r="O424" s="152"/>
      <c r="P424" s="152"/>
      <c r="Q424" s="152"/>
      <c r="R424" s="152"/>
      <c r="S424" s="152"/>
      <c r="T424" s="152"/>
      <c r="U424" s="152"/>
      <c r="V424" s="152"/>
      <c r="W424" s="152"/>
      <c r="X424" s="152"/>
      <c r="Y424" s="152"/>
    </row>
    <row r="425">
      <c r="A425" s="152"/>
      <c r="B425" s="152"/>
      <c r="C425" s="152"/>
      <c r="D425" s="152"/>
      <c r="E425" s="152"/>
      <c r="F425" s="152"/>
      <c r="G425" s="152"/>
      <c r="H425" s="152"/>
      <c r="I425" s="152"/>
      <c r="J425" s="152"/>
      <c r="K425" s="152"/>
      <c r="L425" s="152"/>
      <c r="M425" s="152"/>
      <c r="N425" s="152"/>
      <c r="O425" s="152"/>
      <c r="P425" s="152"/>
      <c r="Q425" s="152"/>
      <c r="R425" s="152"/>
      <c r="S425" s="152"/>
      <c r="T425" s="152"/>
      <c r="U425" s="152"/>
      <c r="V425" s="152"/>
      <c r="W425" s="152"/>
      <c r="X425" s="152"/>
      <c r="Y425" s="152"/>
    </row>
    <row r="426">
      <c r="A426" s="152"/>
      <c r="B426" s="152"/>
      <c r="C426" s="152"/>
      <c r="D426" s="152"/>
      <c r="E426" s="152"/>
      <c r="F426" s="152"/>
      <c r="G426" s="152"/>
      <c r="H426" s="152"/>
      <c r="I426" s="152"/>
      <c r="J426" s="152"/>
      <c r="K426" s="152"/>
      <c r="L426" s="152"/>
      <c r="M426" s="152"/>
      <c r="N426" s="152"/>
      <c r="O426" s="152"/>
      <c r="P426" s="152"/>
      <c r="Q426" s="152"/>
      <c r="R426" s="152"/>
      <c r="S426" s="152"/>
      <c r="T426" s="152"/>
      <c r="U426" s="152"/>
      <c r="V426" s="152"/>
      <c r="W426" s="152"/>
      <c r="X426" s="152"/>
      <c r="Y426" s="152"/>
    </row>
    <row r="427">
      <c r="A427" s="152"/>
      <c r="B427" s="152"/>
      <c r="C427" s="152"/>
      <c r="D427" s="152"/>
      <c r="E427" s="152"/>
      <c r="F427" s="152"/>
      <c r="G427" s="152"/>
      <c r="H427" s="152"/>
      <c r="I427" s="152"/>
      <c r="J427" s="152"/>
      <c r="K427" s="152"/>
      <c r="L427" s="152"/>
      <c r="M427" s="152"/>
      <c r="N427" s="152"/>
      <c r="O427" s="152"/>
      <c r="P427" s="152"/>
      <c r="Q427" s="152"/>
      <c r="R427" s="152"/>
      <c r="S427" s="152"/>
      <c r="T427" s="152"/>
      <c r="U427" s="152"/>
      <c r="V427" s="152"/>
      <c r="W427" s="152"/>
      <c r="X427" s="152"/>
      <c r="Y427" s="152"/>
    </row>
    <row r="428">
      <c r="A428" s="152"/>
      <c r="B428" s="152"/>
      <c r="C428" s="152"/>
      <c r="D428" s="152"/>
      <c r="E428" s="152"/>
      <c r="F428" s="152"/>
      <c r="G428" s="152"/>
      <c r="H428" s="152"/>
      <c r="I428" s="152"/>
      <c r="J428" s="152"/>
      <c r="K428" s="152"/>
      <c r="L428" s="152"/>
      <c r="M428" s="152"/>
      <c r="N428" s="152"/>
      <c r="O428" s="152"/>
      <c r="P428" s="152"/>
      <c r="Q428" s="152"/>
      <c r="R428" s="152"/>
      <c r="S428" s="152"/>
      <c r="T428" s="152"/>
      <c r="U428" s="152"/>
      <c r="V428" s="152"/>
      <c r="W428" s="152"/>
      <c r="X428" s="152"/>
      <c r="Y428" s="152"/>
    </row>
    <row r="429">
      <c r="A429" s="152"/>
      <c r="B429" s="152"/>
      <c r="C429" s="152"/>
      <c r="D429" s="152"/>
      <c r="E429" s="152"/>
      <c r="F429" s="152"/>
      <c r="G429" s="152"/>
      <c r="H429" s="152"/>
      <c r="I429" s="152"/>
      <c r="J429" s="152"/>
      <c r="K429" s="152"/>
      <c r="L429" s="152"/>
      <c r="M429" s="152"/>
      <c r="N429" s="152"/>
      <c r="O429" s="152"/>
      <c r="P429" s="152"/>
      <c r="Q429" s="152"/>
      <c r="R429" s="152"/>
      <c r="S429" s="152"/>
      <c r="T429" s="152"/>
      <c r="U429" s="152"/>
      <c r="V429" s="152"/>
      <c r="W429" s="152"/>
      <c r="X429" s="152"/>
      <c r="Y429" s="152"/>
    </row>
    <row r="430">
      <c r="A430" s="152"/>
      <c r="B430" s="152"/>
      <c r="C430" s="152"/>
      <c r="D430" s="152"/>
      <c r="E430" s="152"/>
      <c r="F430" s="152"/>
      <c r="G430" s="152"/>
      <c r="H430" s="152"/>
      <c r="I430" s="152"/>
      <c r="J430" s="152"/>
      <c r="K430" s="152"/>
      <c r="L430" s="152"/>
      <c r="M430" s="152"/>
      <c r="N430" s="152"/>
      <c r="O430" s="152"/>
      <c r="P430" s="152"/>
      <c r="Q430" s="152"/>
      <c r="R430" s="152"/>
      <c r="S430" s="152"/>
      <c r="T430" s="152"/>
      <c r="U430" s="152"/>
      <c r="V430" s="152"/>
      <c r="W430" s="152"/>
      <c r="X430" s="152"/>
      <c r="Y430" s="152"/>
    </row>
    <row r="431">
      <c r="A431" s="152"/>
      <c r="B431" s="152"/>
      <c r="C431" s="152"/>
      <c r="D431" s="152"/>
      <c r="E431" s="152"/>
      <c r="F431" s="152"/>
      <c r="G431" s="152"/>
      <c r="H431" s="152"/>
      <c r="I431" s="152"/>
      <c r="J431" s="152"/>
      <c r="K431" s="152"/>
      <c r="L431" s="152"/>
      <c r="M431" s="152"/>
      <c r="N431" s="152"/>
      <c r="O431" s="152"/>
      <c r="P431" s="152"/>
      <c r="Q431" s="152"/>
      <c r="R431" s="152"/>
      <c r="S431" s="152"/>
      <c r="T431" s="152"/>
      <c r="U431" s="152"/>
      <c r="V431" s="152"/>
      <c r="W431" s="152"/>
      <c r="X431" s="152"/>
      <c r="Y431" s="152"/>
    </row>
    <row r="432">
      <c r="A432" s="152"/>
      <c r="B432" s="152"/>
      <c r="C432" s="152"/>
      <c r="D432" s="152"/>
      <c r="E432" s="152"/>
      <c r="F432" s="152"/>
      <c r="G432" s="152"/>
      <c r="H432" s="152"/>
      <c r="I432" s="152"/>
      <c r="J432" s="152"/>
      <c r="K432" s="152"/>
      <c r="L432" s="152"/>
      <c r="M432" s="152"/>
      <c r="N432" s="152"/>
      <c r="O432" s="152"/>
      <c r="P432" s="152"/>
      <c r="Q432" s="152"/>
      <c r="R432" s="152"/>
      <c r="S432" s="152"/>
      <c r="T432" s="152"/>
      <c r="U432" s="152"/>
      <c r="V432" s="152"/>
      <c r="W432" s="152"/>
      <c r="X432" s="152"/>
      <c r="Y432" s="152"/>
    </row>
    <row r="433">
      <c r="A433" s="152"/>
      <c r="B433" s="152"/>
      <c r="C433" s="152"/>
      <c r="D433" s="152"/>
      <c r="E433" s="152"/>
      <c r="F433" s="152"/>
      <c r="G433" s="152"/>
      <c r="H433" s="152"/>
      <c r="I433" s="152"/>
      <c r="J433" s="152"/>
      <c r="K433" s="152"/>
      <c r="L433" s="152"/>
      <c r="M433" s="152"/>
      <c r="N433" s="152"/>
      <c r="O433" s="152"/>
      <c r="P433" s="152"/>
      <c r="Q433" s="152"/>
      <c r="R433" s="152"/>
      <c r="S433" s="152"/>
      <c r="T433" s="152"/>
      <c r="U433" s="152"/>
      <c r="V433" s="152"/>
      <c r="W433" s="152"/>
      <c r="X433" s="152"/>
      <c r="Y433" s="152"/>
    </row>
    <row r="434">
      <c r="A434" s="152"/>
      <c r="B434" s="152"/>
      <c r="C434" s="152"/>
      <c r="D434" s="152"/>
      <c r="E434" s="152"/>
      <c r="F434" s="152"/>
      <c r="G434" s="152"/>
      <c r="H434" s="152"/>
      <c r="I434" s="152"/>
      <c r="J434" s="152"/>
      <c r="K434" s="152"/>
      <c r="L434" s="152"/>
      <c r="M434" s="152"/>
      <c r="N434" s="152"/>
      <c r="O434" s="152"/>
      <c r="P434" s="152"/>
      <c r="Q434" s="152"/>
      <c r="R434" s="152"/>
      <c r="S434" s="152"/>
      <c r="T434" s="152"/>
      <c r="U434" s="152"/>
      <c r="V434" s="152"/>
      <c r="W434" s="152"/>
      <c r="X434" s="152"/>
      <c r="Y434" s="152"/>
    </row>
    <row r="435">
      <c r="A435" s="152"/>
      <c r="B435" s="152"/>
      <c r="C435" s="152"/>
      <c r="D435" s="152"/>
      <c r="E435" s="152"/>
      <c r="F435" s="152"/>
      <c r="G435" s="152"/>
      <c r="H435" s="152"/>
      <c r="I435" s="152"/>
      <c r="J435" s="152"/>
      <c r="K435" s="152"/>
      <c r="L435" s="152"/>
      <c r="M435" s="152"/>
      <c r="N435" s="152"/>
      <c r="O435" s="152"/>
      <c r="P435" s="152"/>
      <c r="Q435" s="152"/>
      <c r="R435" s="152"/>
      <c r="S435" s="152"/>
      <c r="T435" s="152"/>
      <c r="U435" s="152"/>
      <c r="V435" s="152"/>
      <c r="W435" s="152"/>
      <c r="X435" s="152"/>
      <c r="Y435" s="152"/>
    </row>
    <row r="436">
      <c r="A436" s="152"/>
      <c r="B436" s="152"/>
      <c r="C436" s="152"/>
      <c r="D436" s="152"/>
      <c r="E436" s="152"/>
      <c r="F436" s="152"/>
      <c r="G436" s="152"/>
      <c r="H436" s="152"/>
      <c r="I436" s="152"/>
      <c r="J436" s="152"/>
      <c r="K436" s="152"/>
      <c r="L436" s="152"/>
      <c r="M436" s="152"/>
      <c r="N436" s="152"/>
      <c r="O436" s="152"/>
      <c r="P436" s="152"/>
      <c r="Q436" s="152"/>
      <c r="R436" s="152"/>
      <c r="S436" s="152"/>
      <c r="T436" s="152"/>
      <c r="U436" s="152"/>
      <c r="V436" s="152"/>
      <c r="W436" s="152"/>
      <c r="X436" s="152"/>
      <c r="Y436" s="152"/>
    </row>
    <row r="437">
      <c r="A437" s="152"/>
      <c r="B437" s="152"/>
      <c r="C437" s="152"/>
      <c r="D437" s="152"/>
      <c r="E437" s="152"/>
      <c r="F437" s="152"/>
      <c r="G437" s="152"/>
      <c r="H437" s="152"/>
      <c r="I437" s="152"/>
      <c r="J437" s="152"/>
      <c r="K437" s="152"/>
      <c r="L437" s="152"/>
      <c r="M437" s="152"/>
      <c r="N437" s="152"/>
      <c r="O437" s="152"/>
      <c r="P437" s="152"/>
      <c r="Q437" s="152"/>
      <c r="R437" s="152"/>
      <c r="S437" s="152"/>
      <c r="T437" s="152"/>
      <c r="U437" s="152"/>
      <c r="V437" s="152"/>
      <c r="W437" s="152"/>
      <c r="X437" s="152"/>
      <c r="Y437" s="152"/>
    </row>
    <row r="438">
      <c r="A438" s="152"/>
      <c r="B438" s="152"/>
      <c r="C438" s="152"/>
      <c r="D438" s="152"/>
      <c r="E438" s="152"/>
      <c r="F438" s="152"/>
      <c r="G438" s="152"/>
      <c r="H438" s="152"/>
      <c r="I438" s="152"/>
      <c r="J438" s="152"/>
      <c r="K438" s="152"/>
      <c r="L438" s="152"/>
      <c r="M438" s="152"/>
      <c r="N438" s="152"/>
      <c r="O438" s="152"/>
      <c r="P438" s="152"/>
      <c r="Q438" s="152"/>
      <c r="R438" s="152"/>
      <c r="S438" s="152"/>
      <c r="T438" s="152"/>
      <c r="U438" s="152"/>
      <c r="V438" s="152"/>
      <c r="W438" s="152"/>
      <c r="X438" s="152"/>
      <c r="Y438" s="152"/>
    </row>
    <row r="439">
      <c r="A439" s="152"/>
      <c r="B439" s="152"/>
      <c r="C439" s="152"/>
      <c r="D439" s="152"/>
      <c r="E439" s="152"/>
      <c r="F439" s="152"/>
      <c r="G439" s="152"/>
      <c r="H439" s="152"/>
      <c r="I439" s="152"/>
      <c r="J439" s="152"/>
      <c r="K439" s="152"/>
      <c r="L439" s="152"/>
      <c r="M439" s="152"/>
      <c r="N439" s="152"/>
      <c r="O439" s="152"/>
      <c r="P439" s="152"/>
      <c r="Q439" s="152"/>
      <c r="R439" s="152"/>
      <c r="S439" s="152"/>
      <c r="T439" s="152"/>
      <c r="U439" s="152"/>
      <c r="V439" s="152"/>
      <c r="W439" s="152"/>
      <c r="X439" s="152"/>
      <c r="Y439" s="152"/>
    </row>
    <row r="440">
      <c r="A440" s="152"/>
      <c r="B440" s="152"/>
      <c r="C440" s="152"/>
      <c r="D440" s="152"/>
      <c r="E440" s="152"/>
      <c r="F440" s="152"/>
      <c r="G440" s="152"/>
      <c r="H440" s="152"/>
      <c r="I440" s="152"/>
      <c r="J440" s="152"/>
      <c r="K440" s="152"/>
      <c r="L440" s="152"/>
      <c r="M440" s="152"/>
      <c r="N440" s="152"/>
      <c r="O440" s="152"/>
      <c r="P440" s="152"/>
      <c r="Q440" s="152"/>
      <c r="R440" s="152"/>
      <c r="S440" s="152"/>
      <c r="T440" s="152"/>
      <c r="U440" s="152"/>
      <c r="V440" s="152"/>
      <c r="W440" s="152"/>
      <c r="X440" s="152"/>
      <c r="Y440" s="152"/>
    </row>
    <row r="441">
      <c r="A441" s="152"/>
      <c r="B441" s="152"/>
      <c r="C441" s="152"/>
      <c r="D441" s="152"/>
      <c r="E441" s="152"/>
      <c r="F441" s="152"/>
      <c r="G441" s="152"/>
      <c r="H441" s="152"/>
      <c r="I441" s="152"/>
      <c r="J441" s="152"/>
      <c r="K441" s="152"/>
      <c r="L441" s="152"/>
      <c r="M441" s="152"/>
      <c r="N441" s="152"/>
      <c r="O441" s="152"/>
      <c r="P441" s="152"/>
      <c r="Q441" s="152"/>
      <c r="R441" s="152"/>
      <c r="S441" s="152"/>
      <c r="T441" s="152"/>
      <c r="U441" s="152"/>
      <c r="V441" s="152"/>
      <c r="W441" s="152"/>
      <c r="X441" s="152"/>
      <c r="Y441" s="152"/>
    </row>
    <row r="442">
      <c r="A442" s="152"/>
      <c r="B442" s="152"/>
      <c r="C442" s="152"/>
      <c r="D442" s="152"/>
      <c r="E442" s="152"/>
      <c r="F442" s="152"/>
      <c r="G442" s="152"/>
      <c r="H442" s="152"/>
      <c r="I442" s="152"/>
      <c r="J442" s="152"/>
      <c r="K442" s="152"/>
      <c r="L442" s="152"/>
      <c r="M442" s="152"/>
      <c r="N442" s="152"/>
      <c r="O442" s="152"/>
      <c r="P442" s="152"/>
      <c r="Q442" s="152"/>
      <c r="R442" s="152"/>
      <c r="S442" s="152"/>
      <c r="T442" s="152"/>
      <c r="U442" s="152"/>
      <c r="V442" s="152"/>
      <c r="W442" s="152"/>
      <c r="X442" s="152"/>
      <c r="Y442" s="152"/>
    </row>
    <row r="443">
      <c r="A443" s="152"/>
      <c r="B443" s="152"/>
      <c r="C443" s="152"/>
      <c r="D443" s="152"/>
      <c r="E443" s="152"/>
      <c r="F443" s="152"/>
      <c r="G443" s="152"/>
      <c r="H443" s="152"/>
      <c r="I443" s="152"/>
      <c r="J443" s="152"/>
      <c r="K443" s="152"/>
      <c r="L443" s="152"/>
      <c r="M443" s="152"/>
      <c r="N443" s="152"/>
      <c r="O443" s="152"/>
      <c r="P443" s="152"/>
      <c r="Q443" s="152"/>
      <c r="R443" s="152"/>
      <c r="S443" s="152"/>
      <c r="T443" s="152"/>
      <c r="U443" s="152"/>
      <c r="V443" s="152"/>
      <c r="W443" s="152"/>
      <c r="X443" s="152"/>
      <c r="Y443" s="152"/>
    </row>
    <row r="444">
      <c r="A444" s="152"/>
      <c r="B444" s="152"/>
      <c r="C444" s="152"/>
      <c r="D444" s="152"/>
      <c r="E444" s="152"/>
      <c r="F444" s="152"/>
      <c r="G444" s="152"/>
      <c r="H444" s="152"/>
      <c r="I444" s="152"/>
      <c r="J444" s="152"/>
      <c r="K444" s="152"/>
      <c r="L444" s="152"/>
      <c r="M444" s="152"/>
      <c r="N444" s="152"/>
      <c r="O444" s="152"/>
      <c r="P444" s="152"/>
      <c r="Q444" s="152"/>
      <c r="R444" s="152"/>
      <c r="S444" s="152"/>
      <c r="T444" s="152"/>
      <c r="U444" s="152"/>
      <c r="V444" s="152"/>
      <c r="W444" s="152"/>
      <c r="X444" s="152"/>
      <c r="Y444" s="152"/>
    </row>
    <row r="445">
      <c r="A445" s="152"/>
      <c r="B445" s="152"/>
      <c r="C445" s="152"/>
      <c r="D445" s="152"/>
      <c r="E445" s="152"/>
      <c r="F445" s="152"/>
      <c r="G445" s="152"/>
      <c r="H445" s="152"/>
      <c r="I445" s="152"/>
      <c r="J445" s="152"/>
      <c r="K445" s="152"/>
      <c r="L445" s="152"/>
      <c r="M445" s="152"/>
      <c r="N445" s="152"/>
      <c r="O445" s="152"/>
      <c r="P445" s="152"/>
      <c r="Q445" s="152"/>
      <c r="R445" s="152"/>
      <c r="S445" s="152"/>
      <c r="T445" s="152"/>
      <c r="U445" s="152"/>
      <c r="V445" s="152"/>
      <c r="W445" s="152"/>
      <c r="X445" s="152"/>
      <c r="Y445" s="152"/>
    </row>
    <row r="446">
      <c r="A446" s="152"/>
      <c r="B446" s="152"/>
      <c r="C446" s="152"/>
      <c r="D446" s="152"/>
      <c r="E446" s="152"/>
      <c r="F446" s="152"/>
      <c r="G446" s="152"/>
      <c r="H446" s="152"/>
      <c r="I446" s="152"/>
      <c r="J446" s="152"/>
      <c r="K446" s="152"/>
      <c r="L446" s="152"/>
      <c r="M446" s="152"/>
      <c r="N446" s="152"/>
      <c r="O446" s="152"/>
      <c r="P446" s="152"/>
      <c r="Q446" s="152"/>
      <c r="R446" s="152"/>
      <c r="S446" s="152"/>
      <c r="T446" s="152"/>
      <c r="U446" s="152"/>
      <c r="V446" s="152"/>
      <c r="W446" s="152"/>
      <c r="X446" s="152"/>
      <c r="Y446" s="152"/>
    </row>
    <row r="447">
      <c r="A447" s="152"/>
      <c r="B447" s="152"/>
      <c r="C447" s="152"/>
      <c r="D447" s="152"/>
      <c r="E447" s="152"/>
      <c r="F447" s="152"/>
      <c r="G447" s="152"/>
      <c r="H447" s="152"/>
      <c r="I447" s="152"/>
      <c r="J447" s="152"/>
      <c r="K447" s="152"/>
      <c r="L447" s="152"/>
      <c r="M447" s="152"/>
      <c r="N447" s="152"/>
      <c r="O447" s="152"/>
      <c r="P447" s="152"/>
      <c r="Q447" s="152"/>
      <c r="R447" s="152"/>
      <c r="S447" s="152"/>
      <c r="T447" s="152"/>
      <c r="U447" s="152"/>
      <c r="V447" s="152"/>
      <c r="W447" s="152"/>
      <c r="X447" s="152"/>
      <c r="Y447" s="152"/>
    </row>
    <row r="448">
      <c r="A448" s="152"/>
      <c r="B448" s="152"/>
      <c r="C448" s="152"/>
      <c r="D448" s="152"/>
      <c r="E448" s="152"/>
      <c r="F448" s="152"/>
      <c r="G448" s="152"/>
      <c r="H448" s="152"/>
      <c r="I448" s="152"/>
      <c r="J448" s="152"/>
      <c r="K448" s="152"/>
      <c r="L448" s="152"/>
      <c r="M448" s="152"/>
      <c r="N448" s="152"/>
      <c r="O448" s="152"/>
      <c r="P448" s="152"/>
      <c r="Q448" s="152"/>
      <c r="R448" s="152"/>
      <c r="S448" s="152"/>
      <c r="T448" s="152"/>
      <c r="U448" s="152"/>
      <c r="V448" s="152"/>
      <c r="W448" s="152"/>
      <c r="X448" s="152"/>
      <c r="Y448" s="152"/>
    </row>
    <row r="449">
      <c r="A449" s="152"/>
      <c r="B449" s="152"/>
      <c r="C449" s="152"/>
      <c r="D449" s="152"/>
      <c r="E449" s="152"/>
      <c r="F449" s="152"/>
      <c r="G449" s="152"/>
      <c r="H449" s="152"/>
      <c r="I449" s="152"/>
      <c r="J449" s="152"/>
      <c r="K449" s="152"/>
      <c r="L449" s="152"/>
      <c r="M449" s="152"/>
      <c r="N449" s="152"/>
      <c r="O449" s="152"/>
      <c r="P449" s="152"/>
      <c r="Q449" s="152"/>
      <c r="R449" s="152"/>
      <c r="S449" s="152"/>
      <c r="T449" s="152"/>
      <c r="U449" s="152"/>
      <c r="V449" s="152"/>
      <c r="W449" s="152"/>
      <c r="X449" s="152"/>
      <c r="Y449" s="152"/>
    </row>
    <row r="450">
      <c r="A450" s="152"/>
      <c r="B450" s="152"/>
      <c r="C450" s="152"/>
      <c r="D450" s="152"/>
      <c r="E450" s="152"/>
      <c r="F450" s="152"/>
      <c r="G450" s="152"/>
      <c r="H450" s="152"/>
      <c r="I450" s="152"/>
      <c r="J450" s="152"/>
      <c r="K450" s="152"/>
      <c r="L450" s="152"/>
      <c r="M450" s="152"/>
      <c r="N450" s="152"/>
      <c r="O450" s="152"/>
      <c r="P450" s="152"/>
      <c r="Q450" s="152"/>
      <c r="R450" s="152"/>
      <c r="S450" s="152"/>
      <c r="T450" s="152"/>
      <c r="U450" s="152"/>
      <c r="V450" s="152"/>
      <c r="W450" s="152"/>
      <c r="X450" s="152"/>
      <c r="Y450" s="152"/>
    </row>
    <row r="451">
      <c r="A451" s="152"/>
      <c r="B451" s="152"/>
      <c r="C451" s="152"/>
      <c r="D451" s="152"/>
      <c r="E451" s="152"/>
      <c r="F451" s="152"/>
      <c r="G451" s="152"/>
      <c r="H451" s="152"/>
      <c r="I451" s="152"/>
      <c r="J451" s="152"/>
      <c r="K451" s="152"/>
      <c r="L451" s="152"/>
      <c r="M451" s="152"/>
      <c r="N451" s="152"/>
      <c r="O451" s="152"/>
      <c r="P451" s="152"/>
      <c r="Q451" s="152"/>
      <c r="R451" s="152"/>
      <c r="S451" s="152"/>
      <c r="T451" s="152"/>
      <c r="U451" s="152"/>
      <c r="V451" s="152"/>
      <c r="W451" s="152"/>
      <c r="X451" s="152"/>
      <c r="Y451" s="152"/>
    </row>
    <row r="452">
      <c r="A452" s="152"/>
      <c r="B452" s="152"/>
      <c r="C452" s="152"/>
      <c r="D452" s="152"/>
      <c r="E452" s="152"/>
      <c r="F452" s="152"/>
      <c r="G452" s="152"/>
      <c r="H452" s="152"/>
      <c r="I452" s="152"/>
      <c r="J452" s="152"/>
      <c r="K452" s="152"/>
      <c r="L452" s="152"/>
      <c r="M452" s="152"/>
      <c r="N452" s="152"/>
      <c r="O452" s="152"/>
      <c r="P452" s="152"/>
      <c r="Q452" s="152"/>
      <c r="R452" s="152"/>
      <c r="S452" s="152"/>
      <c r="T452" s="152"/>
      <c r="U452" s="152"/>
      <c r="V452" s="152"/>
      <c r="W452" s="152"/>
      <c r="X452" s="152"/>
      <c r="Y452" s="152"/>
    </row>
    <row r="453">
      <c r="A453" s="152"/>
      <c r="B453" s="152"/>
      <c r="C453" s="152"/>
      <c r="D453" s="152"/>
      <c r="E453" s="152"/>
      <c r="F453" s="152"/>
      <c r="G453" s="152"/>
      <c r="H453" s="152"/>
      <c r="I453" s="152"/>
      <c r="J453" s="152"/>
      <c r="K453" s="152"/>
      <c r="L453" s="152"/>
      <c r="M453" s="152"/>
      <c r="N453" s="152"/>
      <c r="O453" s="152"/>
      <c r="P453" s="152"/>
      <c r="Q453" s="152"/>
      <c r="R453" s="152"/>
      <c r="S453" s="152"/>
      <c r="T453" s="152"/>
      <c r="U453" s="152"/>
      <c r="V453" s="152"/>
      <c r="W453" s="152"/>
      <c r="X453" s="152"/>
      <c r="Y453" s="152"/>
    </row>
    <row r="454">
      <c r="A454" s="152"/>
      <c r="B454" s="152"/>
      <c r="C454" s="152"/>
      <c r="D454" s="152"/>
      <c r="E454" s="152"/>
      <c r="F454" s="152"/>
      <c r="G454" s="152"/>
      <c r="H454" s="152"/>
      <c r="I454" s="152"/>
      <c r="J454" s="152"/>
      <c r="K454" s="152"/>
      <c r="L454" s="152"/>
      <c r="M454" s="152"/>
      <c r="N454" s="152"/>
      <c r="O454" s="152"/>
      <c r="P454" s="152"/>
      <c r="Q454" s="152"/>
      <c r="R454" s="152"/>
      <c r="S454" s="152"/>
      <c r="T454" s="152"/>
      <c r="U454" s="152"/>
      <c r="V454" s="152"/>
      <c r="W454" s="152"/>
      <c r="X454" s="152"/>
      <c r="Y454" s="152"/>
    </row>
    <row r="455">
      <c r="A455" s="152"/>
      <c r="B455" s="152"/>
      <c r="C455" s="152"/>
      <c r="D455" s="152"/>
      <c r="E455" s="152"/>
      <c r="F455" s="152"/>
      <c r="G455" s="152"/>
      <c r="H455" s="152"/>
      <c r="I455" s="152"/>
      <c r="J455" s="152"/>
      <c r="K455" s="152"/>
      <c r="L455" s="152"/>
      <c r="M455" s="152"/>
      <c r="N455" s="152"/>
      <c r="O455" s="152"/>
      <c r="P455" s="152"/>
      <c r="Q455" s="152"/>
      <c r="R455" s="152"/>
      <c r="S455" s="152"/>
      <c r="T455" s="152"/>
      <c r="U455" s="152"/>
      <c r="V455" s="152"/>
      <c r="W455" s="152"/>
      <c r="X455" s="152"/>
      <c r="Y455" s="152"/>
    </row>
    <row r="456">
      <c r="A456" s="152"/>
      <c r="B456" s="152"/>
      <c r="C456" s="152"/>
      <c r="D456" s="152"/>
      <c r="E456" s="152"/>
      <c r="F456" s="152"/>
      <c r="G456" s="152"/>
      <c r="H456" s="152"/>
      <c r="I456" s="152"/>
      <c r="J456" s="152"/>
      <c r="K456" s="152"/>
      <c r="L456" s="152"/>
      <c r="M456" s="152"/>
      <c r="N456" s="152"/>
      <c r="O456" s="152"/>
      <c r="P456" s="152"/>
      <c r="Q456" s="152"/>
      <c r="R456" s="152"/>
      <c r="S456" s="152"/>
      <c r="T456" s="152"/>
      <c r="U456" s="152"/>
      <c r="V456" s="152"/>
      <c r="W456" s="152"/>
      <c r="X456" s="152"/>
      <c r="Y456" s="152"/>
    </row>
    <row r="457">
      <c r="A457" s="152"/>
      <c r="B457" s="152"/>
      <c r="C457" s="152"/>
      <c r="D457" s="152"/>
      <c r="E457" s="152"/>
      <c r="F457" s="152"/>
      <c r="G457" s="152"/>
      <c r="H457" s="152"/>
      <c r="I457" s="152"/>
      <c r="J457" s="152"/>
      <c r="K457" s="152"/>
      <c r="L457" s="152"/>
      <c r="M457" s="152"/>
      <c r="N457" s="152"/>
      <c r="O457" s="152"/>
      <c r="P457" s="152"/>
      <c r="Q457" s="152"/>
      <c r="R457" s="152"/>
      <c r="S457" s="152"/>
      <c r="T457" s="152"/>
      <c r="U457" s="152"/>
      <c r="V457" s="152"/>
      <c r="W457" s="152"/>
      <c r="X457" s="152"/>
      <c r="Y457" s="152"/>
    </row>
    <row r="458">
      <c r="A458" s="152"/>
      <c r="B458" s="152"/>
      <c r="C458" s="152"/>
      <c r="D458" s="152"/>
      <c r="E458" s="152"/>
      <c r="F458" s="152"/>
      <c r="G458" s="152"/>
      <c r="H458" s="152"/>
      <c r="I458" s="152"/>
      <c r="J458" s="152"/>
      <c r="K458" s="152"/>
      <c r="L458" s="152"/>
      <c r="M458" s="152"/>
      <c r="N458" s="152"/>
      <c r="O458" s="152"/>
      <c r="P458" s="152"/>
      <c r="Q458" s="152"/>
      <c r="R458" s="152"/>
      <c r="S458" s="152"/>
      <c r="T458" s="152"/>
      <c r="U458" s="152"/>
      <c r="V458" s="152"/>
      <c r="W458" s="152"/>
      <c r="X458" s="152"/>
      <c r="Y458" s="152"/>
    </row>
    <row r="459">
      <c r="A459" s="152"/>
      <c r="B459" s="152"/>
      <c r="C459" s="152"/>
      <c r="D459" s="152"/>
      <c r="E459" s="152"/>
      <c r="F459" s="152"/>
      <c r="G459" s="152"/>
      <c r="H459" s="152"/>
      <c r="I459" s="152"/>
      <c r="J459" s="152"/>
      <c r="K459" s="152"/>
      <c r="L459" s="152"/>
      <c r="M459" s="152"/>
      <c r="N459" s="152"/>
      <c r="O459" s="152"/>
      <c r="P459" s="152"/>
      <c r="Q459" s="152"/>
      <c r="R459" s="152"/>
      <c r="S459" s="152"/>
      <c r="T459" s="152"/>
      <c r="U459" s="152"/>
      <c r="V459" s="152"/>
      <c r="W459" s="152"/>
      <c r="X459" s="152"/>
      <c r="Y459" s="152"/>
    </row>
    <row r="460">
      <c r="A460" s="152"/>
      <c r="B460" s="152"/>
      <c r="C460" s="152"/>
      <c r="D460" s="152"/>
      <c r="E460" s="152"/>
      <c r="F460" s="152"/>
      <c r="G460" s="152"/>
      <c r="H460" s="152"/>
      <c r="I460" s="152"/>
      <c r="J460" s="152"/>
      <c r="K460" s="152"/>
      <c r="L460" s="152"/>
      <c r="M460" s="152"/>
      <c r="N460" s="152"/>
      <c r="O460" s="152"/>
      <c r="P460" s="152"/>
      <c r="Q460" s="152"/>
      <c r="R460" s="152"/>
      <c r="S460" s="152"/>
      <c r="T460" s="152"/>
      <c r="U460" s="152"/>
      <c r="V460" s="152"/>
      <c r="W460" s="152"/>
      <c r="X460" s="152"/>
      <c r="Y460" s="152"/>
    </row>
    <row r="461">
      <c r="A461" s="152"/>
      <c r="B461" s="152"/>
      <c r="C461" s="152"/>
      <c r="D461" s="152"/>
      <c r="E461" s="152"/>
      <c r="F461" s="152"/>
      <c r="G461" s="152"/>
      <c r="H461" s="152"/>
      <c r="I461" s="152"/>
      <c r="J461" s="152"/>
      <c r="K461" s="152"/>
      <c r="L461" s="152"/>
      <c r="M461" s="152"/>
      <c r="N461" s="152"/>
      <c r="O461" s="152"/>
      <c r="P461" s="152"/>
      <c r="Q461" s="152"/>
      <c r="R461" s="152"/>
      <c r="S461" s="152"/>
      <c r="T461" s="152"/>
      <c r="U461" s="152"/>
      <c r="V461" s="152"/>
      <c r="W461" s="152"/>
      <c r="X461" s="152"/>
      <c r="Y461" s="152"/>
    </row>
    <row r="462">
      <c r="A462" s="152"/>
      <c r="B462" s="152"/>
      <c r="C462" s="152"/>
      <c r="D462" s="152"/>
      <c r="E462" s="152"/>
      <c r="F462" s="152"/>
      <c r="G462" s="152"/>
      <c r="H462" s="152"/>
      <c r="I462" s="152"/>
      <c r="J462" s="152"/>
      <c r="K462" s="152"/>
      <c r="L462" s="152"/>
      <c r="M462" s="152"/>
      <c r="N462" s="152"/>
      <c r="O462" s="152"/>
      <c r="P462" s="152"/>
      <c r="Q462" s="152"/>
      <c r="R462" s="152"/>
      <c r="S462" s="152"/>
      <c r="T462" s="152"/>
      <c r="U462" s="152"/>
      <c r="V462" s="152"/>
      <c r="W462" s="152"/>
      <c r="X462" s="152"/>
      <c r="Y462" s="152"/>
    </row>
    <row r="463">
      <c r="A463" s="152"/>
      <c r="B463" s="152"/>
      <c r="C463" s="152"/>
      <c r="D463" s="152"/>
      <c r="E463" s="152"/>
      <c r="F463" s="152"/>
      <c r="G463" s="152"/>
      <c r="H463" s="152"/>
      <c r="I463" s="152"/>
      <c r="J463" s="152"/>
      <c r="K463" s="152"/>
      <c r="L463" s="152"/>
      <c r="M463" s="152"/>
      <c r="N463" s="152"/>
      <c r="O463" s="152"/>
      <c r="P463" s="152"/>
      <c r="Q463" s="152"/>
      <c r="R463" s="152"/>
      <c r="S463" s="152"/>
      <c r="T463" s="152"/>
      <c r="U463" s="152"/>
      <c r="V463" s="152"/>
      <c r="W463" s="152"/>
      <c r="X463" s="152"/>
      <c r="Y463" s="152"/>
    </row>
    <row r="464">
      <c r="A464" s="152"/>
      <c r="B464" s="152"/>
      <c r="C464" s="152"/>
      <c r="D464" s="152"/>
      <c r="E464" s="152"/>
      <c r="F464" s="152"/>
      <c r="G464" s="152"/>
      <c r="H464" s="152"/>
      <c r="I464" s="152"/>
      <c r="J464" s="152"/>
      <c r="K464" s="152"/>
      <c r="L464" s="152"/>
      <c r="M464" s="152"/>
      <c r="N464" s="152"/>
      <c r="O464" s="152"/>
      <c r="P464" s="152"/>
      <c r="Q464" s="152"/>
      <c r="R464" s="152"/>
      <c r="S464" s="152"/>
      <c r="T464" s="152"/>
      <c r="U464" s="152"/>
      <c r="V464" s="152"/>
      <c r="W464" s="152"/>
      <c r="X464" s="152"/>
      <c r="Y464" s="152"/>
    </row>
    <row r="465">
      <c r="A465" s="152"/>
      <c r="B465" s="152"/>
      <c r="C465" s="152"/>
      <c r="D465" s="152"/>
      <c r="E465" s="152"/>
      <c r="F465" s="152"/>
      <c r="G465" s="152"/>
      <c r="H465" s="152"/>
      <c r="I465" s="152"/>
      <c r="J465" s="152"/>
      <c r="K465" s="152"/>
      <c r="L465" s="152"/>
      <c r="M465" s="152"/>
      <c r="N465" s="152"/>
      <c r="O465" s="152"/>
      <c r="P465" s="152"/>
      <c r="Q465" s="152"/>
      <c r="R465" s="152"/>
      <c r="S465" s="152"/>
      <c r="T465" s="152"/>
      <c r="U465" s="152"/>
      <c r="V465" s="152"/>
      <c r="W465" s="152"/>
      <c r="X465" s="152"/>
      <c r="Y465" s="152"/>
    </row>
    <row r="466">
      <c r="A466" s="152"/>
      <c r="B466" s="152"/>
      <c r="C466" s="152"/>
      <c r="D466" s="152"/>
      <c r="E466" s="152"/>
      <c r="F466" s="152"/>
      <c r="G466" s="152"/>
      <c r="H466" s="152"/>
      <c r="I466" s="152"/>
      <c r="J466" s="152"/>
      <c r="K466" s="152"/>
      <c r="L466" s="152"/>
      <c r="M466" s="152"/>
      <c r="N466" s="152"/>
      <c r="O466" s="152"/>
      <c r="P466" s="152"/>
      <c r="Q466" s="152"/>
      <c r="R466" s="152"/>
      <c r="S466" s="152"/>
      <c r="T466" s="152"/>
      <c r="U466" s="152"/>
      <c r="V466" s="152"/>
      <c r="W466" s="152"/>
      <c r="X466" s="152"/>
      <c r="Y466" s="152"/>
    </row>
    <row r="467">
      <c r="A467" s="152"/>
      <c r="B467" s="152"/>
      <c r="C467" s="152"/>
      <c r="D467" s="152"/>
      <c r="E467" s="152"/>
      <c r="F467" s="152"/>
      <c r="G467" s="152"/>
      <c r="H467" s="152"/>
      <c r="I467" s="152"/>
      <c r="J467" s="152"/>
      <c r="K467" s="152"/>
      <c r="L467" s="152"/>
      <c r="M467" s="152"/>
      <c r="N467" s="152"/>
      <c r="O467" s="152"/>
      <c r="P467" s="152"/>
      <c r="Q467" s="152"/>
      <c r="R467" s="152"/>
      <c r="S467" s="152"/>
      <c r="T467" s="152"/>
      <c r="U467" s="152"/>
      <c r="V467" s="152"/>
      <c r="W467" s="152"/>
      <c r="X467" s="152"/>
      <c r="Y467" s="152"/>
    </row>
    <row r="468">
      <c r="A468" s="152"/>
      <c r="B468" s="152"/>
      <c r="C468" s="152"/>
      <c r="D468" s="152"/>
      <c r="E468" s="152"/>
      <c r="F468" s="152"/>
      <c r="G468" s="152"/>
      <c r="H468" s="152"/>
      <c r="I468" s="152"/>
      <c r="J468" s="152"/>
      <c r="K468" s="152"/>
      <c r="L468" s="152"/>
      <c r="M468" s="152"/>
      <c r="N468" s="152"/>
      <c r="O468" s="152"/>
      <c r="P468" s="152"/>
      <c r="Q468" s="152"/>
      <c r="R468" s="152"/>
      <c r="S468" s="152"/>
      <c r="T468" s="152"/>
      <c r="U468" s="152"/>
      <c r="V468" s="152"/>
      <c r="W468" s="152"/>
      <c r="X468" s="152"/>
      <c r="Y468" s="152"/>
    </row>
    <row r="469">
      <c r="A469" s="152"/>
      <c r="B469" s="152"/>
      <c r="C469" s="152"/>
      <c r="D469" s="152"/>
      <c r="E469" s="152"/>
      <c r="F469" s="152"/>
      <c r="G469" s="152"/>
      <c r="H469" s="152"/>
      <c r="I469" s="152"/>
      <c r="J469" s="152"/>
      <c r="K469" s="152"/>
      <c r="L469" s="152"/>
      <c r="M469" s="152"/>
      <c r="N469" s="152"/>
      <c r="O469" s="152"/>
      <c r="P469" s="152"/>
      <c r="Q469" s="152"/>
      <c r="R469" s="152"/>
      <c r="S469" s="152"/>
      <c r="T469" s="152"/>
      <c r="U469" s="152"/>
      <c r="V469" s="152"/>
      <c r="W469" s="152"/>
      <c r="X469" s="152"/>
      <c r="Y469" s="152"/>
    </row>
    <row r="470">
      <c r="A470" s="152"/>
      <c r="B470" s="152"/>
      <c r="C470" s="152"/>
      <c r="D470" s="152"/>
      <c r="E470" s="152"/>
      <c r="F470" s="152"/>
      <c r="G470" s="152"/>
      <c r="H470" s="152"/>
      <c r="I470" s="152"/>
      <c r="J470" s="152"/>
      <c r="K470" s="152"/>
      <c r="L470" s="152"/>
      <c r="M470" s="152"/>
      <c r="N470" s="152"/>
      <c r="O470" s="152"/>
      <c r="P470" s="152"/>
      <c r="Q470" s="152"/>
      <c r="R470" s="152"/>
      <c r="S470" s="152"/>
      <c r="T470" s="152"/>
      <c r="U470" s="152"/>
      <c r="V470" s="152"/>
      <c r="W470" s="152"/>
      <c r="X470" s="152"/>
      <c r="Y470" s="152"/>
    </row>
    <row r="471">
      <c r="A471" s="152"/>
      <c r="B471" s="152"/>
      <c r="C471" s="152"/>
      <c r="D471" s="152"/>
      <c r="E471" s="152"/>
      <c r="F471" s="152"/>
      <c r="G471" s="152"/>
      <c r="H471" s="152"/>
      <c r="I471" s="152"/>
      <c r="J471" s="152"/>
      <c r="K471" s="152"/>
      <c r="L471" s="152"/>
      <c r="M471" s="152"/>
      <c r="N471" s="152"/>
      <c r="O471" s="152"/>
      <c r="P471" s="152"/>
      <c r="Q471" s="152"/>
      <c r="R471" s="152"/>
      <c r="S471" s="152"/>
      <c r="T471" s="152"/>
      <c r="U471" s="152"/>
      <c r="V471" s="152"/>
      <c r="W471" s="152"/>
      <c r="X471" s="152"/>
      <c r="Y471" s="152"/>
    </row>
    <row r="472">
      <c r="A472" s="152"/>
      <c r="B472" s="152"/>
      <c r="C472" s="152"/>
      <c r="D472" s="152"/>
      <c r="E472" s="152"/>
      <c r="F472" s="152"/>
      <c r="G472" s="152"/>
      <c r="H472" s="152"/>
      <c r="I472" s="152"/>
      <c r="J472" s="152"/>
      <c r="K472" s="152"/>
      <c r="L472" s="152"/>
      <c r="M472" s="152"/>
      <c r="N472" s="152"/>
      <c r="O472" s="152"/>
      <c r="P472" s="152"/>
      <c r="Q472" s="152"/>
      <c r="R472" s="152"/>
      <c r="S472" s="152"/>
      <c r="T472" s="152"/>
      <c r="U472" s="152"/>
      <c r="V472" s="152"/>
      <c r="W472" s="152"/>
      <c r="X472" s="152"/>
      <c r="Y472" s="152"/>
    </row>
    <row r="473">
      <c r="A473" s="152"/>
      <c r="B473" s="152"/>
      <c r="C473" s="152"/>
      <c r="D473" s="152"/>
      <c r="E473" s="152"/>
      <c r="F473" s="152"/>
      <c r="G473" s="152"/>
      <c r="H473" s="152"/>
      <c r="I473" s="152"/>
      <c r="J473" s="152"/>
      <c r="K473" s="152"/>
      <c r="L473" s="152"/>
      <c r="M473" s="152"/>
      <c r="N473" s="152"/>
      <c r="O473" s="152"/>
      <c r="P473" s="152"/>
      <c r="Q473" s="152"/>
      <c r="R473" s="152"/>
      <c r="S473" s="152"/>
      <c r="T473" s="152"/>
      <c r="U473" s="152"/>
      <c r="V473" s="152"/>
      <c r="W473" s="152"/>
      <c r="X473" s="152"/>
      <c r="Y473" s="152"/>
    </row>
    <row r="474">
      <c r="A474" s="152"/>
      <c r="B474" s="152"/>
      <c r="C474" s="152"/>
      <c r="D474" s="152"/>
      <c r="E474" s="152"/>
      <c r="F474" s="152"/>
      <c r="G474" s="152"/>
      <c r="H474" s="152"/>
      <c r="I474" s="152"/>
      <c r="J474" s="152"/>
      <c r="K474" s="152"/>
      <c r="L474" s="152"/>
      <c r="M474" s="152"/>
      <c r="N474" s="152"/>
      <c r="O474" s="152"/>
      <c r="P474" s="152"/>
      <c r="Q474" s="152"/>
      <c r="R474" s="152"/>
      <c r="S474" s="152"/>
      <c r="T474" s="152"/>
      <c r="U474" s="152"/>
      <c r="V474" s="152"/>
      <c r="W474" s="152"/>
      <c r="X474" s="152"/>
      <c r="Y474" s="152"/>
    </row>
    <row r="475">
      <c r="A475" s="152"/>
      <c r="B475" s="152"/>
      <c r="C475" s="152"/>
      <c r="D475" s="152"/>
      <c r="E475" s="152"/>
      <c r="F475" s="152"/>
      <c r="G475" s="152"/>
      <c r="H475" s="152"/>
      <c r="I475" s="152"/>
      <c r="J475" s="152"/>
      <c r="K475" s="152"/>
      <c r="L475" s="152"/>
      <c r="M475" s="152"/>
      <c r="N475" s="152"/>
      <c r="O475" s="152"/>
      <c r="P475" s="152"/>
      <c r="Q475" s="152"/>
      <c r="R475" s="152"/>
      <c r="S475" s="152"/>
      <c r="T475" s="152"/>
      <c r="U475" s="152"/>
      <c r="V475" s="152"/>
      <c r="W475" s="152"/>
      <c r="X475" s="152"/>
      <c r="Y475" s="152"/>
    </row>
    <row r="476">
      <c r="A476" s="152"/>
      <c r="B476" s="152"/>
      <c r="C476" s="152"/>
      <c r="D476" s="152"/>
      <c r="E476" s="152"/>
      <c r="F476" s="152"/>
      <c r="G476" s="152"/>
      <c r="H476" s="152"/>
      <c r="I476" s="152"/>
      <c r="J476" s="152"/>
      <c r="K476" s="152"/>
      <c r="L476" s="152"/>
      <c r="M476" s="152"/>
      <c r="N476" s="152"/>
      <c r="O476" s="152"/>
      <c r="P476" s="152"/>
      <c r="Q476" s="152"/>
      <c r="R476" s="152"/>
      <c r="S476" s="152"/>
      <c r="T476" s="152"/>
      <c r="U476" s="152"/>
      <c r="V476" s="152"/>
      <c r="W476" s="152"/>
      <c r="X476" s="152"/>
      <c r="Y476" s="152"/>
    </row>
    <row r="477">
      <c r="A477" s="152"/>
      <c r="B477" s="152"/>
      <c r="C477" s="152"/>
      <c r="D477" s="152"/>
      <c r="E477" s="152"/>
      <c r="F477" s="152"/>
      <c r="G477" s="152"/>
      <c r="H477" s="152"/>
      <c r="I477" s="152"/>
      <c r="J477" s="152"/>
      <c r="K477" s="152"/>
      <c r="L477" s="152"/>
      <c r="M477" s="152"/>
      <c r="N477" s="152"/>
      <c r="O477" s="152"/>
      <c r="P477" s="152"/>
      <c r="Q477" s="152"/>
      <c r="R477" s="152"/>
      <c r="S477" s="152"/>
      <c r="T477" s="152"/>
      <c r="U477" s="152"/>
      <c r="V477" s="152"/>
      <c r="W477" s="152"/>
      <c r="X477" s="152"/>
      <c r="Y477" s="152"/>
    </row>
    <row r="478">
      <c r="A478" s="152"/>
      <c r="B478" s="152"/>
      <c r="C478" s="152"/>
      <c r="D478" s="152"/>
      <c r="E478" s="152"/>
      <c r="F478" s="152"/>
      <c r="G478" s="152"/>
      <c r="H478" s="152"/>
      <c r="I478" s="152"/>
      <c r="J478" s="152"/>
      <c r="K478" s="152"/>
      <c r="L478" s="152"/>
      <c r="M478" s="152"/>
      <c r="N478" s="152"/>
      <c r="O478" s="152"/>
      <c r="P478" s="152"/>
      <c r="Q478" s="152"/>
      <c r="R478" s="152"/>
      <c r="S478" s="152"/>
      <c r="T478" s="152"/>
      <c r="U478" s="152"/>
      <c r="V478" s="152"/>
      <c r="W478" s="152"/>
      <c r="X478" s="152"/>
      <c r="Y478" s="152"/>
    </row>
    <row r="479">
      <c r="A479" s="152"/>
      <c r="B479" s="152"/>
      <c r="C479" s="152"/>
      <c r="D479" s="152"/>
      <c r="E479" s="152"/>
      <c r="F479" s="152"/>
      <c r="G479" s="152"/>
      <c r="H479" s="152"/>
      <c r="I479" s="152"/>
      <c r="J479" s="152"/>
      <c r="K479" s="152"/>
      <c r="L479" s="152"/>
      <c r="M479" s="152"/>
      <c r="N479" s="152"/>
      <c r="O479" s="152"/>
      <c r="P479" s="152"/>
      <c r="Q479" s="152"/>
      <c r="R479" s="152"/>
      <c r="S479" s="152"/>
      <c r="T479" s="152"/>
      <c r="U479" s="152"/>
      <c r="V479" s="152"/>
      <c r="W479" s="152"/>
      <c r="X479" s="152"/>
      <c r="Y479" s="152"/>
    </row>
    <row r="480">
      <c r="A480" s="152"/>
      <c r="B480" s="152"/>
      <c r="C480" s="152"/>
      <c r="D480" s="152"/>
      <c r="E480" s="152"/>
      <c r="F480" s="152"/>
      <c r="G480" s="152"/>
      <c r="H480" s="152"/>
      <c r="I480" s="152"/>
      <c r="J480" s="152"/>
      <c r="K480" s="152"/>
      <c r="L480" s="152"/>
      <c r="M480" s="152"/>
      <c r="N480" s="152"/>
      <c r="O480" s="152"/>
      <c r="P480" s="152"/>
      <c r="Q480" s="152"/>
      <c r="R480" s="152"/>
      <c r="S480" s="152"/>
      <c r="T480" s="152"/>
      <c r="U480" s="152"/>
      <c r="V480" s="152"/>
      <c r="W480" s="152"/>
      <c r="X480" s="152"/>
      <c r="Y480" s="152"/>
    </row>
    <row r="481">
      <c r="A481" s="152"/>
      <c r="B481" s="152"/>
      <c r="C481" s="152"/>
      <c r="D481" s="152"/>
      <c r="E481" s="152"/>
      <c r="F481" s="152"/>
      <c r="G481" s="152"/>
      <c r="H481" s="152"/>
      <c r="I481" s="152"/>
      <c r="J481" s="152"/>
      <c r="K481" s="152"/>
      <c r="L481" s="152"/>
      <c r="M481" s="152"/>
      <c r="N481" s="152"/>
      <c r="O481" s="152"/>
      <c r="P481" s="152"/>
      <c r="Q481" s="152"/>
      <c r="R481" s="152"/>
      <c r="S481" s="152"/>
      <c r="T481" s="152"/>
      <c r="U481" s="152"/>
      <c r="V481" s="152"/>
      <c r="W481" s="152"/>
      <c r="X481" s="152"/>
      <c r="Y481" s="152"/>
    </row>
    <row r="482">
      <c r="A482" s="152"/>
      <c r="B482" s="152"/>
      <c r="C482" s="152"/>
      <c r="D482" s="152"/>
      <c r="E482" s="152"/>
      <c r="F482" s="152"/>
      <c r="G482" s="152"/>
      <c r="H482" s="152"/>
      <c r="I482" s="152"/>
      <c r="J482" s="152"/>
      <c r="K482" s="152"/>
      <c r="L482" s="152"/>
      <c r="M482" s="152"/>
      <c r="N482" s="152"/>
      <c r="O482" s="152"/>
      <c r="P482" s="152"/>
      <c r="Q482" s="152"/>
      <c r="R482" s="152"/>
      <c r="S482" s="152"/>
      <c r="T482" s="152"/>
      <c r="U482" s="152"/>
      <c r="V482" s="152"/>
      <c r="W482" s="152"/>
      <c r="X482" s="152"/>
      <c r="Y482" s="152"/>
    </row>
    <row r="483">
      <c r="A483" s="152"/>
      <c r="B483" s="152"/>
      <c r="C483" s="152"/>
      <c r="D483" s="152"/>
      <c r="E483" s="152"/>
      <c r="F483" s="152"/>
      <c r="G483" s="152"/>
      <c r="H483" s="152"/>
      <c r="I483" s="152"/>
      <c r="J483" s="152"/>
      <c r="K483" s="152"/>
      <c r="L483" s="152"/>
      <c r="M483" s="152"/>
      <c r="N483" s="152"/>
      <c r="O483" s="152"/>
      <c r="P483" s="152"/>
      <c r="Q483" s="152"/>
      <c r="R483" s="152"/>
      <c r="S483" s="152"/>
      <c r="T483" s="152"/>
      <c r="U483" s="152"/>
      <c r="V483" s="152"/>
      <c r="W483" s="152"/>
      <c r="X483" s="152"/>
      <c r="Y483" s="152"/>
    </row>
    <row r="484">
      <c r="A484" s="152"/>
      <c r="B484" s="152"/>
      <c r="C484" s="152"/>
      <c r="D484" s="152"/>
      <c r="E484" s="152"/>
      <c r="F484" s="152"/>
      <c r="G484" s="152"/>
      <c r="H484" s="152"/>
      <c r="I484" s="152"/>
      <c r="J484" s="152"/>
      <c r="K484" s="152"/>
      <c r="L484" s="152"/>
      <c r="M484" s="152"/>
      <c r="N484" s="152"/>
      <c r="O484" s="152"/>
      <c r="P484" s="152"/>
      <c r="Q484" s="152"/>
      <c r="R484" s="152"/>
      <c r="S484" s="152"/>
      <c r="T484" s="152"/>
      <c r="U484" s="152"/>
      <c r="V484" s="152"/>
      <c r="W484" s="152"/>
      <c r="X484" s="152"/>
      <c r="Y484" s="152"/>
    </row>
    <row r="485">
      <c r="A485" s="152"/>
      <c r="B485" s="152"/>
      <c r="C485" s="152"/>
      <c r="D485" s="152"/>
      <c r="E485" s="152"/>
      <c r="F485" s="152"/>
      <c r="G485" s="152"/>
      <c r="H485" s="152"/>
      <c r="I485" s="152"/>
      <c r="J485" s="152"/>
      <c r="K485" s="152"/>
      <c r="L485" s="152"/>
      <c r="M485" s="152"/>
      <c r="N485" s="152"/>
      <c r="O485" s="152"/>
      <c r="P485" s="152"/>
      <c r="Q485" s="152"/>
      <c r="R485" s="152"/>
      <c r="S485" s="152"/>
      <c r="T485" s="152"/>
      <c r="U485" s="152"/>
      <c r="V485" s="152"/>
      <c r="W485" s="152"/>
      <c r="X485" s="152"/>
      <c r="Y485" s="152"/>
    </row>
    <row r="486">
      <c r="A486" s="152"/>
      <c r="B486" s="152"/>
      <c r="C486" s="152"/>
      <c r="D486" s="152"/>
      <c r="E486" s="152"/>
      <c r="F486" s="152"/>
      <c r="G486" s="152"/>
      <c r="H486" s="152"/>
      <c r="I486" s="152"/>
      <c r="J486" s="152"/>
      <c r="K486" s="152"/>
      <c r="L486" s="152"/>
      <c r="M486" s="152"/>
      <c r="N486" s="152"/>
      <c r="O486" s="152"/>
      <c r="P486" s="152"/>
      <c r="Q486" s="152"/>
      <c r="R486" s="152"/>
      <c r="S486" s="152"/>
      <c r="T486" s="152"/>
      <c r="U486" s="152"/>
      <c r="V486" s="152"/>
      <c r="W486" s="152"/>
      <c r="X486" s="152"/>
      <c r="Y486" s="152"/>
    </row>
    <row r="487">
      <c r="A487" s="152"/>
      <c r="B487" s="152"/>
      <c r="C487" s="152"/>
      <c r="D487" s="152"/>
      <c r="E487" s="152"/>
      <c r="F487" s="152"/>
      <c r="G487" s="152"/>
      <c r="H487" s="152"/>
      <c r="I487" s="152"/>
      <c r="J487" s="152"/>
      <c r="K487" s="152"/>
      <c r="L487" s="152"/>
      <c r="M487" s="152"/>
      <c r="N487" s="152"/>
      <c r="O487" s="152"/>
      <c r="P487" s="152"/>
      <c r="Q487" s="152"/>
      <c r="R487" s="152"/>
      <c r="S487" s="152"/>
      <c r="T487" s="152"/>
      <c r="U487" s="152"/>
      <c r="V487" s="152"/>
      <c r="W487" s="152"/>
      <c r="X487" s="152"/>
      <c r="Y487" s="152"/>
    </row>
    <row r="488">
      <c r="A488" s="152"/>
      <c r="B488" s="152"/>
      <c r="C488" s="152"/>
      <c r="D488" s="152"/>
      <c r="E488" s="152"/>
      <c r="F488" s="152"/>
      <c r="G488" s="152"/>
      <c r="H488" s="152"/>
      <c r="I488" s="152"/>
      <c r="J488" s="152"/>
      <c r="K488" s="152"/>
      <c r="L488" s="152"/>
      <c r="M488" s="152"/>
      <c r="N488" s="152"/>
      <c r="O488" s="152"/>
      <c r="P488" s="152"/>
      <c r="Q488" s="152"/>
      <c r="R488" s="152"/>
      <c r="S488" s="152"/>
      <c r="T488" s="152"/>
      <c r="U488" s="152"/>
      <c r="V488" s="152"/>
      <c r="W488" s="152"/>
      <c r="X488" s="152"/>
      <c r="Y488" s="152"/>
    </row>
    <row r="489">
      <c r="A489" s="152"/>
      <c r="B489" s="152"/>
      <c r="C489" s="152"/>
      <c r="D489" s="152"/>
      <c r="E489" s="152"/>
      <c r="F489" s="152"/>
      <c r="G489" s="152"/>
      <c r="H489" s="152"/>
      <c r="I489" s="152"/>
      <c r="J489" s="152"/>
      <c r="K489" s="152"/>
      <c r="L489" s="152"/>
      <c r="M489" s="152"/>
      <c r="N489" s="152"/>
      <c r="O489" s="152"/>
      <c r="P489" s="152"/>
      <c r="Q489" s="152"/>
      <c r="R489" s="152"/>
      <c r="S489" s="152"/>
      <c r="T489" s="152"/>
      <c r="U489" s="152"/>
      <c r="V489" s="152"/>
      <c r="W489" s="152"/>
      <c r="X489" s="152"/>
      <c r="Y489" s="152"/>
    </row>
    <row r="490">
      <c r="A490" s="152"/>
      <c r="B490" s="152"/>
      <c r="C490" s="152"/>
      <c r="D490" s="152"/>
      <c r="E490" s="152"/>
      <c r="F490" s="152"/>
      <c r="G490" s="152"/>
      <c r="H490" s="152"/>
      <c r="I490" s="152"/>
      <c r="J490" s="152"/>
      <c r="K490" s="152"/>
      <c r="L490" s="152"/>
      <c r="M490" s="152"/>
      <c r="N490" s="152"/>
      <c r="O490" s="152"/>
      <c r="P490" s="152"/>
      <c r="Q490" s="152"/>
      <c r="R490" s="152"/>
      <c r="S490" s="152"/>
      <c r="T490" s="152"/>
      <c r="U490" s="152"/>
      <c r="V490" s="152"/>
      <c r="W490" s="152"/>
      <c r="X490" s="152"/>
      <c r="Y490" s="152"/>
    </row>
    <row r="491">
      <c r="A491" s="152"/>
      <c r="B491" s="152"/>
      <c r="C491" s="152"/>
      <c r="D491" s="152"/>
      <c r="E491" s="152"/>
      <c r="F491" s="152"/>
      <c r="G491" s="152"/>
      <c r="H491" s="152"/>
      <c r="I491" s="152"/>
      <c r="J491" s="152"/>
      <c r="K491" s="152"/>
      <c r="L491" s="152"/>
      <c r="M491" s="152"/>
      <c r="N491" s="152"/>
      <c r="O491" s="152"/>
      <c r="P491" s="152"/>
      <c r="Q491" s="152"/>
      <c r="R491" s="152"/>
      <c r="S491" s="152"/>
      <c r="T491" s="152"/>
      <c r="U491" s="152"/>
      <c r="V491" s="152"/>
      <c r="W491" s="152"/>
      <c r="X491" s="152"/>
      <c r="Y491" s="152"/>
    </row>
    <row r="492">
      <c r="A492" s="152"/>
      <c r="B492" s="152"/>
      <c r="C492" s="152"/>
      <c r="D492" s="152"/>
      <c r="E492" s="152"/>
      <c r="F492" s="152"/>
      <c r="G492" s="152"/>
      <c r="H492" s="152"/>
      <c r="I492" s="152"/>
      <c r="J492" s="152"/>
      <c r="K492" s="152"/>
      <c r="L492" s="152"/>
      <c r="M492" s="152"/>
      <c r="N492" s="152"/>
      <c r="O492" s="152"/>
      <c r="P492" s="152"/>
      <c r="Q492" s="152"/>
      <c r="R492" s="152"/>
      <c r="S492" s="152"/>
      <c r="T492" s="152"/>
      <c r="U492" s="152"/>
      <c r="V492" s="152"/>
      <c r="W492" s="152"/>
      <c r="X492" s="152"/>
      <c r="Y492" s="152"/>
    </row>
    <row r="493">
      <c r="A493" s="152"/>
      <c r="B493" s="152"/>
      <c r="C493" s="152"/>
      <c r="D493" s="152"/>
      <c r="E493" s="152"/>
      <c r="F493" s="152"/>
      <c r="G493" s="152"/>
      <c r="H493" s="152"/>
      <c r="I493" s="152"/>
      <c r="J493" s="152"/>
      <c r="K493" s="152"/>
      <c r="L493" s="152"/>
      <c r="M493" s="152"/>
      <c r="N493" s="152"/>
      <c r="O493" s="152"/>
      <c r="P493" s="152"/>
      <c r="Q493" s="152"/>
      <c r="R493" s="152"/>
      <c r="S493" s="152"/>
      <c r="T493" s="152"/>
      <c r="U493" s="152"/>
      <c r="V493" s="152"/>
      <c r="W493" s="152"/>
      <c r="X493" s="152"/>
      <c r="Y493" s="152"/>
    </row>
    <row r="494">
      <c r="A494" s="152"/>
      <c r="B494" s="152"/>
      <c r="C494" s="152"/>
      <c r="D494" s="152"/>
      <c r="E494" s="152"/>
      <c r="F494" s="152"/>
      <c r="G494" s="152"/>
      <c r="H494" s="152"/>
      <c r="I494" s="152"/>
      <c r="J494" s="152"/>
      <c r="K494" s="152"/>
      <c r="L494" s="152"/>
      <c r="M494" s="152"/>
      <c r="N494" s="152"/>
      <c r="O494" s="152"/>
      <c r="P494" s="152"/>
      <c r="Q494" s="152"/>
      <c r="R494" s="152"/>
      <c r="S494" s="152"/>
      <c r="T494" s="152"/>
      <c r="U494" s="152"/>
      <c r="V494" s="152"/>
      <c r="W494" s="152"/>
      <c r="X494" s="152"/>
      <c r="Y494" s="152"/>
    </row>
    <row r="495">
      <c r="A495" s="152"/>
      <c r="B495" s="152"/>
      <c r="C495" s="152"/>
      <c r="D495" s="152"/>
      <c r="E495" s="152"/>
      <c r="F495" s="152"/>
      <c r="G495" s="152"/>
      <c r="H495" s="152"/>
      <c r="I495" s="152"/>
      <c r="J495" s="152"/>
      <c r="K495" s="152"/>
      <c r="L495" s="152"/>
      <c r="M495" s="152"/>
      <c r="N495" s="152"/>
      <c r="O495" s="152"/>
      <c r="P495" s="152"/>
      <c r="Q495" s="152"/>
      <c r="R495" s="152"/>
      <c r="S495" s="152"/>
      <c r="T495" s="152"/>
      <c r="U495" s="152"/>
      <c r="V495" s="152"/>
      <c r="W495" s="152"/>
      <c r="X495" s="152"/>
      <c r="Y495" s="152"/>
    </row>
    <row r="496">
      <c r="A496" s="152"/>
      <c r="B496" s="152"/>
      <c r="C496" s="152"/>
      <c r="D496" s="152"/>
      <c r="E496" s="152"/>
      <c r="F496" s="152"/>
      <c r="G496" s="152"/>
      <c r="H496" s="152"/>
      <c r="I496" s="152"/>
      <c r="J496" s="152"/>
      <c r="K496" s="152"/>
      <c r="L496" s="152"/>
      <c r="M496" s="152"/>
      <c r="N496" s="152"/>
      <c r="O496" s="152"/>
      <c r="P496" s="152"/>
      <c r="Q496" s="152"/>
      <c r="R496" s="152"/>
      <c r="S496" s="152"/>
      <c r="T496" s="152"/>
      <c r="U496" s="152"/>
      <c r="V496" s="152"/>
      <c r="W496" s="152"/>
      <c r="X496" s="152"/>
      <c r="Y496" s="152"/>
    </row>
    <row r="497">
      <c r="A497" s="152"/>
      <c r="B497" s="152"/>
      <c r="C497" s="152"/>
      <c r="D497" s="152"/>
      <c r="E497" s="152"/>
      <c r="F497" s="152"/>
      <c r="G497" s="152"/>
      <c r="H497" s="152"/>
      <c r="I497" s="152"/>
      <c r="J497" s="152"/>
      <c r="K497" s="152"/>
      <c r="L497" s="152"/>
      <c r="M497" s="152"/>
      <c r="N497" s="152"/>
      <c r="O497" s="152"/>
      <c r="P497" s="152"/>
      <c r="Q497" s="152"/>
      <c r="R497" s="152"/>
      <c r="S497" s="152"/>
      <c r="T497" s="152"/>
      <c r="U497" s="152"/>
      <c r="V497" s="152"/>
      <c r="W497" s="152"/>
      <c r="X497" s="152"/>
      <c r="Y497" s="152"/>
    </row>
    <row r="498">
      <c r="A498" s="152"/>
      <c r="B498" s="152"/>
      <c r="C498" s="152"/>
      <c r="D498" s="152"/>
      <c r="E498" s="152"/>
      <c r="F498" s="152"/>
      <c r="G498" s="152"/>
      <c r="H498" s="152"/>
      <c r="I498" s="152"/>
      <c r="J498" s="152"/>
      <c r="K498" s="152"/>
      <c r="L498" s="152"/>
      <c r="M498" s="152"/>
      <c r="N498" s="152"/>
      <c r="O498" s="152"/>
      <c r="P498" s="152"/>
      <c r="Q498" s="152"/>
      <c r="R498" s="152"/>
      <c r="S498" s="152"/>
      <c r="T498" s="152"/>
      <c r="U498" s="152"/>
      <c r="V498" s="152"/>
      <c r="W498" s="152"/>
      <c r="X498" s="152"/>
      <c r="Y498" s="152"/>
    </row>
    <row r="499">
      <c r="A499" s="152"/>
      <c r="B499" s="152"/>
      <c r="C499" s="152"/>
      <c r="D499" s="152"/>
      <c r="E499" s="152"/>
      <c r="F499" s="152"/>
      <c r="G499" s="152"/>
      <c r="H499" s="152"/>
      <c r="I499" s="152"/>
      <c r="J499" s="152"/>
      <c r="K499" s="152"/>
      <c r="L499" s="152"/>
      <c r="M499" s="152"/>
      <c r="N499" s="152"/>
      <c r="O499" s="152"/>
      <c r="P499" s="152"/>
      <c r="Q499" s="152"/>
      <c r="R499" s="152"/>
      <c r="S499" s="152"/>
      <c r="T499" s="152"/>
      <c r="U499" s="152"/>
      <c r="V499" s="152"/>
      <c r="W499" s="152"/>
      <c r="X499" s="152"/>
      <c r="Y499" s="152"/>
    </row>
    <row r="500">
      <c r="A500" s="152"/>
      <c r="B500" s="152"/>
      <c r="C500" s="152"/>
      <c r="D500" s="152"/>
      <c r="E500" s="152"/>
      <c r="F500" s="152"/>
      <c r="G500" s="152"/>
      <c r="H500" s="152"/>
      <c r="I500" s="152"/>
      <c r="J500" s="152"/>
      <c r="K500" s="152"/>
      <c r="L500" s="152"/>
      <c r="M500" s="152"/>
      <c r="N500" s="152"/>
      <c r="O500" s="152"/>
      <c r="P500" s="152"/>
      <c r="Q500" s="152"/>
      <c r="R500" s="152"/>
      <c r="S500" s="152"/>
      <c r="T500" s="152"/>
      <c r="U500" s="152"/>
      <c r="V500" s="152"/>
      <c r="W500" s="152"/>
      <c r="X500" s="152"/>
      <c r="Y500" s="152"/>
    </row>
    <row r="501">
      <c r="A501" s="152"/>
      <c r="B501" s="152"/>
      <c r="C501" s="152"/>
      <c r="D501" s="152"/>
      <c r="E501" s="152"/>
      <c r="F501" s="152"/>
      <c r="G501" s="152"/>
      <c r="H501" s="152"/>
      <c r="I501" s="152"/>
      <c r="J501" s="152"/>
      <c r="K501" s="152"/>
      <c r="L501" s="152"/>
      <c r="M501" s="152"/>
      <c r="N501" s="152"/>
      <c r="O501" s="152"/>
      <c r="P501" s="152"/>
      <c r="Q501" s="152"/>
      <c r="R501" s="152"/>
      <c r="S501" s="152"/>
      <c r="T501" s="152"/>
      <c r="U501" s="152"/>
      <c r="V501" s="152"/>
      <c r="W501" s="152"/>
      <c r="X501" s="152"/>
      <c r="Y501" s="152"/>
    </row>
    <row r="502">
      <c r="A502" s="152"/>
      <c r="B502" s="152"/>
      <c r="C502" s="152"/>
      <c r="D502" s="152"/>
      <c r="E502" s="152"/>
      <c r="F502" s="152"/>
      <c r="G502" s="152"/>
      <c r="H502" s="152"/>
      <c r="I502" s="152"/>
      <c r="J502" s="152"/>
      <c r="K502" s="152"/>
      <c r="L502" s="152"/>
      <c r="M502" s="152"/>
      <c r="N502" s="152"/>
      <c r="O502" s="152"/>
      <c r="P502" s="152"/>
      <c r="Q502" s="152"/>
      <c r="R502" s="152"/>
      <c r="S502" s="152"/>
      <c r="T502" s="152"/>
      <c r="U502" s="152"/>
      <c r="V502" s="152"/>
      <c r="W502" s="152"/>
      <c r="X502" s="152"/>
      <c r="Y502" s="152"/>
    </row>
    <row r="503">
      <c r="A503" s="152"/>
      <c r="B503" s="152"/>
      <c r="C503" s="152"/>
      <c r="D503" s="152"/>
      <c r="E503" s="152"/>
      <c r="F503" s="152"/>
      <c r="G503" s="152"/>
      <c r="H503" s="152"/>
      <c r="I503" s="152"/>
      <c r="J503" s="152"/>
      <c r="K503" s="152"/>
      <c r="L503" s="152"/>
      <c r="M503" s="152"/>
      <c r="N503" s="152"/>
      <c r="O503" s="152"/>
      <c r="P503" s="152"/>
      <c r="Q503" s="152"/>
      <c r="R503" s="152"/>
      <c r="S503" s="152"/>
      <c r="T503" s="152"/>
      <c r="U503" s="152"/>
      <c r="V503" s="152"/>
      <c r="W503" s="152"/>
      <c r="X503" s="152"/>
      <c r="Y503" s="152"/>
    </row>
    <row r="504">
      <c r="A504" s="152"/>
      <c r="B504" s="152"/>
      <c r="C504" s="152"/>
      <c r="D504" s="152"/>
      <c r="E504" s="152"/>
      <c r="F504" s="152"/>
      <c r="G504" s="152"/>
      <c r="H504" s="152"/>
      <c r="I504" s="152"/>
      <c r="J504" s="152"/>
      <c r="K504" s="152"/>
      <c r="L504" s="152"/>
      <c r="M504" s="152"/>
      <c r="N504" s="152"/>
      <c r="O504" s="152"/>
      <c r="P504" s="152"/>
      <c r="Q504" s="152"/>
      <c r="R504" s="152"/>
      <c r="S504" s="152"/>
      <c r="T504" s="152"/>
      <c r="U504" s="152"/>
      <c r="V504" s="152"/>
      <c r="W504" s="152"/>
      <c r="X504" s="152"/>
      <c r="Y504" s="152"/>
    </row>
    <row r="505">
      <c r="A505" s="152"/>
      <c r="B505" s="152"/>
      <c r="C505" s="152"/>
      <c r="D505" s="152"/>
      <c r="E505" s="152"/>
      <c r="F505" s="152"/>
      <c r="G505" s="152"/>
      <c r="H505" s="152"/>
      <c r="I505" s="152"/>
      <c r="J505" s="152"/>
      <c r="K505" s="152"/>
      <c r="L505" s="152"/>
      <c r="M505" s="152"/>
      <c r="N505" s="152"/>
      <c r="O505" s="152"/>
      <c r="P505" s="152"/>
      <c r="Q505" s="152"/>
      <c r="R505" s="152"/>
      <c r="S505" s="152"/>
      <c r="T505" s="152"/>
      <c r="U505" s="152"/>
      <c r="V505" s="152"/>
      <c r="W505" s="152"/>
      <c r="X505" s="152"/>
      <c r="Y505" s="152"/>
    </row>
    <row r="506">
      <c r="A506" s="152"/>
      <c r="B506" s="152"/>
      <c r="C506" s="152"/>
      <c r="D506" s="152"/>
      <c r="E506" s="152"/>
      <c r="F506" s="152"/>
      <c r="G506" s="152"/>
      <c r="H506" s="152"/>
      <c r="I506" s="152"/>
      <c r="J506" s="152"/>
      <c r="K506" s="152"/>
      <c r="L506" s="152"/>
      <c r="M506" s="152"/>
      <c r="N506" s="152"/>
      <c r="O506" s="152"/>
      <c r="P506" s="152"/>
      <c r="Q506" s="152"/>
      <c r="R506" s="152"/>
      <c r="S506" s="152"/>
      <c r="T506" s="152"/>
      <c r="U506" s="152"/>
      <c r="V506" s="152"/>
      <c r="W506" s="152"/>
      <c r="X506" s="152"/>
      <c r="Y506" s="152"/>
    </row>
    <row r="507">
      <c r="A507" s="152"/>
      <c r="B507" s="152"/>
      <c r="C507" s="152"/>
      <c r="D507" s="152"/>
      <c r="E507" s="152"/>
      <c r="F507" s="152"/>
      <c r="G507" s="152"/>
      <c r="H507" s="152"/>
      <c r="I507" s="152"/>
      <c r="J507" s="152"/>
      <c r="K507" s="152"/>
      <c r="L507" s="152"/>
      <c r="M507" s="152"/>
      <c r="N507" s="152"/>
      <c r="O507" s="152"/>
      <c r="P507" s="152"/>
      <c r="Q507" s="152"/>
      <c r="R507" s="152"/>
      <c r="S507" s="152"/>
      <c r="T507" s="152"/>
      <c r="U507" s="152"/>
      <c r="V507" s="152"/>
      <c r="W507" s="152"/>
      <c r="X507" s="152"/>
      <c r="Y507" s="152"/>
    </row>
    <row r="508">
      <c r="A508" s="152"/>
      <c r="B508" s="152"/>
      <c r="C508" s="152"/>
      <c r="D508" s="152"/>
      <c r="E508" s="152"/>
      <c r="F508" s="152"/>
      <c r="G508" s="152"/>
      <c r="H508" s="152"/>
      <c r="I508" s="152"/>
      <c r="J508" s="152"/>
      <c r="K508" s="152"/>
      <c r="L508" s="152"/>
      <c r="M508" s="152"/>
      <c r="N508" s="152"/>
      <c r="O508" s="152"/>
      <c r="P508" s="152"/>
      <c r="Q508" s="152"/>
      <c r="R508" s="152"/>
      <c r="S508" s="152"/>
      <c r="T508" s="152"/>
      <c r="U508" s="152"/>
      <c r="V508" s="152"/>
      <c r="W508" s="152"/>
      <c r="X508" s="152"/>
      <c r="Y508" s="152"/>
    </row>
    <row r="509">
      <c r="A509" s="152"/>
      <c r="B509" s="152"/>
      <c r="C509" s="152"/>
      <c r="D509" s="152"/>
      <c r="E509" s="152"/>
      <c r="F509" s="152"/>
      <c r="G509" s="152"/>
      <c r="H509" s="152"/>
      <c r="I509" s="152"/>
      <c r="J509" s="152"/>
      <c r="K509" s="152"/>
      <c r="L509" s="152"/>
      <c r="M509" s="152"/>
      <c r="N509" s="152"/>
      <c r="O509" s="152"/>
      <c r="P509" s="152"/>
      <c r="Q509" s="152"/>
      <c r="R509" s="152"/>
      <c r="S509" s="152"/>
      <c r="T509" s="152"/>
      <c r="U509" s="152"/>
      <c r="V509" s="152"/>
      <c r="W509" s="152"/>
      <c r="X509" s="152"/>
      <c r="Y509" s="152"/>
    </row>
    <row r="510">
      <c r="A510" s="152"/>
      <c r="B510" s="152"/>
      <c r="C510" s="152"/>
      <c r="D510" s="152"/>
      <c r="E510" s="152"/>
      <c r="F510" s="152"/>
      <c r="G510" s="152"/>
      <c r="H510" s="152"/>
      <c r="I510" s="152"/>
      <c r="J510" s="152"/>
      <c r="K510" s="152"/>
      <c r="L510" s="152"/>
      <c r="M510" s="152"/>
      <c r="N510" s="152"/>
      <c r="O510" s="152"/>
      <c r="P510" s="152"/>
      <c r="Q510" s="152"/>
      <c r="R510" s="152"/>
      <c r="S510" s="152"/>
      <c r="T510" s="152"/>
      <c r="U510" s="152"/>
      <c r="V510" s="152"/>
      <c r="W510" s="152"/>
      <c r="X510" s="152"/>
      <c r="Y510" s="152"/>
    </row>
    <row r="511">
      <c r="A511" s="152"/>
      <c r="B511" s="152"/>
      <c r="C511" s="152"/>
      <c r="D511" s="152"/>
      <c r="E511" s="152"/>
      <c r="F511" s="152"/>
      <c r="G511" s="152"/>
      <c r="H511" s="152"/>
      <c r="I511" s="152"/>
      <c r="J511" s="152"/>
      <c r="K511" s="152"/>
      <c r="L511" s="152"/>
      <c r="M511" s="152"/>
      <c r="N511" s="152"/>
      <c r="O511" s="152"/>
      <c r="P511" s="152"/>
      <c r="Q511" s="152"/>
      <c r="R511" s="152"/>
      <c r="S511" s="152"/>
      <c r="T511" s="152"/>
      <c r="U511" s="152"/>
      <c r="V511" s="152"/>
      <c r="W511" s="152"/>
      <c r="X511" s="152"/>
      <c r="Y511" s="152"/>
    </row>
    <row r="512">
      <c r="A512" s="152"/>
      <c r="B512" s="152"/>
      <c r="C512" s="152"/>
      <c r="D512" s="152"/>
      <c r="E512" s="152"/>
      <c r="F512" s="152"/>
      <c r="G512" s="152"/>
      <c r="H512" s="152"/>
      <c r="I512" s="152"/>
      <c r="J512" s="152"/>
      <c r="K512" s="152"/>
      <c r="L512" s="152"/>
      <c r="M512" s="152"/>
      <c r="N512" s="152"/>
      <c r="O512" s="152"/>
      <c r="P512" s="152"/>
      <c r="Q512" s="152"/>
      <c r="R512" s="152"/>
      <c r="S512" s="152"/>
      <c r="T512" s="152"/>
      <c r="U512" s="152"/>
      <c r="V512" s="152"/>
      <c r="W512" s="152"/>
      <c r="X512" s="152"/>
      <c r="Y512" s="152"/>
    </row>
    <row r="513">
      <c r="A513" s="152"/>
      <c r="B513" s="152"/>
      <c r="C513" s="152"/>
      <c r="D513" s="152"/>
      <c r="E513" s="152"/>
      <c r="F513" s="152"/>
      <c r="G513" s="152"/>
      <c r="H513" s="152"/>
      <c r="I513" s="152"/>
      <c r="J513" s="152"/>
      <c r="K513" s="152"/>
      <c r="L513" s="152"/>
      <c r="M513" s="152"/>
      <c r="N513" s="152"/>
      <c r="O513" s="152"/>
      <c r="P513" s="152"/>
      <c r="Q513" s="152"/>
      <c r="R513" s="152"/>
      <c r="S513" s="152"/>
      <c r="T513" s="152"/>
      <c r="U513" s="152"/>
      <c r="V513" s="152"/>
      <c r="W513" s="152"/>
      <c r="X513" s="152"/>
      <c r="Y513" s="152"/>
    </row>
    <row r="514">
      <c r="A514" s="152"/>
      <c r="B514" s="152"/>
      <c r="C514" s="152"/>
      <c r="D514" s="152"/>
      <c r="E514" s="152"/>
      <c r="F514" s="152"/>
      <c r="G514" s="152"/>
      <c r="H514" s="152"/>
      <c r="I514" s="152"/>
      <c r="J514" s="152"/>
      <c r="K514" s="152"/>
      <c r="L514" s="152"/>
      <c r="M514" s="152"/>
      <c r="N514" s="152"/>
      <c r="O514" s="152"/>
      <c r="P514" s="152"/>
      <c r="Q514" s="152"/>
      <c r="R514" s="152"/>
      <c r="S514" s="152"/>
      <c r="T514" s="152"/>
      <c r="U514" s="152"/>
      <c r="V514" s="152"/>
      <c r="W514" s="152"/>
      <c r="X514" s="152"/>
      <c r="Y514" s="152"/>
    </row>
    <row r="515">
      <c r="A515" s="152"/>
      <c r="B515" s="152"/>
      <c r="C515" s="152"/>
      <c r="D515" s="152"/>
      <c r="E515" s="152"/>
      <c r="F515" s="152"/>
      <c r="G515" s="152"/>
      <c r="H515" s="152"/>
      <c r="I515" s="152"/>
      <c r="J515" s="152"/>
      <c r="K515" s="152"/>
      <c r="L515" s="152"/>
      <c r="M515" s="152"/>
      <c r="N515" s="152"/>
      <c r="O515" s="152"/>
      <c r="P515" s="152"/>
      <c r="Q515" s="152"/>
      <c r="R515" s="152"/>
      <c r="S515" s="152"/>
      <c r="T515" s="152"/>
      <c r="U515" s="152"/>
      <c r="V515" s="152"/>
      <c r="W515" s="152"/>
      <c r="X515" s="152"/>
      <c r="Y515" s="152"/>
    </row>
    <row r="516">
      <c r="A516" s="152"/>
      <c r="B516" s="152"/>
      <c r="C516" s="152"/>
      <c r="D516" s="152"/>
      <c r="E516" s="152"/>
      <c r="F516" s="152"/>
      <c r="G516" s="152"/>
      <c r="H516" s="152"/>
      <c r="I516" s="152"/>
      <c r="J516" s="152"/>
      <c r="K516" s="152"/>
      <c r="L516" s="152"/>
      <c r="M516" s="152"/>
      <c r="N516" s="152"/>
      <c r="O516" s="152"/>
      <c r="P516" s="152"/>
      <c r="Q516" s="152"/>
      <c r="R516" s="152"/>
      <c r="S516" s="152"/>
      <c r="T516" s="152"/>
      <c r="U516" s="152"/>
      <c r="V516" s="152"/>
      <c r="W516" s="152"/>
      <c r="X516" s="152"/>
      <c r="Y516" s="152"/>
    </row>
    <row r="517">
      <c r="A517" s="152"/>
      <c r="B517" s="152"/>
      <c r="C517" s="152"/>
      <c r="D517" s="152"/>
      <c r="E517" s="152"/>
      <c r="F517" s="152"/>
      <c r="G517" s="152"/>
      <c r="H517" s="152"/>
      <c r="I517" s="152"/>
      <c r="J517" s="152"/>
      <c r="K517" s="152"/>
      <c r="L517" s="152"/>
      <c r="M517" s="152"/>
      <c r="N517" s="152"/>
      <c r="O517" s="152"/>
      <c r="P517" s="152"/>
      <c r="Q517" s="152"/>
      <c r="R517" s="152"/>
      <c r="S517" s="152"/>
      <c r="T517" s="152"/>
      <c r="U517" s="152"/>
      <c r="V517" s="152"/>
      <c r="W517" s="152"/>
      <c r="X517" s="152"/>
      <c r="Y517" s="152"/>
    </row>
    <row r="518">
      <c r="A518" s="152"/>
      <c r="B518" s="152"/>
      <c r="C518" s="152"/>
      <c r="D518" s="152"/>
      <c r="E518" s="152"/>
      <c r="F518" s="152"/>
      <c r="G518" s="152"/>
      <c r="H518" s="152"/>
      <c r="I518" s="152"/>
      <c r="J518" s="152"/>
      <c r="K518" s="152"/>
      <c r="L518" s="152"/>
      <c r="M518" s="152"/>
      <c r="N518" s="152"/>
      <c r="O518" s="152"/>
      <c r="P518" s="152"/>
      <c r="Q518" s="152"/>
      <c r="R518" s="152"/>
      <c r="S518" s="152"/>
      <c r="T518" s="152"/>
      <c r="U518" s="152"/>
      <c r="V518" s="152"/>
      <c r="W518" s="152"/>
      <c r="X518" s="152"/>
      <c r="Y518" s="152"/>
    </row>
    <row r="519">
      <c r="A519" s="152"/>
      <c r="B519" s="152"/>
      <c r="C519" s="152"/>
      <c r="D519" s="152"/>
      <c r="E519" s="152"/>
      <c r="F519" s="152"/>
      <c r="G519" s="152"/>
      <c r="H519" s="152"/>
      <c r="I519" s="152"/>
      <c r="J519" s="152"/>
      <c r="K519" s="152"/>
      <c r="L519" s="152"/>
      <c r="M519" s="152"/>
      <c r="N519" s="152"/>
      <c r="O519" s="152"/>
      <c r="P519" s="152"/>
      <c r="Q519" s="152"/>
      <c r="R519" s="152"/>
      <c r="S519" s="152"/>
      <c r="T519" s="152"/>
      <c r="U519" s="152"/>
      <c r="V519" s="152"/>
      <c r="W519" s="152"/>
      <c r="X519" s="152"/>
      <c r="Y519" s="152"/>
    </row>
    <row r="520">
      <c r="A520" s="152"/>
      <c r="B520" s="152"/>
      <c r="C520" s="152"/>
      <c r="D520" s="152"/>
      <c r="E520" s="152"/>
      <c r="F520" s="152"/>
      <c r="G520" s="152"/>
      <c r="H520" s="152"/>
      <c r="I520" s="152"/>
      <c r="J520" s="152"/>
      <c r="K520" s="152"/>
      <c r="L520" s="152"/>
      <c r="M520" s="152"/>
      <c r="N520" s="152"/>
      <c r="O520" s="152"/>
      <c r="P520" s="152"/>
      <c r="Q520" s="152"/>
      <c r="R520" s="152"/>
      <c r="S520" s="152"/>
      <c r="T520" s="152"/>
      <c r="U520" s="152"/>
      <c r="V520" s="152"/>
      <c r="W520" s="152"/>
      <c r="X520" s="152"/>
      <c r="Y520" s="152"/>
    </row>
    <row r="521">
      <c r="A521" s="152"/>
      <c r="B521" s="152"/>
      <c r="C521" s="152"/>
      <c r="D521" s="152"/>
      <c r="E521" s="152"/>
      <c r="F521" s="152"/>
      <c r="G521" s="152"/>
      <c r="H521" s="152"/>
      <c r="I521" s="152"/>
      <c r="J521" s="152"/>
      <c r="K521" s="152"/>
      <c r="L521" s="152"/>
      <c r="M521" s="152"/>
      <c r="N521" s="152"/>
      <c r="O521" s="152"/>
      <c r="P521" s="152"/>
      <c r="Q521" s="152"/>
      <c r="R521" s="152"/>
      <c r="S521" s="152"/>
      <c r="T521" s="152"/>
      <c r="U521" s="152"/>
      <c r="V521" s="152"/>
      <c r="W521" s="152"/>
      <c r="X521" s="152"/>
      <c r="Y521" s="152"/>
    </row>
    <row r="522">
      <c r="A522" s="152"/>
      <c r="B522" s="152"/>
      <c r="C522" s="152"/>
      <c r="D522" s="152"/>
      <c r="E522" s="152"/>
      <c r="F522" s="152"/>
      <c r="G522" s="152"/>
      <c r="H522" s="152"/>
      <c r="I522" s="152"/>
      <c r="J522" s="152"/>
      <c r="K522" s="152"/>
      <c r="L522" s="152"/>
      <c r="M522" s="152"/>
      <c r="N522" s="152"/>
      <c r="O522" s="152"/>
      <c r="P522" s="152"/>
      <c r="Q522" s="152"/>
      <c r="R522" s="152"/>
      <c r="S522" s="152"/>
      <c r="T522" s="152"/>
      <c r="U522" s="152"/>
      <c r="V522" s="152"/>
      <c r="W522" s="152"/>
      <c r="X522" s="152"/>
      <c r="Y522" s="152"/>
    </row>
    <row r="523">
      <c r="A523" s="152"/>
      <c r="B523" s="152"/>
      <c r="C523" s="152"/>
      <c r="D523" s="152"/>
      <c r="E523" s="152"/>
      <c r="F523" s="152"/>
      <c r="G523" s="152"/>
      <c r="H523" s="152"/>
      <c r="I523" s="152"/>
      <c r="J523" s="152"/>
      <c r="K523" s="152"/>
      <c r="L523" s="152"/>
      <c r="M523" s="152"/>
      <c r="N523" s="152"/>
      <c r="O523" s="152"/>
      <c r="P523" s="152"/>
      <c r="Q523" s="152"/>
      <c r="R523" s="152"/>
      <c r="S523" s="152"/>
      <c r="T523" s="152"/>
      <c r="U523" s="152"/>
      <c r="V523" s="152"/>
      <c r="W523" s="152"/>
      <c r="X523" s="152"/>
      <c r="Y523" s="152"/>
    </row>
    <row r="524">
      <c r="A524" s="152"/>
      <c r="B524" s="152"/>
      <c r="C524" s="152"/>
      <c r="D524" s="152"/>
      <c r="E524" s="152"/>
      <c r="F524" s="152"/>
      <c r="G524" s="152"/>
      <c r="H524" s="152"/>
      <c r="I524" s="152"/>
      <c r="J524" s="152"/>
      <c r="K524" s="152"/>
      <c r="L524" s="152"/>
      <c r="M524" s="152"/>
      <c r="N524" s="152"/>
      <c r="O524" s="152"/>
      <c r="P524" s="152"/>
      <c r="Q524" s="152"/>
      <c r="R524" s="152"/>
      <c r="S524" s="152"/>
      <c r="T524" s="152"/>
      <c r="U524" s="152"/>
      <c r="V524" s="152"/>
      <c r="W524" s="152"/>
      <c r="X524" s="152"/>
      <c r="Y524" s="152"/>
    </row>
    <row r="525">
      <c r="A525" s="152"/>
      <c r="B525" s="152"/>
      <c r="C525" s="152"/>
      <c r="D525" s="152"/>
      <c r="E525" s="152"/>
      <c r="F525" s="152"/>
      <c r="G525" s="152"/>
      <c r="H525" s="152"/>
      <c r="I525" s="152"/>
      <c r="J525" s="152"/>
      <c r="K525" s="152"/>
      <c r="L525" s="152"/>
      <c r="M525" s="152"/>
      <c r="N525" s="152"/>
      <c r="O525" s="152"/>
      <c r="P525" s="152"/>
      <c r="Q525" s="152"/>
      <c r="R525" s="152"/>
      <c r="S525" s="152"/>
      <c r="T525" s="152"/>
      <c r="U525" s="152"/>
      <c r="V525" s="152"/>
      <c r="W525" s="152"/>
      <c r="X525" s="152"/>
      <c r="Y525" s="152"/>
    </row>
    <row r="526">
      <c r="A526" s="152"/>
      <c r="B526" s="152"/>
      <c r="C526" s="152"/>
      <c r="D526" s="152"/>
      <c r="E526" s="152"/>
      <c r="F526" s="152"/>
      <c r="G526" s="152"/>
      <c r="H526" s="152"/>
      <c r="I526" s="152"/>
      <c r="J526" s="152"/>
      <c r="K526" s="152"/>
      <c r="L526" s="152"/>
      <c r="M526" s="152"/>
      <c r="N526" s="152"/>
      <c r="O526" s="152"/>
      <c r="P526" s="152"/>
      <c r="Q526" s="152"/>
      <c r="R526" s="152"/>
      <c r="S526" s="152"/>
      <c r="T526" s="152"/>
      <c r="U526" s="152"/>
      <c r="V526" s="152"/>
      <c r="W526" s="152"/>
      <c r="X526" s="152"/>
      <c r="Y526" s="152"/>
    </row>
    <row r="527">
      <c r="A527" s="152"/>
      <c r="B527" s="152"/>
      <c r="C527" s="152"/>
      <c r="D527" s="152"/>
      <c r="E527" s="152"/>
      <c r="F527" s="152"/>
      <c r="G527" s="152"/>
      <c r="H527" s="152"/>
      <c r="I527" s="152"/>
      <c r="J527" s="152"/>
      <c r="K527" s="152"/>
      <c r="L527" s="152"/>
      <c r="M527" s="152"/>
      <c r="N527" s="152"/>
      <c r="O527" s="152"/>
      <c r="P527" s="152"/>
      <c r="Q527" s="152"/>
      <c r="R527" s="152"/>
      <c r="S527" s="152"/>
      <c r="T527" s="152"/>
      <c r="U527" s="152"/>
      <c r="V527" s="152"/>
      <c r="W527" s="152"/>
      <c r="X527" s="152"/>
      <c r="Y527" s="152"/>
    </row>
    <row r="528">
      <c r="A528" s="152"/>
      <c r="B528" s="152"/>
      <c r="C528" s="152"/>
      <c r="D528" s="152"/>
      <c r="E528" s="152"/>
      <c r="F528" s="152"/>
      <c r="G528" s="152"/>
      <c r="H528" s="152"/>
      <c r="I528" s="152"/>
      <c r="J528" s="152"/>
      <c r="K528" s="152"/>
      <c r="L528" s="152"/>
      <c r="M528" s="152"/>
      <c r="N528" s="152"/>
      <c r="O528" s="152"/>
      <c r="P528" s="152"/>
      <c r="Q528" s="152"/>
      <c r="R528" s="152"/>
      <c r="S528" s="152"/>
      <c r="T528" s="152"/>
      <c r="U528" s="152"/>
      <c r="V528" s="152"/>
      <c r="W528" s="152"/>
      <c r="X528" s="152"/>
      <c r="Y528" s="152"/>
    </row>
    <row r="529">
      <c r="A529" s="152"/>
      <c r="B529" s="152"/>
      <c r="C529" s="152"/>
      <c r="D529" s="152"/>
      <c r="E529" s="152"/>
      <c r="F529" s="152"/>
      <c r="G529" s="152"/>
      <c r="H529" s="152"/>
      <c r="I529" s="152"/>
      <c r="J529" s="152"/>
      <c r="K529" s="152"/>
      <c r="L529" s="152"/>
      <c r="M529" s="152"/>
      <c r="N529" s="152"/>
      <c r="O529" s="152"/>
      <c r="P529" s="152"/>
      <c r="Q529" s="152"/>
      <c r="R529" s="152"/>
      <c r="S529" s="152"/>
      <c r="T529" s="152"/>
      <c r="U529" s="152"/>
      <c r="V529" s="152"/>
      <c r="W529" s="152"/>
      <c r="X529" s="152"/>
      <c r="Y529" s="152"/>
    </row>
    <row r="530">
      <c r="A530" s="152"/>
      <c r="B530" s="152"/>
      <c r="C530" s="152"/>
      <c r="D530" s="152"/>
      <c r="E530" s="152"/>
      <c r="F530" s="152"/>
      <c r="G530" s="152"/>
      <c r="H530" s="152"/>
      <c r="I530" s="152"/>
      <c r="J530" s="152"/>
      <c r="K530" s="152"/>
      <c r="L530" s="152"/>
      <c r="M530" s="152"/>
      <c r="N530" s="152"/>
      <c r="O530" s="152"/>
      <c r="P530" s="152"/>
      <c r="Q530" s="152"/>
      <c r="R530" s="152"/>
      <c r="S530" s="152"/>
      <c r="T530" s="152"/>
      <c r="U530" s="152"/>
      <c r="V530" s="152"/>
      <c r="W530" s="152"/>
      <c r="X530" s="152"/>
      <c r="Y530" s="152"/>
    </row>
    <row r="531">
      <c r="A531" s="152"/>
      <c r="B531" s="152"/>
      <c r="C531" s="152"/>
      <c r="D531" s="152"/>
      <c r="E531" s="152"/>
      <c r="F531" s="152"/>
      <c r="G531" s="152"/>
      <c r="H531" s="152"/>
      <c r="I531" s="152"/>
      <c r="J531" s="152"/>
      <c r="K531" s="152"/>
      <c r="L531" s="152"/>
      <c r="M531" s="152"/>
      <c r="N531" s="152"/>
      <c r="O531" s="152"/>
      <c r="P531" s="152"/>
      <c r="Q531" s="152"/>
      <c r="R531" s="152"/>
      <c r="S531" s="152"/>
      <c r="T531" s="152"/>
      <c r="U531" s="152"/>
      <c r="V531" s="152"/>
      <c r="W531" s="152"/>
      <c r="X531" s="152"/>
      <c r="Y531" s="152"/>
    </row>
    <row r="532">
      <c r="A532" s="152"/>
      <c r="B532" s="152"/>
      <c r="C532" s="152"/>
      <c r="D532" s="152"/>
      <c r="E532" s="152"/>
      <c r="F532" s="152"/>
      <c r="G532" s="152"/>
      <c r="H532" s="152"/>
      <c r="I532" s="152"/>
      <c r="J532" s="152"/>
      <c r="K532" s="152"/>
      <c r="L532" s="152"/>
      <c r="M532" s="152"/>
      <c r="N532" s="152"/>
      <c r="O532" s="152"/>
      <c r="P532" s="152"/>
      <c r="Q532" s="152"/>
      <c r="R532" s="152"/>
      <c r="S532" s="152"/>
      <c r="T532" s="152"/>
      <c r="U532" s="152"/>
      <c r="V532" s="152"/>
      <c r="W532" s="152"/>
      <c r="X532" s="152"/>
      <c r="Y532" s="152"/>
    </row>
    <row r="533">
      <c r="A533" s="152"/>
      <c r="B533" s="152"/>
      <c r="C533" s="152"/>
      <c r="D533" s="152"/>
      <c r="E533" s="152"/>
      <c r="F533" s="152"/>
      <c r="G533" s="152"/>
      <c r="H533" s="152"/>
      <c r="I533" s="152"/>
      <c r="J533" s="152"/>
      <c r="K533" s="152"/>
      <c r="L533" s="152"/>
      <c r="M533" s="152"/>
      <c r="N533" s="152"/>
      <c r="O533" s="152"/>
      <c r="P533" s="152"/>
      <c r="Q533" s="152"/>
      <c r="R533" s="152"/>
      <c r="S533" s="152"/>
      <c r="T533" s="152"/>
      <c r="U533" s="152"/>
      <c r="V533" s="152"/>
      <c r="W533" s="152"/>
      <c r="X533" s="152"/>
      <c r="Y533" s="152"/>
    </row>
    <row r="534">
      <c r="A534" s="152"/>
      <c r="B534" s="152"/>
      <c r="C534" s="152"/>
      <c r="D534" s="152"/>
      <c r="E534" s="152"/>
      <c r="F534" s="152"/>
      <c r="G534" s="152"/>
      <c r="H534" s="152"/>
      <c r="I534" s="152"/>
      <c r="J534" s="152"/>
      <c r="K534" s="152"/>
      <c r="L534" s="152"/>
      <c r="M534" s="152"/>
      <c r="N534" s="152"/>
      <c r="O534" s="152"/>
      <c r="P534" s="152"/>
      <c r="Q534" s="152"/>
      <c r="R534" s="152"/>
      <c r="S534" s="152"/>
      <c r="T534" s="152"/>
      <c r="U534" s="152"/>
      <c r="V534" s="152"/>
      <c r="W534" s="152"/>
      <c r="X534" s="152"/>
      <c r="Y534" s="152"/>
    </row>
    <row r="535">
      <c r="A535" s="152"/>
      <c r="B535" s="152"/>
      <c r="C535" s="152"/>
      <c r="D535" s="152"/>
      <c r="E535" s="152"/>
      <c r="F535" s="152"/>
      <c r="G535" s="152"/>
      <c r="H535" s="152"/>
      <c r="I535" s="152"/>
      <c r="J535" s="152"/>
      <c r="K535" s="152"/>
      <c r="L535" s="152"/>
      <c r="M535" s="152"/>
      <c r="N535" s="152"/>
      <c r="O535" s="152"/>
      <c r="P535" s="152"/>
      <c r="Q535" s="152"/>
      <c r="R535" s="152"/>
      <c r="S535" s="152"/>
      <c r="T535" s="152"/>
      <c r="U535" s="152"/>
      <c r="V535" s="152"/>
      <c r="W535" s="152"/>
      <c r="X535" s="152"/>
      <c r="Y535" s="152"/>
    </row>
    <row r="536">
      <c r="A536" s="152"/>
      <c r="B536" s="152"/>
      <c r="C536" s="152"/>
      <c r="D536" s="152"/>
      <c r="E536" s="152"/>
      <c r="F536" s="152"/>
      <c r="G536" s="152"/>
      <c r="H536" s="152"/>
      <c r="I536" s="152"/>
      <c r="J536" s="152"/>
      <c r="K536" s="152"/>
      <c r="L536" s="152"/>
      <c r="M536" s="152"/>
      <c r="N536" s="152"/>
      <c r="O536" s="152"/>
      <c r="P536" s="152"/>
      <c r="Q536" s="152"/>
      <c r="R536" s="152"/>
      <c r="S536" s="152"/>
      <c r="T536" s="152"/>
      <c r="U536" s="152"/>
      <c r="V536" s="152"/>
      <c r="W536" s="152"/>
      <c r="X536" s="152"/>
      <c r="Y536" s="152"/>
    </row>
    <row r="537">
      <c r="A537" s="152"/>
      <c r="B537" s="152"/>
      <c r="C537" s="152"/>
      <c r="D537" s="152"/>
      <c r="E537" s="152"/>
      <c r="F537" s="152"/>
      <c r="G537" s="152"/>
      <c r="H537" s="152"/>
      <c r="I537" s="152"/>
      <c r="J537" s="152"/>
      <c r="K537" s="152"/>
      <c r="L537" s="152"/>
      <c r="M537" s="152"/>
      <c r="N537" s="152"/>
      <c r="O537" s="152"/>
      <c r="P537" s="152"/>
      <c r="Q537" s="152"/>
      <c r="R537" s="152"/>
      <c r="S537" s="152"/>
      <c r="T537" s="152"/>
      <c r="U537" s="152"/>
      <c r="V537" s="152"/>
      <c r="W537" s="152"/>
      <c r="X537" s="152"/>
      <c r="Y537" s="152"/>
    </row>
    <row r="538">
      <c r="A538" s="152"/>
      <c r="B538" s="152"/>
      <c r="C538" s="152"/>
      <c r="D538" s="152"/>
      <c r="E538" s="152"/>
      <c r="F538" s="152"/>
      <c r="G538" s="152"/>
      <c r="H538" s="152"/>
      <c r="I538" s="152"/>
      <c r="J538" s="152"/>
      <c r="K538" s="152"/>
      <c r="L538" s="152"/>
      <c r="M538" s="152"/>
      <c r="N538" s="152"/>
      <c r="O538" s="152"/>
      <c r="P538" s="152"/>
      <c r="Q538" s="152"/>
      <c r="R538" s="152"/>
      <c r="S538" s="152"/>
      <c r="T538" s="152"/>
      <c r="U538" s="152"/>
      <c r="V538" s="152"/>
      <c r="W538" s="152"/>
      <c r="X538" s="152"/>
      <c r="Y538" s="152"/>
    </row>
    <row r="539">
      <c r="A539" s="152"/>
      <c r="B539" s="152"/>
      <c r="C539" s="152"/>
      <c r="D539" s="152"/>
      <c r="E539" s="152"/>
      <c r="F539" s="152"/>
      <c r="G539" s="152"/>
      <c r="H539" s="152"/>
      <c r="I539" s="152"/>
      <c r="J539" s="152"/>
      <c r="K539" s="152"/>
      <c r="L539" s="152"/>
      <c r="M539" s="152"/>
      <c r="N539" s="152"/>
      <c r="O539" s="152"/>
      <c r="P539" s="152"/>
      <c r="Q539" s="152"/>
      <c r="R539" s="152"/>
      <c r="S539" s="152"/>
      <c r="T539" s="152"/>
      <c r="U539" s="152"/>
      <c r="V539" s="152"/>
      <c r="W539" s="152"/>
      <c r="X539" s="152"/>
      <c r="Y539" s="152"/>
    </row>
    <row r="540">
      <c r="A540" s="152"/>
      <c r="B540" s="152"/>
      <c r="C540" s="152"/>
      <c r="D540" s="152"/>
      <c r="E540" s="152"/>
      <c r="F540" s="152"/>
      <c r="G540" s="152"/>
      <c r="H540" s="152"/>
      <c r="I540" s="152"/>
      <c r="J540" s="152"/>
      <c r="K540" s="152"/>
      <c r="L540" s="152"/>
      <c r="M540" s="152"/>
      <c r="N540" s="152"/>
      <c r="O540" s="152"/>
      <c r="P540" s="152"/>
      <c r="Q540" s="152"/>
      <c r="R540" s="152"/>
      <c r="S540" s="152"/>
      <c r="T540" s="152"/>
      <c r="U540" s="152"/>
      <c r="V540" s="152"/>
      <c r="W540" s="152"/>
      <c r="X540" s="152"/>
      <c r="Y540" s="152"/>
    </row>
    <row r="541">
      <c r="A541" s="152"/>
      <c r="B541" s="152"/>
      <c r="C541" s="152"/>
      <c r="D541" s="152"/>
      <c r="E541" s="152"/>
      <c r="F541" s="152"/>
      <c r="G541" s="152"/>
      <c r="H541" s="152"/>
      <c r="I541" s="152"/>
      <c r="J541" s="152"/>
      <c r="K541" s="152"/>
      <c r="L541" s="152"/>
      <c r="M541" s="152"/>
      <c r="N541" s="152"/>
      <c r="O541" s="152"/>
      <c r="P541" s="152"/>
      <c r="Q541" s="152"/>
      <c r="R541" s="152"/>
      <c r="S541" s="152"/>
      <c r="T541" s="152"/>
      <c r="U541" s="152"/>
      <c r="V541" s="152"/>
      <c r="W541" s="152"/>
      <c r="X541" s="152"/>
      <c r="Y541" s="152"/>
    </row>
    <row r="542">
      <c r="A542" s="152"/>
      <c r="B542" s="152"/>
      <c r="C542" s="152"/>
      <c r="D542" s="152"/>
      <c r="E542" s="152"/>
      <c r="F542" s="152"/>
      <c r="G542" s="152"/>
      <c r="H542" s="152"/>
      <c r="I542" s="152"/>
      <c r="J542" s="152"/>
      <c r="K542" s="152"/>
      <c r="L542" s="152"/>
      <c r="M542" s="152"/>
      <c r="N542" s="152"/>
      <c r="O542" s="152"/>
      <c r="P542" s="152"/>
      <c r="Q542" s="152"/>
      <c r="R542" s="152"/>
      <c r="S542" s="152"/>
      <c r="T542" s="152"/>
      <c r="U542" s="152"/>
      <c r="V542" s="152"/>
      <c r="W542" s="152"/>
      <c r="X542" s="152"/>
      <c r="Y542" s="152"/>
    </row>
    <row r="543">
      <c r="A543" s="152"/>
      <c r="B543" s="152"/>
      <c r="C543" s="152"/>
      <c r="D543" s="152"/>
      <c r="E543" s="152"/>
      <c r="F543" s="152"/>
      <c r="G543" s="152"/>
      <c r="H543" s="152"/>
      <c r="I543" s="152"/>
      <c r="J543" s="152"/>
      <c r="K543" s="152"/>
      <c r="L543" s="152"/>
      <c r="M543" s="152"/>
      <c r="N543" s="152"/>
      <c r="O543" s="152"/>
      <c r="P543" s="152"/>
      <c r="Q543" s="152"/>
      <c r="R543" s="152"/>
      <c r="S543" s="152"/>
      <c r="T543" s="152"/>
      <c r="U543" s="152"/>
      <c r="V543" s="152"/>
      <c r="W543" s="152"/>
      <c r="X543" s="152"/>
      <c r="Y543" s="152"/>
    </row>
    <row r="544">
      <c r="A544" s="152"/>
      <c r="B544" s="152"/>
      <c r="C544" s="152"/>
      <c r="D544" s="152"/>
      <c r="E544" s="152"/>
      <c r="F544" s="152"/>
      <c r="G544" s="152"/>
      <c r="H544" s="152"/>
      <c r="I544" s="152"/>
      <c r="J544" s="152"/>
      <c r="K544" s="152"/>
      <c r="L544" s="152"/>
      <c r="M544" s="152"/>
      <c r="N544" s="152"/>
      <c r="O544" s="152"/>
      <c r="P544" s="152"/>
      <c r="Q544" s="152"/>
      <c r="R544" s="152"/>
      <c r="S544" s="152"/>
      <c r="T544" s="152"/>
      <c r="U544" s="152"/>
      <c r="V544" s="152"/>
      <c r="W544" s="152"/>
      <c r="X544" s="152"/>
      <c r="Y544" s="152"/>
    </row>
    <row r="545">
      <c r="A545" s="152"/>
      <c r="B545" s="152"/>
      <c r="C545" s="152"/>
      <c r="D545" s="152"/>
      <c r="E545" s="152"/>
      <c r="F545" s="152"/>
      <c r="G545" s="152"/>
      <c r="H545" s="152"/>
      <c r="I545" s="152"/>
      <c r="J545" s="152"/>
      <c r="K545" s="152"/>
      <c r="L545" s="152"/>
      <c r="M545" s="152"/>
      <c r="N545" s="152"/>
      <c r="O545" s="152"/>
      <c r="P545" s="152"/>
      <c r="Q545" s="152"/>
      <c r="R545" s="152"/>
      <c r="S545" s="152"/>
      <c r="T545" s="152"/>
      <c r="U545" s="152"/>
      <c r="V545" s="152"/>
      <c r="W545" s="152"/>
      <c r="X545" s="152"/>
      <c r="Y545" s="152"/>
    </row>
    <row r="546">
      <c r="A546" s="152"/>
      <c r="B546" s="152"/>
      <c r="C546" s="152"/>
      <c r="D546" s="152"/>
      <c r="E546" s="152"/>
      <c r="F546" s="152"/>
      <c r="G546" s="152"/>
      <c r="H546" s="152"/>
      <c r="I546" s="152"/>
      <c r="J546" s="152"/>
      <c r="K546" s="152"/>
      <c r="L546" s="152"/>
      <c r="M546" s="152"/>
      <c r="N546" s="152"/>
      <c r="O546" s="152"/>
      <c r="P546" s="152"/>
      <c r="Q546" s="152"/>
      <c r="R546" s="152"/>
      <c r="S546" s="152"/>
      <c r="T546" s="152"/>
      <c r="U546" s="152"/>
      <c r="V546" s="152"/>
      <c r="W546" s="152"/>
      <c r="X546" s="152"/>
      <c r="Y546" s="152"/>
    </row>
    <row r="547">
      <c r="A547" s="152"/>
      <c r="B547" s="152"/>
      <c r="C547" s="152"/>
      <c r="D547" s="152"/>
      <c r="E547" s="152"/>
      <c r="F547" s="152"/>
      <c r="G547" s="152"/>
      <c r="H547" s="152"/>
      <c r="I547" s="152"/>
      <c r="J547" s="152"/>
      <c r="K547" s="152"/>
      <c r="L547" s="152"/>
      <c r="M547" s="152"/>
      <c r="N547" s="152"/>
      <c r="O547" s="152"/>
      <c r="P547" s="152"/>
      <c r="Q547" s="152"/>
      <c r="R547" s="152"/>
      <c r="S547" s="152"/>
      <c r="T547" s="152"/>
      <c r="U547" s="152"/>
      <c r="V547" s="152"/>
      <c r="W547" s="152"/>
      <c r="X547" s="152"/>
      <c r="Y547" s="152"/>
    </row>
    <row r="548">
      <c r="A548" s="152"/>
      <c r="B548" s="152"/>
      <c r="C548" s="152"/>
      <c r="D548" s="152"/>
      <c r="E548" s="152"/>
      <c r="F548" s="152"/>
      <c r="G548" s="152"/>
      <c r="H548" s="152"/>
      <c r="I548" s="152"/>
      <c r="J548" s="152"/>
      <c r="K548" s="152"/>
      <c r="L548" s="152"/>
      <c r="M548" s="152"/>
      <c r="N548" s="152"/>
      <c r="O548" s="152"/>
      <c r="P548" s="152"/>
      <c r="Q548" s="152"/>
      <c r="R548" s="152"/>
      <c r="S548" s="152"/>
      <c r="T548" s="152"/>
      <c r="U548" s="152"/>
      <c r="V548" s="152"/>
      <c r="W548" s="152"/>
      <c r="X548" s="152"/>
      <c r="Y548" s="152"/>
    </row>
    <row r="549">
      <c r="A549" s="152"/>
      <c r="B549" s="152"/>
      <c r="C549" s="152"/>
      <c r="D549" s="152"/>
      <c r="E549" s="152"/>
      <c r="F549" s="152"/>
      <c r="G549" s="152"/>
      <c r="H549" s="152"/>
      <c r="I549" s="152"/>
      <c r="J549" s="152"/>
      <c r="K549" s="152"/>
      <c r="L549" s="152"/>
      <c r="M549" s="152"/>
      <c r="N549" s="152"/>
      <c r="O549" s="152"/>
      <c r="P549" s="152"/>
      <c r="Q549" s="152"/>
      <c r="R549" s="152"/>
      <c r="S549" s="152"/>
      <c r="T549" s="152"/>
      <c r="U549" s="152"/>
      <c r="V549" s="152"/>
      <c r="W549" s="152"/>
      <c r="X549" s="152"/>
      <c r="Y549" s="152"/>
    </row>
    <row r="550">
      <c r="A550" s="152"/>
      <c r="B550" s="152"/>
      <c r="C550" s="152"/>
      <c r="D550" s="152"/>
      <c r="E550" s="152"/>
      <c r="F550" s="152"/>
      <c r="G550" s="152"/>
      <c r="H550" s="152"/>
      <c r="I550" s="152"/>
      <c r="J550" s="152"/>
      <c r="K550" s="152"/>
      <c r="L550" s="152"/>
      <c r="M550" s="152"/>
      <c r="N550" s="152"/>
      <c r="O550" s="152"/>
      <c r="P550" s="152"/>
      <c r="Q550" s="152"/>
      <c r="R550" s="152"/>
      <c r="S550" s="152"/>
      <c r="T550" s="152"/>
      <c r="U550" s="152"/>
      <c r="V550" s="152"/>
      <c r="W550" s="152"/>
      <c r="X550" s="152"/>
      <c r="Y550" s="152"/>
    </row>
    <row r="551">
      <c r="A551" s="152"/>
      <c r="B551" s="152"/>
      <c r="C551" s="152"/>
      <c r="D551" s="152"/>
      <c r="E551" s="152"/>
      <c r="F551" s="152"/>
      <c r="G551" s="152"/>
      <c r="H551" s="152"/>
      <c r="I551" s="152"/>
      <c r="J551" s="152"/>
      <c r="K551" s="152"/>
      <c r="L551" s="152"/>
      <c r="M551" s="152"/>
      <c r="N551" s="152"/>
      <c r="O551" s="152"/>
      <c r="P551" s="152"/>
      <c r="Q551" s="152"/>
      <c r="R551" s="152"/>
      <c r="S551" s="152"/>
      <c r="T551" s="152"/>
      <c r="U551" s="152"/>
      <c r="V551" s="152"/>
      <c r="W551" s="152"/>
      <c r="X551" s="152"/>
      <c r="Y551" s="152"/>
    </row>
    <row r="552">
      <c r="A552" s="152"/>
      <c r="B552" s="152"/>
      <c r="C552" s="152"/>
      <c r="D552" s="152"/>
      <c r="E552" s="152"/>
      <c r="F552" s="152"/>
      <c r="G552" s="152"/>
      <c r="H552" s="152"/>
      <c r="I552" s="152"/>
      <c r="J552" s="152"/>
      <c r="K552" s="152"/>
      <c r="L552" s="152"/>
      <c r="M552" s="152"/>
      <c r="N552" s="152"/>
      <c r="O552" s="152"/>
      <c r="P552" s="152"/>
      <c r="Q552" s="152"/>
      <c r="R552" s="152"/>
      <c r="S552" s="152"/>
      <c r="T552" s="152"/>
      <c r="U552" s="152"/>
      <c r="V552" s="152"/>
      <c r="W552" s="152"/>
      <c r="X552" s="152"/>
      <c r="Y552" s="152"/>
    </row>
    <row r="553">
      <c r="A553" s="152"/>
      <c r="B553" s="152"/>
      <c r="C553" s="152"/>
      <c r="D553" s="152"/>
      <c r="E553" s="152"/>
      <c r="F553" s="152"/>
      <c r="G553" s="152"/>
      <c r="H553" s="152"/>
      <c r="I553" s="152"/>
      <c r="J553" s="152"/>
      <c r="K553" s="152"/>
      <c r="L553" s="152"/>
      <c r="M553" s="152"/>
      <c r="N553" s="152"/>
      <c r="O553" s="152"/>
      <c r="P553" s="152"/>
      <c r="Q553" s="152"/>
      <c r="R553" s="152"/>
      <c r="S553" s="152"/>
      <c r="T553" s="152"/>
      <c r="U553" s="152"/>
      <c r="V553" s="152"/>
      <c r="W553" s="152"/>
      <c r="X553" s="152"/>
      <c r="Y553" s="152"/>
    </row>
    <row r="554">
      <c r="A554" s="152"/>
      <c r="B554" s="152"/>
      <c r="C554" s="152"/>
      <c r="D554" s="152"/>
      <c r="E554" s="152"/>
      <c r="F554" s="152"/>
      <c r="G554" s="152"/>
      <c r="H554" s="152"/>
      <c r="I554" s="152"/>
      <c r="J554" s="152"/>
      <c r="K554" s="152"/>
      <c r="L554" s="152"/>
      <c r="M554" s="152"/>
      <c r="N554" s="152"/>
      <c r="O554" s="152"/>
      <c r="P554" s="152"/>
      <c r="Q554" s="152"/>
      <c r="R554" s="152"/>
      <c r="S554" s="152"/>
      <c r="T554" s="152"/>
      <c r="U554" s="152"/>
      <c r="V554" s="152"/>
      <c r="W554" s="152"/>
      <c r="X554" s="152"/>
      <c r="Y554" s="152"/>
    </row>
    <row r="555">
      <c r="A555" s="152"/>
      <c r="B555" s="152"/>
      <c r="C555" s="152"/>
      <c r="D555" s="152"/>
      <c r="E555" s="152"/>
      <c r="F555" s="152"/>
      <c r="G555" s="152"/>
      <c r="H555" s="152"/>
      <c r="I555" s="152"/>
      <c r="J555" s="152"/>
      <c r="K555" s="152"/>
      <c r="L555" s="152"/>
      <c r="M555" s="152"/>
      <c r="N555" s="152"/>
      <c r="O555" s="152"/>
      <c r="P555" s="152"/>
      <c r="Q555" s="152"/>
      <c r="R555" s="152"/>
      <c r="S555" s="152"/>
      <c r="T555" s="152"/>
      <c r="U555" s="152"/>
      <c r="V555" s="152"/>
      <c r="W555" s="152"/>
      <c r="X555" s="152"/>
      <c r="Y555" s="152"/>
    </row>
    <row r="556">
      <c r="A556" s="152"/>
      <c r="B556" s="152"/>
      <c r="C556" s="152"/>
      <c r="D556" s="152"/>
      <c r="E556" s="152"/>
      <c r="F556" s="152"/>
      <c r="G556" s="152"/>
      <c r="H556" s="152"/>
      <c r="I556" s="152"/>
      <c r="J556" s="152"/>
      <c r="K556" s="152"/>
      <c r="L556" s="152"/>
      <c r="M556" s="152"/>
      <c r="N556" s="152"/>
      <c r="O556" s="152"/>
      <c r="P556" s="152"/>
      <c r="Q556" s="152"/>
      <c r="R556" s="152"/>
      <c r="S556" s="152"/>
      <c r="T556" s="152"/>
      <c r="U556" s="152"/>
      <c r="V556" s="152"/>
      <c r="W556" s="152"/>
      <c r="X556" s="152"/>
      <c r="Y556" s="152"/>
    </row>
    <row r="557">
      <c r="A557" s="152"/>
      <c r="B557" s="152"/>
      <c r="C557" s="152"/>
      <c r="D557" s="152"/>
      <c r="E557" s="152"/>
      <c r="F557" s="152"/>
      <c r="G557" s="152"/>
      <c r="H557" s="152"/>
      <c r="I557" s="152"/>
      <c r="J557" s="152"/>
      <c r="K557" s="152"/>
      <c r="L557" s="152"/>
      <c r="M557" s="152"/>
      <c r="N557" s="152"/>
      <c r="O557" s="152"/>
      <c r="P557" s="152"/>
      <c r="Q557" s="152"/>
      <c r="R557" s="152"/>
      <c r="S557" s="152"/>
      <c r="T557" s="152"/>
      <c r="U557" s="152"/>
      <c r="V557" s="152"/>
      <c r="W557" s="152"/>
      <c r="X557" s="152"/>
      <c r="Y557" s="152"/>
    </row>
    <row r="558">
      <c r="A558" s="152"/>
      <c r="B558" s="152"/>
      <c r="C558" s="152"/>
      <c r="D558" s="152"/>
      <c r="E558" s="152"/>
      <c r="F558" s="152"/>
      <c r="G558" s="152"/>
      <c r="H558" s="152"/>
      <c r="I558" s="152"/>
      <c r="J558" s="152"/>
      <c r="K558" s="152"/>
      <c r="L558" s="152"/>
      <c r="M558" s="152"/>
      <c r="N558" s="152"/>
      <c r="O558" s="152"/>
      <c r="P558" s="152"/>
      <c r="Q558" s="152"/>
      <c r="R558" s="152"/>
      <c r="S558" s="152"/>
      <c r="T558" s="152"/>
      <c r="U558" s="152"/>
      <c r="V558" s="152"/>
      <c r="W558" s="152"/>
      <c r="X558" s="152"/>
      <c r="Y558" s="152"/>
    </row>
    <row r="559">
      <c r="A559" s="152"/>
      <c r="B559" s="152"/>
      <c r="C559" s="152"/>
      <c r="D559" s="152"/>
      <c r="E559" s="152"/>
      <c r="F559" s="152"/>
      <c r="G559" s="152"/>
      <c r="H559" s="152"/>
      <c r="I559" s="152"/>
      <c r="J559" s="152"/>
      <c r="K559" s="152"/>
      <c r="L559" s="152"/>
      <c r="M559" s="152"/>
      <c r="N559" s="152"/>
      <c r="O559" s="152"/>
      <c r="P559" s="152"/>
      <c r="Q559" s="152"/>
      <c r="R559" s="152"/>
      <c r="S559" s="152"/>
      <c r="T559" s="152"/>
      <c r="U559" s="152"/>
      <c r="V559" s="152"/>
      <c r="W559" s="152"/>
      <c r="X559" s="152"/>
      <c r="Y559" s="152"/>
    </row>
    <row r="560">
      <c r="A560" s="152"/>
      <c r="B560" s="152"/>
      <c r="C560" s="152"/>
      <c r="D560" s="152"/>
      <c r="E560" s="152"/>
      <c r="F560" s="152"/>
      <c r="G560" s="152"/>
      <c r="H560" s="152"/>
      <c r="I560" s="152"/>
      <c r="J560" s="152"/>
      <c r="K560" s="152"/>
      <c r="L560" s="152"/>
      <c r="M560" s="152"/>
      <c r="N560" s="152"/>
      <c r="O560" s="152"/>
      <c r="P560" s="152"/>
      <c r="Q560" s="152"/>
      <c r="R560" s="152"/>
      <c r="S560" s="152"/>
      <c r="T560" s="152"/>
      <c r="U560" s="152"/>
      <c r="V560" s="152"/>
      <c r="W560" s="152"/>
      <c r="X560" s="152"/>
      <c r="Y560" s="152"/>
    </row>
    <row r="561">
      <c r="A561" s="152"/>
      <c r="B561" s="152"/>
      <c r="C561" s="152"/>
      <c r="D561" s="152"/>
      <c r="E561" s="152"/>
      <c r="F561" s="152"/>
      <c r="G561" s="152"/>
      <c r="H561" s="152"/>
      <c r="I561" s="152"/>
      <c r="J561" s="152"/>
      <c r="K561" s="152"/>
      <c r="L561" s="152"/>
      <c r="M561" s="152"/>
      <c r="N561" s="152"/>
      <c r="O561" s="152"/>
      <c r="P561" s="152"/>
      <c r="Q561" s="152"/>
      <c r="R561" s="152"/>
      <c r="S561" s="152"/>
      <c r="T561" s="152"/>
      <c r="U561" s="152"/>
      <c r="V561" s="152"/>
      <c r="W561" s="152"/>
      <c r="X561" s="152"/>
      <c r="Y561" s="152"/>
    </row>
    <row r="562">
      <c r="A562" s="152"/>
      <c r="B562" s="152"/>
      <c r="C562" s="152"/>
      <c r="D562" s="152"/>
      <c r="E562" s="152"/>
      <c r="F562" s="152"/>
      <c r="G562" s="152"/>
      <c r="H562" s="152"/>
      <c r="I562" s="152"/>
      <c r="J562" s="152"/>
      <c r="K562" s="152"/>
      <c r="L562" s="152"/>
      <c r="M562" s="152"/>
      <c r="N562" s="152"/>
      <c r="O562" s="152"/>
      <c r="P562" s="152"/>
      <c r="Q562" s="152"/>
      <c r="R562" s="152"/>
      <c r="S562" s="152"/>
      <c r="T562" s="152"/>
      <c r="U562" s="152"/>
      <c r="V562" s="152"/>
      <c r="W562" s="152"/>
      <c r="X562" s="152"/>
      <c r="Y562" s="152"/>
    </row>
    <row r="563">
      <c r="A563" s="152"/>
      <c r="B563" s="152"/>
      <c r="C563" s="152"/>
      <c r="D563" s="152"/>
      <c r="E563" s="152"/>
      <c r="F563" s="152"/>
      <c r="G563" s="152"/>
      <c r="H563" s="152"/>
      <c r="I563" s="152"/>
      <c r="J563" s="152"/>
      <c r="K563" s="152"/>
      <c r="L563" s="152"/>
      <c r="M563" s="152"/>
      <c r="N563" s="152"/>
      <c r="O563" s="152"/>
      <c r="P563" s="152"/>
      <c r="Q563" s="152"/>
      <c r="R563" s="152"/>
      <c r="S563" s="152"/>
      <c r="T563" s="152"/>
      <c r="U563" s="152"/>
      <c r="V563" s="152"/>
      <c r="W563" s="152"/>
      <c r="X563" s="152"/>
      <c r="Y563" s="152"/>
    </row>
    <row r="564">
      <c r="A564" s="152"/>
      <c r="B564" s="152"/>
      <c r="C564" s="152"/>
      <c r="D564" s="152"/>
      <c r="E564" s="152"/>
      <c r="F564" s="152"/>
      <c r="G564" s="152"/>
      <c r="H564" s="152"/>
      <c r="I564" s="152"/>
      <c r="J564" s="152"/>
      <c r="K564" s="152"/>
      <c r="L564" s="152"/>
      <c r="M564" s="152"/>
      <c r="N564" s="152"/>
      <c r="O564" s="152"/>
      <c r="P564" s="152"/>
      <c r="Q564" s="152"/>
      <c r="R564" s="152"/>
      <c r="S564" s="152"/>
      <c r="T564" s="152"/>
      <c r="U564" s="152"/>
      <c r="V564" s="152"/>
      <c r="W564" s="152"/>
      <c r="X564" s="152"/>
      <c r="Y564" s="152"/>
    </row>
    <row r="565">
      <c r="A565" s="152"/>
      <c r="B565" s="152"/>
      <c r="C565" s="152"/>
      <c r="D565" s="152"/>
      <c r="E565" s="152"/>
      <c r="F565" s="152"/>
      <c r="G565" s="152"/>
      <c r="H565" s="152"/>
      <c r="I565" s="152"/>
      <c r="J565" s="152"/>
      <c r="K565" s="152"/>
      <c r="L565" s="152"/>
      <c r="M565" s="152"/>
      <c r="N565" s="152"/>
      <c r="O565" s="152"/>
      <c r="P565" s="152"/>
      <c r="Q565" s="152"/>
      <c r="R565" s="152"/>
      <c r="S565" s="152"/>
      <c r="T565" s="152"/>
      <c r="U565" s="152"/>
      <c r="V565" s="152"/>
      <c r="W565" s="152"/>
      <c r="X565" s="152"/>
      <c r="Y565" s="152"/>
    </row>
    <row r="566">
      <c r="A566" s="152"/>
      <c r="B566" s="152"/>
      <c r="C566" s="152"/>
      <c r="D566" s="152"/>
      <c r="E566" s="152"/>
      <c r="F566" s="152"/>
      <c r="G566" s="152"/>
      <c r="H566" s="152"/>
      <c r="I566" s="152"/>
      <c r="J566" s="152"/>
      <c r="K566" s="152"/>
      <c r="L566" s="152"/>
      <c r="M566" s="152"/>
      <c r="N566" s="152"/>
      <c r="O566" s="152"/>
      <c r="P566" s="152"/>
      <c r="Q566" s="152"/>
      <c r="R566" s="152"/>
      <c r="S566" s="152"/>
      <c r="T566" s="152"/>
      <c r="U566" s="152"/>
      <c r="V566" s="152"/>
      <c r="W566" s="152"/>
      <c r="X566" s="152"/>
      <c r="Y566" s="152"/>
    </row>
    <row r="567">
      <c r="A567" s="152"/>
      <c r="B567" s="152"/>
      <c r="C567" s="152"/>
      <c r="D567" s="152"/>
      <c r="E567" s="152"/>
      <c r="F567" s="152"/>
      <c r="G567" s="152"/>
      <c r="H567" s="152"/>
      <c r="I567" s="152"/>
      <c r="J567" s="152"/>
      <c r="K567" s="152"/>
      <c r="L567" s="152"/>
      <c r="M567" s="152"/>
      <c r="N567" s="152"/>
      <c r="O567" s="152"/>
      <c r="P567" s="152"/>
      <c r="Q567" s="152"/>
      <c r="R567" s="152"/>
      <c r="S567" s="152"/>
      <c r="T567" s="152"/>
      <c r="U567" s="152"/>
      <c r="V567" s="152"/>
      <c r="W567" s="152"/>
      <c r="X567" s="152"/>
      <c r="Y567" s="152"/>
    </row>
    <row r="568">
      <c r="A568" s="152"/>
      <c r="B568" s="152"/>
      <c r="C568" s="152"/>
      <c r="D568" s="152"/>
      <c r="E568" s="152"/>
      <c r="F568" s="152"/>
      <c r="G568" s="152"/>
      <c r="H568" s="152"/>
      <c r="I568" s="152"/>
      <c r="J568" s="152"/>
      <c r="K568" s="152"/>
      <c r="L568" s="152"/>
      <c r="M568" s="152"/>
      <c r="N568" s="152"/>
      <c r="O568" s="152"/>
      <c r="P568" s="152"/>
      <c r="Q568" s="152"/>
      <c r="R568" s="152"/>
      <c r="S568" s="152"/>
      <c r="T568" s="152"/>
      <c r="U568" s="152"/>
      <c r="V568" s="152"/>
      <c r="W568" s="152"/>
      <c r="X568" s="152"/>
      <c r="Y568" s="152"/>
    </row>
    <row r="569">
      <c r="A569" s="152"/>
      <c r="B569" s="152"/>
      <c r="C569" s="152"/>
      <c r="D569" s="152"/>
      <c r="E569" s="152"/>
      <c r="F569" s="152"/>
      <c r="G569" s="152"/>
      <c r="H569" s="152"/>
      <c r="I569" s="152"/>
      <c r="J569" s="152"/>
      <c r="K569" s="152"/>
      <c r="L569" s="152"/>
      <c r="M569" s="152"/>
      <c r="N569" s="152"/>
      <c r="O569" s="152"/>
      <c r="P569" s="152"/>
      <c r="Q569" s="152"/>
      <c r="R569" s="152"/>
      <c r="S569" s="152"/>
      <c r="T569" s="152"/>
      <c r="U569" s="152"/>
      <c r="V569" s="152"/>
      <c r="W569" s="152"/>
      <c r="X569" s="152"/>
      <c r="Y569" s="152"/>
    </row>
    <row r="570">
      <c r="A570" s="152"/>
      <c r="B570" s="152"/>
      <c r="C570" s="152"/>
      <c r="D570" s="152"/>
      <c r="E570" s="152"/>
      <c r="F570" s="152"/>
      <c r="G570" s="152"/>
      <c r="H570" s="152"/>
      <c r="I570" s="152"/>
      <c r="J570" s="152"/>
      <c r="K570" s="152"/>
      <c r="L570" s="152"/>
      <c r="M570" s="152"/>
      <c r="N570" s="152"/>
      <c r="O570" s="152"/>
      <c r="P570" s="152"/>
      <c r="Q570" s="152"/>
      <c r="R570" s="152"/>
      <c r="S570" s="152"/>
      <c r="T570" s="152"/>
      <c r="U570" s="152"/>
      <c r="V570" s="152"/>
      <c r="W570" s="152"/>
      <c r="X570" s="152"/>
      <c r="Y570" s="152"/>
    </row>
    <row r="571">
      <c r="A571" s="152"/>
      <c r="B571" s="152"/>
      <c r="C571" s="152"/>
      <c r="D571" s="152"/>
      <c r="E571" s="152"/>
      <c r="F571" s="152"/>
      <c r="G571" s="152"/>
      <c r="H571" s="152"/>
      <c r="I571" s="152"/>
      <c r="J571" s="152"/>
      <c r="K571" s="152"/>
      <c r="L571" s="152"/>
      <c r="M571" s="152"/>
      <c r="N571" s="152"/>
      <c r="O571" s="152"/>
      <c r="P571" s="152"/>
      <c r="Q571" s="152"/>
      <c r="R571" s="152"/>
      <c r="S571" s="152"/>
      <c r="T571" s="152"/>
      <c r="U571" s="152"/>
      <c r="V571" s="152"/>
      <c r="W571" s="152"/>
      <c r="X571" s="152"/>
      <c r="Y571" s="152"/>
    </row>
    <row r="572">
      <c r="A572" s="152"/>
      <c r="B572" s="152"/>
      <c r="C572" s="152"/>
      <c r="D572" s="152"/>
      <c r="E572" s="152"/>
      <c r="F572" s="152"/>
      <c r="G572" s="152"/>
      <c r="H572" s="152"/>
      <c r="I572" s="152"/>
      <c r="J572" s="152"/>
      <c r="K572" s="152"/>
      <c r="L572" s="152"/>
      <c r="M572" s="152"/>
      <c r="N572" s="152"/>
      <c r="O572" s="152"/>
      <c r="P572" s="152"/>
      <c r="Q572" s="152"/>
      <c r="R572" s="152"/>
      <c r="S572" s="152"/>
      <c r="T572" s="152"/>
      <c r="U572" s="152"/>
      <c r="V572" s="152"/>
      <c r="W572" s="152"/>
      <c r="X572" s="152"/>
      <c r="Y572" s="152"/>
    </row>
    <row r="573">
      <c r="A573" s="152"/>
      <c r="B573" s="152"/>
      <c r="C573" s="152"/>
      <c r="D573" s="152"/>
      <c r="E573" s="152"/>
      <c r="F573" s="152"/>
      <c r="G573" s="152"/>
      <c r="H573" s="152"/>
      <c r="I573" s="152"/>
      <c r="J573" s="152"/>
      <c r="K573" s="152"/>
      <c r="L573" s="152"/>
      <c r="M573" s="152"/>
      <c r="N573" s="152"/>
      <c r="O573" s="152"/>
      <c r="P573" s="152"/>
      <c r="Q573" s="152"/>
      <c r="R573" s="152"/>
      <c r="S573" s="152"/>
      <c r="T573" s="152"/>
      <c r="U573" s="152"/>
      <c r="V573" s="152"/>
      <c r="W573" s="152"/>
      <c r="X573" s="152"/>
      <c r="Y573" s="152"/>
    </row>
    <row r="574">
      <c r="A574" s="152"/>
      <c r="B574" s="152"/>
      <c r="C574" s="152"/>
      <c r="D574" s="152"/>
      <c r="E574" s="152"/>
      <c r="F574" s="152"/>
      <c r="G574" s="152"/>
      <c r="H574" s="152"/>
      <c r="I574" s="152"/>
      <c r="J574" s="152"/>
      <c r="K574" s="152"/>
      <c r="L574" s="152"/>
      <c r="M574" s="152"/>
      <c r="N574" s="152"/>
      <c r="O574" s="152"/>
      <c r="P574" s="152"/>
      <c r="Q574" s="152"/>
      <c r="R574" s="152"/>
      <c r="S574" s="152"/>
      <c r="T574" s="152"/>
      <c r="U574" s="152"/>
      <c r="V574" s="152"/>
      <c r="W574" s="152"/>
      <c r="X574" s="152"/>
      <c r="Y574" s="152"/>
    </row>
    <row r="575">
      <c r="A575" s="152"/>
      <c r="B575" s="152"/>
      <c r="C575" s="152"/>
      <c r="D575" s="152"/>
      <c r="E575" s="152"/>
      <c r="F575" s="152"/>
      <c r="G575" s="152"/>
      <c r="H575" s="152"/>
      <c r="I575" s="152"/>
      <c r="J575" s="152"/>
      <c r="K575" s="152"/>
      <c r="L575" s="152"/>
      <c r="M575" s="152"/>
      <c r="N575" s="152"/>
      <c r="O575" s="152"/>
      <c r="P575" s="152"/>
      <c r="Q575" s="152"/>
      <c r="R575" s="152"/>
      <c r="S575" s="152"/>
      <c r="T575" s="152"/>
      <c r="U575" s="152"/>
      <c r="V575" s="152"/>
      <c r="W575" s="152"/>
      <c r="X575" s="152"/>
      <c r="Y575" s="152"/>
    </row>
    <row r="576">
      <c r="A576" s="152"/>
      <c r="B576" s="152"/>
      <c r="C576" s="152"/>
      <c r="D576" s="152"/>
      <c r="E576" s="152"/>
      <c r="F576" s="152"/>
      <c r="G576" s="152"/>
      <c r="H576" s="152"/>
      <c r="I576" s="152"/>
      <c r="J576" s="152"/>
      <c r="K576" s="152"/>
      <c r="L576" s="152"/>
      <c r="M576" s="152"/>
      <c r="N576" s="152"/>
      <c r="O576" s="152"/>
      <c r="P576" s="152"/>
      <c r="Q576" s="152"/>
      <c r="R576" s="152"/>
      <c r="S576" s="152"/>
      <c r="T576" s="152"/>
      <c r="U576" s="152"/>
      <c r="V576" s="152"/>
      <c r="W576" s="152"/>
      <c r="X576" s="152"/>
      <c r="Y576" s="152"/>
    </row>
    <row r="577">
      <c r="A577" s="152"/>
      <c r="B577" s="152"/>
      <c r="C577" s="152"/>
      <c r="D577" s="152"/>
      <c r="E577" s="152"/>
      <c r="F577" s="152"/>
      <c r="G577" s="152"/>
      <c r="H577" s="152"/>
      <c r="I577" s="152"/>
      <c r="J577" s="152"/>
      <c r="K577" s="152"/>
      <c r="L577" s="152"/>
      <c r="M577" s="152"/>
      <c r="N577" s="152"/>
      <c r="O577" s="152"/>
      <c r="P577" s="152"/>
      <c r="Q577" s="152"/>
      <c r="R577" s="152"/>
      <c r="S577" s="152"/>
      <c r="T577" s="152"/>
      <c r="U577" s="152"/>
      <c r="V577" s="152"/>
      <c r="W577" s="152"/>
      <c r="X577" s="152"/>
      <c r="Y577" s="152"/>
    </row>
    <row r="578">
      <c r="A578" s="152"/>
      <c r="B578" s="152"/>
      <c r="C578" s="152"/>
      <c r="D578" s="152"/>
      <c r="E578" s="152"/>
      <c r="F578" s="152"/>
      <c r="G578" s="152"/>
      <c r="H578" s="152"/>
      <c r="I578" s="152"/>
      <c r="J578" s="152"/>
      <c r="K578" s="152"/>
      <c r="L578" s="152"/>
      <c r="M578" s="152"/>
      <c r="N578" s="152"/>
      <c r="O578" s="152"/>
      <c r="P578" s="152"/>
      <c r="Q578" s="152"/>
      <c r="R578" s="152"/>
      <c r="S578" s="152"/>
      <c r="T578" s="152"/>
      <c r="U578" s="152"/>
      <c r="V578" s="152"/>
      <c r="W578" s="152"/>
      <c r="X578" s="152"/>
      <c r="Y578" s="152"/>
    </row>
    <row r="579">
      <c r="A579" s="152"/>
      <c r="B579" s="152"/>
      <c r="C579" s="152"/>
      <c r="D579" s="152"/>
      <c r="E579" s="152"/>
      <c r="F579" s="152"/>
      <c r="G579" s="152"/>
      <c r="H579" s="152"/>
      <c r="I579" s="152"/>
      <c r="J579" s="152"/>
      <c r="K579" s="152"/>
      <c r="L579" s="152"/>
      <c r="M579" s="152"/>
      <c r="N579" s="152"/>
      <c r="O579" s="152"/>
      <c r="P579" s="152"/>
      <c r="Q579" s="152"/>
      <c r="R579" s="152"/>
      <c r="S579" s="152"/>
      <c r="T579" s="152"/>
      <c r="U579" s="152"/>
      <c r="V579" s="152"/>
      <c r="W579" s="152"/>
      <c r="X579" s="152"/>
      <c r="Y579" s="152"/>
    </row>
    <row r="580">
      <c r="A580" s="152"/>
      <c r="B580" s="152"/>
      <c r="C580" s="152"/>
      <c r="D580" s="152"/>
      <c r="E580" s="152"/>
      <c r="F580" s="152"/>
      <c r="G580" s="152"/>
      <c r="H580" s="152"/>
      <c r="I580" s="152"/>
      <c r="J580" s="152"/>
      <c r="K580" s="152"/>
      <c r="L580" s="152"/>
      <c r="M580" s="152"/>
      <c r="N580" s="152"/>
      <c r="O580" s="152"/>
      <c r="P580" s="152"/>
      <c r="Q580" s="152"/>
      <c r="R580" s="152"/>
      <c r="S580" s="152"/>
      <c r="T580" s="152"/>
      <c r="U580" s="152"/>
      <c r="V580" s="152"/>
      <c r="W580" s="152"/>
      <c r="X580" s="152"/>
      <c r="Y580" s="152"/>
    </row>
    <row r="581">
      <c r="A581" s="152"/>
      <c r="B581" s="152"/>
      <c r="C581" s="152"/>
      <c r="D581" s="152"/>
      <c r="E581" s="152"/>
      <c r="F581" s="152"/>
      <c r="G581" s="152"/>
      <c r="H581" s="152"/>
      <c r="I581" s="152"/>
      <c r="J581" s="152"/>
      <c r="K581" s="152"/>
      <c r="L581" s="152"/>
      <c r="M581" s="152"/>
      <c r="N581" s="152"/>
      <c r="O581" s="152"/>
      <c r="P581" s="152"/>
      <c r="Q581" s="152"/>
      <c r="R581" s="152"/>
      <c r="S581" s="152"/>
      <c r="T581" s="152"/>
      <c r="U581" s="152"/>
      <c r="V581" s="152"/>
      <c r="W581" s="152"/>
      <c r="X581" s="152"/>
      <c r="Y581" s="152"/>
    </row>
    <row r="582">
      <c r="A582" s="152"/>
      <c r="B582" s="152"/>
      <c r="C582" s="152"/>
      <c r="D582" s="152"/>
      <c r="E582" s="152"/>
      <c r="F582" s="152"/>
      <c r="G582" s="152"/>
      <c r="H582" s="152"/>
      <c r="I582" s="152"/>
      <c r="J582" s="152"/>
      <c r="K582" s="152"/>
      <c r="L582" s="152"/>
      <c r="M582" s="152"/>
      <c r="N582" s="152"/>
      <c r="O582" s="152"/>
      <c r="P582" s="152"/>
      <c r="Q582" s="152"/>
      <c r="R582" s="152"/>
      <c r="S582" s="152"/>
      <c r="T582" s="152"/>
      <c r="U582" s="152"/>
      <c r="V582" s="152"/>
      <c r="W582" s="152"/>
      <c r="X582" s="152"/>
      <c r="Y582" s="152"/>
    </row>
    <row r="583">
      <c r="A583" s="152"/>
      <c r="B583" s="152"/>
      <c r="C583" s="152"/>
      <c r="D583" s="152"/>
      <c r="E583" s="152"/>
      <c r="F583" s="152"/>
      <c r="G583" s="152"/>
      <c r="H583" s="152"/>
      <c r="I583" s="152"/>
      <c r="J583" s="152"/>
      <c r="K583" s="152"/>
      <c r="L583" s="152"/>
      <c r="M583" s="152"/>
      <c r="N583" s="152"/>
      <c r="O583" s="152"/>
      <c r="P583" s="152"/>
      <c r="Q583" s="152"/>
      <c r="R583" s="152"/>
      <c r="S583" s="152"/>
      <c r="T583" s="152"/>
      <c r="U583" s="152"/>
      <c r="V583" s="152"/>
      <c r="W583" s="152"/>
      <c r="X583" s="152"/>
      <c r="Y583" s="152"/>
    </row>
    <row r="584">
      <c r="A584" s="152"/>
      <c r="B584" s="152"/>
      <c r="C584" s="152"/>
      <c r="D584" s="152"/>
      <c r="E584" s="152"/>
      <c r="F584" s="152"/>
      <c r="G584" s="152"/>
      <c r="H584" s="152"/>
      <c r="I584" s="152"/>
      <c r="J584" s="152"/>
      <c r="K584" s="152"/>
      <c r="L584" s="152"/>
      <c r="M584" s="152"/>
      <c r="N584" s="152"/>
      <c r="O584" s="152"/>
      <c r="P584" s="152"/>
      <c r="Q584" s="152"/>
      <c r="R584" s="152"/>
      <c r="S584" s="152"/>
      <c r="T584" s="152"/>
      <c r="U584" s="152"/>
      <c r="V584" s="152"/>
      <c r="W584" s="152"/>
      <c r="X584" s="152"/>
      <c r="Y584" s="152"/>
    </row>
    <row r="585">
      <c r="A585" s="152"/>
      <c r="B585" s="152"/>
      <c r="C585" s="152"/>
      <c r="D585" s="152"/>
      <c r="E585" s="152"/>
      <c r="F585" s="152"/>
      <c r="G585" s="152"/>
      <c r="H585" s="152"/>
      <c r="I585" s="152"/>
      <c r="J585" s="152"/>
      <c r="K585" s="152"/>
      <c r="L585" s="152"/>
      <c r="M585" s="152"/>
      <c r="N585" s="152"/>
      <c r="O585" s="152"/>
      <c r="P585" s="152"/>
      <c r="Q585" s="152"/>
      <c r="R585" s="152"/>
      <c r="S585" s="152"/>
      <c r="T585" s="152"/>
      <c r="U585" s="152"/>
      <c r="V585" s="152"/>
      <c r="W585" s="152"/>
      <c r="X585" s="152"/>
      <c r="Y585" s="152"/>
    </row>
    <row r="586">
      <c r="A586" s="152"/>
      <c r="B586" s="152"/>
      <c r="C586" s="152"/>
      <c r="D586" s="152"/>
      <c r="E586" s="152"/>
      <c r="F586" s="152"/>
      <c r="G586" s="152"/>
      <c r="H586" s="152"/>
      <c r="I586" s="152"/>
      <c r="J586" s="152"/>
      <c r="K586" s="152"/>
      <c r="L586" s="152"/>
      <c r="M586" s="152"/>
      <c r="N586" s="152"/>
      <c r="O586" s="152"/>
      <c r="P586" s="152"/>
      <c r="Q586" s="152"/>
      <c r="R586" s="152"/>
      <c r="S586" s="152"/>
      <c r="T586" s="152"/>
      <c r="U586" s="152"/>
      <c r="V586" s="152"/>
      <c r="W586" s="152"/>
      <c r="X586" s="152"/>
      <c r="Y586" s="152"/>
    </row>
    <row r="587">
      <c r="A587" s="152"/>
      <c r="B587" s="152"/>
      <c r="C587" s="152"/>
      <c r="D587" s="152"/>
      <c r="E587" s="152"/>
      <c r="F587" s="152"/>
      <c r="G587" s="152"/>
      <c r="H587" s="152"/>
      <c r="I587" s="152"/>
      <c r="J587" s="152"/>
      <c r="K587" s="152"/>
      <c r="L587" s="152"/>
      <c r="M587" s="152"/>
      <c r="N587" s="152"/>
      <c r="O587" s="152"/>
      <c r="P587" s="152"/>
      <c r="Q587" s="152"/>
      <c r="R587" s="152"/>
      <c r="S587" s="152"/>
      <c r="T587" s="152"/>
      <c r="U587" s="152"/>
      <c r="V587" s="152"/>
      <c r="W587" s="152"/>
      <c r="X587" s="152"/>
      <c r="Y587" s="152"/>
    </row>
    <row r="588">
      <c r="A588" s="152"/>
      <c r="B588" s="152"/>
      <c r="C588" s="152"/>
      <c r="D588" s="152"/>
      <c r="E588" s="152"/>
      <c r="F588" s="152"/>
      <c r="G588" s="152"/>
      <c r="H588" s="152"/>
      <c r="I588" s="152"/>
      <c r="J588" s="152"/>
      <c r="K588" s="152"/>
      <c r="L588" s="152"/>
      <c r="M588" s="152"/>
      <c r="N588" s="152"/>
      <c r="O588" s="152"/>
      <c r="P588" s="152"/>
      <c r="Q588" s="152"/>
      <c r="R588" s="152"/>
      <c r="S588" s="152"/>
      <c r="T588" s="152"/>
      <c r="U588" s="152"/>
      <c r="V588" s="152"/>
      <c r="W588" s="152"/>
      <c r="X588" s="152"/>
      <c r="Y588" s="152"/>
    </row>
    <row r="589">
      <c r="A589" s="152"/>
      <c r="B589" s="152"/>
      <c r="C589" s="152"/>
      <c r="D589" s="152"/>
      <c r="E589" s="152"/>
      <c r="F589" s="152"/>
      <c r="G589" s="152"/>
      <c r="H589" s="152"/>
      <c r="I589" s="152"/>
      <c r="J589" s="152"/>
      <c r="K589" s="152"/>
      <c r="L589" s="152"/>
      <c r="M589" s="152"/>
      <c r="N589" s="152"/>
      <c r="O589" s="152"/>
      <c r="P589" s="152"/>
      <c r="Q589" s="152"/>
      <c r="R589" s="152"/>
      <c r="S589" s="152"/>
      <c r="T589" s="152"/>
      <c r="U589" s="152"/>
      <c r="V589" s="152"/>
      <c r="W589" s="152"/>
      <c r="X589" s="152"/>
      <c r="Y589" s="152"/>
    </row>
    <row r="590">
      <c r="A590" s="152"/>
      <c r="B590" s="152"/>
      <c r="C590" s="152"/>
      <c r="D590" s="152"/>
      <c r="E590" s="152"/>
      <c r="F590" s="152"/>
      <c r="G590" s="152"/>
      <c r="H590" s="152"/>
      <c r="I590" s="152"/>
      <c r="J590" s="152"/>
      <c r="K590" s="152"/>
      <c r="L590" s="152"/>
      <c r="M590" s="152"/>
      <c r="N590" s="152"/>
      <c r="O590" s="152"/>
      <c r="P590" s="152"/>
      <c r="Q590" s="152"/>
      <c r="R590" s="152"/>
      <c r="S590" s="152"/>
      <c r="T590" s="152"/>
      <c r="U590" s="152"/>
      <c r="V590" s="152"/>
      <c r="W590" s="152"/>
      <c r="X590" s="152"/>
      <c r="Y590" s="152"/>
    </row>
    <row r="591">
      <c r="A591" s="152"/>
      <c r="B591" s="152"/>
      <c r="C591" s="152"/>
      <c r="D591" s="152"/>
      <c r="E591" s="152"/>
      <c r="F591" s="152"/>
      <c r="G591" s="152"/>
      <c r="H591" s="152"/>
      <c r="I591" s="152"/>
      <c r="J591" s="152"/>
      <c r="K591" s="152"/>
      <c r="L591" s="152"/>
      <c r="M591" s="152"/>
      <c r="N591" s="152"/>
      <c r="O591" s="152"/>
      <c r="P591" s="152"/>
      <c r="Q591" s="152"/>
      <c r="R591" s="152"/>
      <c r="S591" s="152"/>
      <c r="T591" s="152"/>
      <c r="U591" s="152"/>
      <c r="V591" s="152"/>
      <c r="W591" s="152"/>
      <c r="X591" s="152"/>
      <c r="Y591" s="152"/>
    </row>
    <row r="592">
      <c r="A592" s="152"/>
      <c r="B592" s="152"/>
      <c r="C592" s="152"/>
      <c r="D592" s="152"/>
      <c r="E592" s="152"/>
      <c r="F592" s="152"/>
      <c r="G592" s="152"/>
      <c r="H592" s="152"/>
      <c r="I592" s="152"/>
      <c r="J592" s="152"/>
      <c r="K592" s="152"/>
      <c r="L592" s="152"/>
      <c r="M592" s="152"/>
      <c r="N592" s="152"/>
      <c r="O592" s="152"/>
      <c r="P592" s="152"/>
      <c r="Q592" s="152"/>
      <c r="R592" s="152"/>
      <c r="S592" s="152"/>
      <c r="T592" s="152"/>
      <c r="U592" s="152"/>
      <c r="V592" s="152"/>
      <c r="W592" s="152"/>
      <c r="X592" s="152"/>
      <c r="Y592" s="152"/>
    </row>
    <row r="593">
      <c r="A593" s="152"/>
      <c r="B593" s="152"/>
      <c r="C593" s="152"/>
      <c r="D593" s="152"/>
      <c r="E593" s="152"/>
      <c r="F593" s="152"/>
      <c r="G593" s="152"/>
      <c r="H593" s="152"/>
      <c r="I593" s="152"/>
      <c r="J593" s="152"/>
      <c r="K593" s="152"/>
      <c r="L593" s="152"/>
      <c r="M593" s="152"/>
      <c r="N593" s="152"/>
      <c r="O593" s="152"/>
      <c r="P593" s="152"/>
      <c r="Q593" s="152"/>
      <c r="R593" s="152"/>
      <c r="S593" s="152"/>
      <c r="T593" s="152"/>
      <c r="U593" s="152"/>
      <c r="V593" s="152"/>
      <c r="W593" s="152"/>
      <c r="X593" s="152"/>
      <c r="Y593" s="152"/>
    </row>
    <row r="594">
      <c r="A594" s="152"/>
      <c r="B594" s="152"/>
      <c r="C594" s="152"/>
      <c r="D594" s="152"/>
      <c r="E594" s="152"/>
      <c r="F594" s="152"/>
      <c r="G594" s="152"/>
      <c r="H594" s="152"/>
      <c r="I594" s="152"/>
      <c r="J594" s="152"/>
      <c r="K594" s="152"/>
      <c r="L594" s="152"/>
      <c r="M594" s="152"/>
      <c r="N594" s="152"/>
      <c r="O594" s="152"/>
      <c r="P594" s="152"/>
      <c r="Q594" s="152"/>
      <c r="R594" s="152"/>
      <c r="S594" s="152"/>
      <c r="T594" s="152"/>
      <c r="U594" s="152"/>
      <c r="V594" s="152"/>
      <c r="W594" s="152"/>
      <c r="X594" s="152"/>
      <c r="Y594" s="152"/>
    </row>
    <row r="595">
      <c r="A595" s="152"/>
      <c r="B595" s="152"/>
      <c r="C595" s="152"/>
      <c r="D595" s="152"/>
      <c r="E595" s="152"/>
      <c r="F595" s="152"/>
      <c r="G595" s="152"/>
      <c r="H595" s="152"/>
      <c r="I595" s="152"/>
      <c r="J595" s="152"/>
      <c r="K595" s="152"/>
      <c r="L595" s="152"/>
      <c r="M595" s="152"/>
      <c r="N595" s="152"/>
      <c r="O595" s="152"/>
      <c r="P595" s="152"/>
      <c r="Q595" s="152"/>
      <c r="R595" s="152"/>
      <c r="S595" s="152"/>
      <c r="T595" s="152"/>
      <c r="U595" s="152"/>
      <c r="V595" s="152"/>
      <c r="W595" s="152"/>
      <c r="X595" s="152"/>
      <c r="Y595" s="152"/>
    </row>
    <row r="596">
      <c r="A596" s="152"/>
      <c r="B596" s="152"/>
      <c r="C596" s="152"/>
      <c r="D596" s="152"/>
      <c r="E596" s="152"/>
      <c r="F596" s="152"/>
      <c r="G596" s="152"/>
      <c r="H596" s="152"/>
      <c r="I596" s="152"/>
      <c r="J596" s="152"/>
      <c r="K596" s="152"/>
      <c r="L596" s="152"/>
      <c r="M596" s="152"/>
      <c r="N596" s="152"/>
      <c r="O596" s="152"/>
      <c r="P596" s="152"/>
      <c r="Q596" s="152"/>
      <c r="R596" s="152"/>
      <c r="S596" s="152"/>
      <c r="T596" s="152"/>
      <c r="U596" s="152"/>
      <c r="V596" s="152"/>
      <c r="W596" s="152"/>
      <c r="X596" s="152"/>
      <c r="Y596" s="152"/>
    </row>
    <row r="597">
      <c r="A597" s="152"/>
      <c r="B597" s="152"/>
      <c r="C597" s="152"/>
      <c r="D597" s="152"/>
      <c r="E597" s="152"/>
      <c r="F597" s="152"/>
      <c r="G597" s="152"/>
      <c r="H597" s="152"/>
      <c r="I597" s="152"/>
      <c r="J597" s="152"/>
      <c r="K597" s="152"/>
      <c r="L597" s="152"/>
      <c r="M597" s="152"/>
      <c r="N597" s="152"/>
      <c r="O597" s="152"/>
      <c r="P597" s="152"/>
      <c r="Q597" s="152"/>
      <c r="R597" s="152"/>
      <c r="S597" s="152"/>
      <c r="T597" s="152"/>
      <c r="U597" s="152"/>
      <c r="V597" s="152"/>
      <c r="W597" s="152"/>
      <c r="X597" s="152"/>
      <c r="Y597" s="152"/>
    </row>
    <row r="598">
      <c r="A598" s="152"/>
      <c r="B598" s="152"/>
      <c r="C598" s="152"/>
      <c r="D598" s="152"/>
      <c r="E598" s="152"/>
      <c r="F598" s="152"/>
      <c r="G598" s="152"/>
      <c r="H598" s="152"/>
      <c r="I598" s="152"/>
      <c r="J598" s="152"/>
      <c r="K598" s="152"/>
      <c r="L598" s="152"/>
      <c r="M598" s="152"/>
      <c r="N598" s="152"/>
      <c r="O598" s="152"/>
      <c r="P598" s="152"/>
      <c r="Q598" s="152"/>
      <c r="R598" s="152"/>
      <c r="S598" s="152"/>
      <c r="T598" s="152"/>
      <c r="U598" s="152"/>
      <c r="V598" s="152"/>
      <c r="W598" s="152"/>
      <c r="X598" s="152"/>
      <c r="Y598" s="152"/>
    </row>
    <row r="599">
      <c r="A599" s="152"/>
      <c r="B599" s="152"/>
      <c r="C599" s="152"/>
      <c r="D599" s="152"/>
      <c r="E599" s="152"/>
      <c r="F599" s="152"/>
      <c r="G599" s="152"/>
      <c r="H599" s="152"/>
      <c r="I599" s="152"/>
      <c r="J599" s="152"/>
      <c r="K599" s="152"/>
      <c r="L599" s="152"/>
      <c r="M599" s="152"/>
      <c r="N599" s="152"/>
      <c r="O599" s="152"/>
      <c r="P599" s="152"/>
      <c r="Q599" s="152"/>
      <c r="R599" s="152"/>
      <c r="S599" s="152"/>
      <c r="T599" s="152"/>
      <c r="U599" s="152"/>
      <c r="V599" s="152"/>
      <c r="W599" s="152"/>
      <c r="X599" s="152"/>
      <c r="Y599" s="152"/>
    </row>
    <row r="600">
      <c r="A600" s="152"/>
      <c r="B600" s="152"/>
      <c r="C600" s="152"/>
      <c r="D600" s="152"/>
      <c r="E600" s="152"/>
      <c r="F600" s="152"/>
      <c r="G600" s="152"/>
      <c r="H600" s="152"/>
      <c r="I600" s="152"/>
      <c r="J600" s="152"/>
      <c r="K600" s="152"/>
      <c r="L600" s="152"/>
      <c r="M600" s="152"/>
      <c r="N600" s="152"/>
      <c r="O600" s="152"/>
      <c r="P600" s="152"/>
      <c r="Q600" s="152"/>
      <c r="R600" s="152"/>
      <c r="S600" s="152"/>
      <c r="T600" s="152"/>
      <c r="U600" s="152"/>
      <c r="V600" s="152"/>
      <c r="W600" s="152"/>
      <c r="X600" s="152"/>
      <c r="Y600" s="152"/>
    </row>
    <row r="601">
      <c r="A601" s="152"/>
      <c r="B601" s="152"/>
      <c r="C601" s="152"/>
      <c r="D601" s="152"/>
      <c r="E601" s="152"/>
      <c r="F601" s="152"/>
      <c r="G601" s="152"/>
      <c r="H601" s="152"/>
      <c r="I601" s="152"/>
      <c r="J601" s="152"/>
      <c r="K601" s="152"/>
      <c r="L601" s="152"/>
      <c r="M601" s="152"/>
      <c r="N601" s="152"/>
      <c r="O601" s="152"/>
      <c r="P601" s="152"/>
      <c r="Q601" s="152"/>
      <c r="R601" s="152"/>
      <c r="S601" s="152"/>
      <c r="T601" s="152"/>
      <c r="U601" s="152"/>
      <c r="V601" s="152"/>
      <c r="W601" s="152"/>
      <c r="X601" s="152"/>
      <c r="Y601" s="152"/>
    </row>
    <row r="602">
      <c r="A602" s="152"/>
      <c r="B602" s="152"/>
      <c r="C602" s="152"/>
      <c r="D602" s="152"/>
      <c r="E602" s="152"/>
      <c r="F602" s="152"/>
      <c r="G602" s="152"/>
      <c r="H602" s="152"/>
      <c r="I602" s="152"/>
      <c r="J602" s="152"/>
      <c r="K602" s="152"/>
      <c r="L602" s="152"/>
      <c r="M602" s="152"/>
      <c r="N602" s="152"/>
      <c r="O602" s="152"/>
      <c r="P602" s="152"/>
      <c r="Q602" s="152"/>
      <c r="R602" s="152"/>
      <c r="S602" s="152"/>
      <c r="T602" s="152"/>
      <c r="U602" s="152"/>
      <c r="V602" s="152"/>
      <c r="W602" s="152"/>
      <c r="X602" s="152"/>
      <c r="Y602" s="152"/>
    </row>
    <row r="603">
      <c r="A603" s="152"/>
      <c r="B603" s="152"/>
      <c r="C603" s="152"/>
      <c r="D603" s="152"/>
      <c r="E603" s="152"/>
      <c r="F603" s="152"/>
      <c r="G603" s="152"/>
      <c r="H603" s="152"/>
      <c r="I603" s="152"/>
      <c r="J603" s="152"/>
      <c r="K603" s="152"/>
      <c r="L603" s="152"/>
      <c r="M603" s="152"/>
      <c r="N603" s="152"/>
      <c r="O603" s="152"/>
      <c r="P603" s="152"/>
      <c r="Q603" s="152"/>
      <c r="R603" s="152"/>
      <c r="S603" s="152"/>
      <c r="T603" s="152"/>
      <c r="U603" s="152"/>
      <c r="V603" s="152"/>
      <c r="W603" s="152"/>
      <c r="X603" s="152"/>
      <c r="Y603" s="152"/>
    </row>
    <row r="604">
      <c r="A604" s="152"/>
      <c r="B604" s="152"/>
      <c r="C604" s="152"/>
      <c r="D604" s="152"/>
      <c r="E604" s="152"/>
      <c r="F604" s="152"/>
      <c r="G604" s="152"/>
      <c r="H604" s="152"/>
      <c r="I604" s="152"/>
      <c r="J604" s="152"/>
      <c r="K604" s="152"/>
      <c r="L604" s="152"/>
      <c r="M604" s="152"/>
      <c r="N604" s="152"/>
      <c r="O604" s="152"/>
      <c r="P604" s="152"/>
      <c r="Q604" s="152"/>
      <c r="R604" s="152"/>
      <c r="S604" s="152"/>
      <c r="T604" s="152"/>
      <c r="U604" s="152"/>
      <c r="V604" s="152"/>
      <c r="W604" s="152"/>
      <c r="X604" s="152"/>
      <c r="Y604" s="152"/>
    </row>
    <row r="605">
      <c r="A605" s="152"/>
      <c r="B605" s="152"/>
      <c r="C605" s="152"/>
      <c r="D605" s="152"/>
      <c r="E605" s="152"/>
      <c r="F605" s="152"/>
      <c r="G605" s="152"/>
      <c r="H605" s="152"/>
      <c r="I605" s="152"/>
      <c r="J605" s="152"/>
      <c r="K605" s="152"/>
      <c r="L605" s="152"/>
      <c r="M605" s="152"/>
      <c r="N605" s="152"/>
      <c r="O605" s="152"/>
      <c r="P605" s="152"/>
      <c r="Q605" s="152"/>
      <c r="R605" s="152"/>
      <c r="S605" s="152"/>
      <c r="T605" s="152"/>
      <c r="U605" s="152"/>
      <c r="V605" s="152"/>
      <c r="W605" s="152"/>
      <c r="X605" s="152"/>
      <c r="Y605" s="152"/>
    </row>
    <row r="606">
      <c r="A606" s="152"/>
      <c r="B606" s="152"/>
      <c r="C606" s="152"/>
      <c r="D606" s="152"/>
      <c r="E606" s="152"/>
      <c r="F606" s="152"/>
      <c r="G606" s="152"/>
      <c r="H606" s="152"/>
      <c r="I606" s="152"/>
      <c r="J606" s="152"/>
      <c r="K606" s="152"/>
      <c r="L606" s="152"/>
      <c r="M606" s="152"/>
      <c r="N606" s="152"/>
      <c r="O606" s="152"/>
      <c r="P606" s="152"/>
      <c r="Q606" s="152"/>
      <c r="R606" s="152"/>
      <c r="S606" s="152"/>
      <c r="T606" s="152"/>
      <c r="U606" s="152"/>
      <c r="V606" s="152"/>
      <c r="W606" s="152"/>
      <c r="X606" s="152"/>
      <c r="Y606" s="152"/>
    </row>
    <row r="607">
      <c r="A607" s="152"/>
      <c r="B607" s="152"/>
      <c r="C607" s="152"/>
      <c r="D607" s="152"/>
      <c r="E607" s="152"/>
      <c r="F607" s="152"/>
      <c r="G607" s="152"/>
      <c r="H607" s="152"/>
      <c r="I607" s="152"/>
      <c r="J607" s="152"/>
      <c r="K607" s="152"/>
      <c r="L607" s="152"/>
      <c r="M607" s="152"/>
      <c r="N607" s="152"/>
      <c r="O607" s="152"/>
      <c r="P607" s="152"/>
      <c r="Q607" s="152"/>
      <c r="R607" s="152"/>
      <c r="S607" s="152"/>
      <c r="T607" s="152"/>
      <c r="U607" s="152"/>
      <c r="V607" s="152"/>
      <c r="W607" s="152"/>
      <c r="X607" s="152"/>
      <c r="Y607" s="152"/>
    </row>
    <row r="608">
      <c r="A608" s="152"/>
      <c r="B608" s="152"/>
      <c r="C608" s="152"/>
      <c r="D608" s="152"/>
      <c r="E608" s="152"/>
      <c r="F608" s="152"/>
      <c r="G608" s="152"/>
      <c r="H608" s="152"/>
      <c r="I608" s="152"/>
      <c r="J608" s="152"/>
      <c r="K608" s="152"/>
      <c r="L608" s="152"/>
      <c r="M608" s="152"/>
      <c r="N608" s="152"/>
      <c r="O608" s="152"/>
      <c r="P608" s="152"/>
      <c r="Q608" s="152"/>
      <c r="R608" s="152"/>
      <c r="S608" s="152"/>
      <c r="T608" s="152"/>
      <c r="U608" s="152"/>
      <c r="V608" s="152"/>
      <c r="W608" s="152"/>
      <c r="X608" s="152"/>
      <c r="Y608" s="152"/>
    </row>
    <row r="609">
      <c r="A609" s="152"/>
      <c r="B609" s="152"/>
      <c r="C609" s="152"/>
      <c r="D609" s="152"/>
      <c r="E609" s="152"/>
      <c r="F609" s="152"/>
      <c r="G609" s="152"/>
      <c r="H609" s="152"/>
      <c r="I609" s="152"/>
      <c r="J609" s="152"/>
      <c r="K609" s="152"/>
      <c r="L609" s="152"/>
      <c r="M609" s="152"/>
      <c r="N609" s="152"/>
      <c r="O609" s="152"/>
      <c r="P609" s="152"/>
      <c r="Q609" s="152"/>
      <c r="R609" s="152"/>
      <c r="S609" s="152"/>
      <c r="T609" s="152"/>
      <c r="U609" s="152"/>
      <c r="V609" s="152"/>
      <c r="W609" s="152"/>
      <c r="X609" s="152"/>
      <c r="Y609" s="152"/>
    </row>
    <row r="610">
      <c r="A610" s="152"/>
      <c r="B610" s="152"/>
      <c r="C610" s="152"/>
      <c r="D610" s="152"/>
      <c r="E610" s="152"/>
      <c r="F610" s="152"/>
      <c r="G610" s="152"/>
      <c r="H610" s="152"/>
      <c r="I610" s="152"/>
      <c r="J610" s="152"/>
      <c r="K610" s="152"/>
      <c r="L610" s="152"/>
      <c r="M610" s="152"/>
      <c r="N610" s="152"/>
      <c r="O610" s="152"/>
      <c r="P610" s="152"/>
      <c r="Q610" s="152"/>
      <c r="R610" s="152"/>
      <c r="S610" s="152"/>
      <c r="T610" s="152"/>
      <c r="U610" s="152"/>
      <c r="V610" s="152"/>
      <c r="W610" s="152"/>
      <c r="X610" s="152"/>
      <c r="Y610" s="152"/>
    </row>
    <row r="611">
      <c r="A611" s="152"/>
      <c r="B611" s="152"/>
      <c r="C611" s="152"/>
      <c r="D611" s="152"/>
      <c r="E611" s="152"/>
      <c r="F611" s="152"/>
      <c r="G611" s="152"/>
      <c r="H611" s="152"/>
      <c r="I611" s="152"/>
      <c r="J611" s="152"/>
      <c r="K611" s="152"/>
      <c r="L611" s="152"/>
      <c r="M611" s="152"/>
      <c r="N611" s="152"/>
      <c r="O611" s="152"/>
      <c r="P611" s="152"/>
      <c r="Q611" s="152"/>
      <c r="R611" s="152"/>
      <c r="S611" s="152"/>
      <c r="T611" s="152"/>
      <c r="U611" s="152"/>
      <c r="V611" s="152"/>
      <c r="W611" s="152"/>
      <c r="X611" s="152"/>
      <c r="Y611" s="152"/>
    </row>
    <row r="612">
      <c r="A612" s="152"/>
      <c r="B612" s="152"/>
      <c r="C612" s="152"/>
      <c r="D612" s="152"/>
      <c r="E612" s="152"/>
      <c r="F612" s="152"/>
      <c r="G612" s="152"/>
      <c r="H612" s="152"/>
      <c r="I612" s="152"/>
      <c r="J612" s="152"/>
      <c r="K612" s="152"/>
      <c r="L612" s="152"/>
      <c r="M612" s="152"/>
      <c r="N612" s="152"/>
      <c r="O612" s="152"/>
      <c r="P612" s="152"/>
      <c r="Q612" s="152"/>
      <c r="R612" s="152"/>
      <c r="S612" s="152"/>
      <c r="T612" s="152"/>
      <c r="U612" s="152"/>
      <c r="V612" s="152"/>
      <c r="W612" s="152"/>
      <c r="X612" s="152"/>
      <c r="Y612" s="152"/>
    </row>
    <row r="613">
      <c r="A613" s="152"/>
      <c r="B613" s="152"/>
      <c r="C613" s="152"/>
      <c r="D613" s="152"/>
      <c r="E613" s="152"/>
      <c r="F613" s="152"/>
      <c r="G613" s="152"/>
      <c r="H613" s="152"/>
      <c r="I613" s="152"/>
      <c r="J613" s="152"/>
      <c r="K613" s="152"/>
      <c r="L613" s="152"/>
      <c r="M613" s="152"/>
      <c r="N613" s="152"/>
      <c r="O613" s="152"/>
      <c r="P613" s="152"/>
      <c r="Q613" s="152"/>
      <c r="R613" s="152"/>
      <c r="S613" s="152"/>
      <c r="T613" s="152"/>
      <c r="U613" s="152"/>
      <c r="V613" s="152"/>
      <c r="W613" s="152"/>
      <c r="X613" s="152"/>
      <c r="Y613" s="152"/>
    </row>
    <row r="614">
      <c r="A614" s="152"/>
      <c r="B614" s="152"/>
      <c r="C614" s="152"/>
      <c r="D614" s="152"/>
      <c r="E614" s="152"/>
      <c r="F614" s="152"/>
      <c r="G614" s="152"/>
      <c r="H614" s="152"/>
      <c r="I614" s="152"/>
      <c r="J614" s="152"/>
      <c r="K614" s="152"/>
      <c r="L614" s="152"/>
      <c r="M614" s="152"/>
      <c r="N614" s="152"/>
      <c r="O614" s="152"/>
      <c r="P614" s="152"/>
      <c r="Q614" s="152"/>
      <c r="R614" s="152"/>
      <c r="S614" s="152"/>
      <c r="T614" s="152"/>
      <c r="U614" s="152"/>
      <c r="V614" s="152"/>
      <c r="W614" s="152"/>
      <c r="X614" s="152"/>
      <c r="Y614" s="152"/>
    </row>
    <row r="615">
      <c r="A615" s="152"/>
      <c r="B615" s="152"/>
      <c r="C615" s="152"/>
      <c r="D615" s="152"/>
      <c r="E615" s="152"/>
      <c r="F615" s="152"/>
      <c r="G615" s="152"/>
      <c r="H615" s="152"/>
      <c r="I615" s="152"/>
      <c r="J615" s="152"/>
      <c r="K615" s="152"/>
      <c r="L615" s="152"/>
      <c r="M615" s="152"/>
      <c r="N615" s="152"/>
      <c r="O615" s="152"/>
      <c r="P615" s="152"/>
      <c r="Q615" s="152"/>
      <c r="R615" s="152"/>
      <c r="S615" s="152"/>
      <c r="T615" s="152"/>
      <c r="U615" s="152"/>
      <c r="V615" s="152"/>
      <c r="W615" s="152"/>
      <c r="X615" s="152"/>
      <c r="Y615" s="152"/>
    </row>
    <row r="616">
      <c r="A616" s="152"/>
      <c r="B616" s="152"/>
      <c r="C616" s="152"/>
      <c r="D616" s="152"/>
      <c r="E616" s="152"/>
      <c r="F616" s="152"/>
      <c r="G616" s="152"/>
      <c r="H616" s="152"/>
      <c r="I616" s="152"/>
      <c r="J616" s="152"/>
      <c r="K616" s="152"/>
      <c r="L616" s="152"/>
      <c r="M616" s="152"/>
      <c r="N616" s="152"/>
      <c r="O616" s="152"/>
      <c r="P616" s="152"/>
      <c r="Q616" s="152"/>
      <c r="R616" s="152"/>
      <c r="S616" s="152"/>
      <c r="T616" s="152"/>
      <c r="U616" s="152"/>
      <c r="V616" s="152"/>
      <c r="W616" s="152"/>
      <c r="X616" s="152"/>
      <c r="Y616" s="152"/>
    </row>
    <row r="617">
      <c r="A617" s="152"/>
      <c r="B617" s="152"/>
      <c r="C617" s="152"/>
      <c r="D617" s="152"/>
      <c r="E617" s="152"/>
      <c r="F617" s="152"/>
      <c r="G617" s="152"/>
      <c r="H617" s="152"/>
      <c r="I617" s="152"/>
      <c r="J617" s="152"/>
      <c r="K617" s="152"/>
      <c r="L617" s="152"/>
      <c r="M617" s="152"/>
      <c r="N617" s="152"/>
      <c r="O617" s="152"/>
      <c r="P617" s="152"/>
      <c r="Q617" s="152"/>
      <c r="R617" s="152"/>
      <c r="S617" s="152"/>
      <c r="T617" s="152"/>
      <c r="U617" s="152"/>
      <c r="V617" s="152"/>
      <c r="W617" s="152"/>
      <c r="X617" s="152"/>
      <c r="Y617" s="152"/>
    </row>
    <row r="618">
      <c r="A618" s="152"/>
      <c r="B618" s="152"/>
      <c r="C618" s="152"/>
      <c r="D618" s="152"/>
      <c r="E618" s="152"/>
      <c r="F618" s="152"/>
      <c r="G618" s="152"/>
      <c r="H618" s="152"/>
      <c r="I618" s="152"/>
      <c r="J618" s="152"/>
      <c r="K618" s="152"/>
      <c r="L618" s="152"/>
      <c r="M618" s="152"/>
      <c r="N618" s="152"/>
      <c r="O618" s="152"/>
      <c r="P618" s="152"/>
      <c r="Q618" s="152"/>
      <c r="R618" s="152"/>
      <c r="S618" s="152"/>
      <c r="T618" s="152"/>
      <c r="U618" s="152"/>
      <c r="V618" s="152"/>
      <c r="W618" s="152"/>
      <c r="X618" s="152"/>
      <c r="Y618" s="152"/>
    </row>
    <row r="619">
      <c r="A619" s="152"/>
      <c r="B619" s="152"/>
      <c r="C619" s="152"/>
      <c r="D619" s="152"/>
      <c r="E619" s="152"/>
      <c r="F619" s="152"/>
      <c r="G619" s="152"/>
      <c r="H619" s="152"/>
      <c r="I619" s="152"/>
      <c r="J619" s="152"/>
      <c r="K619" s="152"/>
      <c r="L619" s="152"/>
      <c r="M619" s="152"/>
      <c r="N619" s="152"/>
      <c r="O619" s="152"/>
      <c r="P619" s="152"/>
      <c r="Q619" s="152"/>
      <c r="R619" s="152"/>
      <c r="S619" s="152"/>
      <c r="T619" s="152"/>
      <c r="U619" s="152"/>
      <c r="V619" s="152"/>
      <c r="W619" s="152"/>
      <c r="X619" s="152"/>
      <c r="Y619" s="152"/>
    </row>
    <row r="620">
      <c r="A620" s="152"/>
      <c r="B620" s="152"/>
      <c r="C620" s="152"/>
      <c r="D620" s="152"/>
      <c r="E620" s="152"/>
      <c r="F620" s="152"/>
      <c r="G620" s="152"/>
      <c r="H620" s="152"/>
      <c r="I620" s="152"/>
      <c r="J620" s="152"/>
      <c r="K620" s="152"/>
      <c r="L620" s="152"/>
      <c r="M620" s="152"/>
      <c r="N620" s="152"/>
      <c r="O620" s="152"/>
      <c r="P620" s="152"/>
      <c r="Q620" s="152"/>
      <c r="R620" s="152"/>
      <c r="S620" s="152"/>
      <c r="T620" s="152"/>
      <c r="U620" s="152"/>
      <c r="V620" s="152"/>
      <c r="W620" s="152"/>
      <c r="X620" s="152"/>
      <c r="Y620" s="152"/>
    </row>
    <row r="621">
      <c r="A621" s="152"/>
      <c r="B621" s="152"/>
      <c r="C621" s="152"/>
      <c r="D621" s="152"/>
      <c r="E621" s="152"/>
      <c r="F621" s="152"/>
      <c r="G621" s="152"/>
      <c r="H621" s="152"/>
      <c r="I621" s="152"/>
      <c r="J621" s="152"/>
      <c r="K621" s="152"/>
      <c r="L621" s="152"/>
      <c r="M621" s="152"/>
      <c r="N621" s="152"/>
      <c r="O621" s="152"/>
      <c r="P621" s="152"/>
      <c r="Q621" s="152"/>
      <c r="R621" s="152"/>
      <c r="S621" s="152"/>
      <c r="T621" s="152"/>
      <c r="U621" s="152"/>
      <c r="V621" s="152"/>
      <c r="W621" s="152"/>
      <c r="X621" s="152"/>
      <c r="Y621" s="152"/>
    </row>
    <row r="622">
      <c r="A622" s="152"/>
      <c r="B622" s="152"/>
      <c r="C622" s="152"/>
      <c r="D622" s="152"/>
      <c r="E622" s="152"/>
      <c r="F622" s="152"/>
      <c r="G622" s="152"/>
      <c r="H622" s="152"/>
      <c r="I622" s="152"/>
      <c r="J622" s="152"/>
      <c r="K622" s="152"/>
      <c r="L622" s="152"/>
      <c r="M622" s="152"/>
      <c r="N622" s="152"/>
      <c r="O622" s="152"/>
      <c r="P622" s="152"/>
      <c r="Q622" s="152"/>
      <c r="R622" s="152"/>
      <c r="S622" s="152"/>
      <c r="T622" s="152"/>
      <c r="U622" s="152"/>
      <c r="V622" s="152"/>
      <c r="W622" s="152"/>
      <c r="X622" s="152"/>
      <c r="Y622" s="152"/>
    </row>
    <row r="623">
      <c r="A623" s="152"/>
      <c r="B623" s="152"/>
      <c r="C623" s="152"/>
      <c r="D623" s="152"/>
      <c r="E623" s="152"/>
      <c r="F623" s="152"/>
      <c r="G623" s="152"/>
      <c r="H623" s="152"/>
      <c r="I623" s="152"/>
      <c r="J623" s="152"/>
      <c r="K623" s="152"/>
      <c r="L623" s="152"/>
      <c r="M623" s="152"/>
      <c r="N623" s="152"/>
      <c r="O623" s="152"/>
      <c r="P623" s="152"/>
      <c r="Q623" s="152"/>
      <c r="R623" s="152"/>
      <c r="S623" s="152"/>
      <c r="T623" s="152"/>
      <c r="U623" s="152"/>
      <c r="V623" s="152"/>
      <c r="W623" s="152"/>
      <c r="X623" s="152"/>
      <c r="Y623" s="152"/>
    </row>
    <row r="624">
      <c r="A624" s="152"/>
      <c r="B624" s="152"/>
      <c r="C624" s="152"/>
      <c r="D624" s="152"/>
      <c r="E624" s="152"/>
      <c r="F624" s="152"/>
      <c r="G624" s="152"/>
      <c r="H624" s="152"/>
      <c r="I624" s="152"/>
      <c r="J624" s="152"/>
      <c r="K624" s="152"/>
      <c r="L624" s="152"/>
      <c r="M624" s="152"/>
      <c r="N624" s="152"/>
      <c r="O624" s="152"/>
      <c r="P624" s="152"/>
      <c r="Q624" s="152"/>
      <c r="R624" s="152"/>
      <c r="S624" s="152"/>
      <c r="T624" s="152"/>
      <c r="U624" s="152"/>
      <c r="V624" s="152"/>
      <c r="W624" s="152"/>
      <c r="X624" s="152"/>
      <c r="Y624" s="152"/>
    </row>
    <row r="625">
      <c r="A625" s="152"/>
      <c r="B625" s="152"/>
      <c r="C625" s="152"/>
      <c r="D625" s="152"/>
      <c r="E625" s="152"/>
      <c r="F625" s="152"/>
      <c r="G625" s="152"/>
      <c r="H625" s="152"/>
      <c r="I625" s="152"/>
      <c r="J625" s="152"/>
      <c r="K625" s="152"/>
      <c r="L625" s="152"/>
      <c r="M625" s="152"/>
      <c r="N625" s="152"/>
      <c r="O625" s="152"/>
      <c r="P625" s="152"/>
      <c r="Q625" s="152"/>
      <c r="R625" s="152"/>
      <c r="S625" s="152"/>
      <c r="T625" s="152"/>
      <c r="U625" s="152"/>
      <c r="V625" s="152"/>
      <c r="W625" s="152"/>
      <c r="X625" s="152"/>
      <c r="Y625" s="152"/>
    </row>
    <row r="626">
      <c r="A626" s="152"/>
      <c r="B626" s="152"/>
      <c r="C626" s="152"/>
      <c r="D626" s="152"/>
      <c r="E626" s="152"/>
      <c r="F626" s="152"/>
      <c r="G626" s="152"/>
      <c r="H626" s="152"/>
      <c r="I626" s="152"/>
      <c r="J626" s="152"/>
      <c r="K626" s="152"/>
      <c r="L626" s="152"/>
      <c r="M626" s="152"/>
      <c r="N626" s="152"/>
      <c r="O626" s="152"/>
      <c r="P626" s="152"/>
      <c r="Q626" s="152"/>
      <c r="R626" s="152"/>
      <c r="S626" s="152"/>
      <c r="T626" s="152"/>
      <c r="U626" s="152"/>
      <c r="V626" s="152"/>
      <c r="W626" s="152"/>
      <c r="X626" s="152"/>
      <c r="Y626" s="152"/>
    </row>
    <row r="627">
      <c r="A627" s="152"/>
      <c r="B627" s="152"/>
      <c r="C627" s="152"/>
      <c r="D627" s="152"/>
      <c r="E627" s="152"/>
      <c r="F627" s="152"/>
      <c r="G627" s="152"/>
      <c r="H627" s="152"/>
      <c r="I627" s="152"/>
      <c r="J627" s="152"/>
      <c r="K627" s="152"/>
      <c r="L627" s="152"/>
      <c r="M627" s="152"/>
      <c r="N627" s="152"/>
      <c r="O627" s="152"/>
      <c r="P627" s="152"/>
      <c r="Q627" s="152"/>
      <c r="R627" s="152"/>
      <c r="S627" s="152"/>
      <c r="T627" s="152"/>
      <c r="U627" s="152"/>
      <c r="V627" s="152"/>
      <c r="W627" s="152"/>
      <c r="X627" s="152"/>
      <c r="Y627" s="152"/>
    </row>
    <row r="628">
      <c r="A628" s="152"/>
      <c r="B628" s="152"/>
      <c r="C628" s="152"/>
      <c r="D628" s="152"/>
      <c r="E628" s="152"/>
      <c r="F628" s="152"/>
      <c r="G628" s="152"/>
      <c r="H628" s="152"/>
      <c r="I628" s="152"/>
      <c r="J628" s="152"/>
      <c r="K628" s="152"/>
      <c r="L628" s="152"/>
      <c r="M628" s="152"/>
      <c r="N628" s="152"/>
      <c r="O628" s="152"/>
      <c r="P628" s="152"/>
      <c r="Q628" s="152"/>
      <c r="R628" s="152"/>
      <c r="S628" s="152"/>
      <c r="T628" s="152"/>
      <c r="U628" s="152"/>
      <c r="V628" s="152"/>
      <c r="W628" s="152"/>
      <c r="X628" s="152"/>
      <c r="Y628" s="152"/>
    </row>
    <row r="629">
      <c r="A629" s="152"/>
      <c r="B629" s="152"/>
      <c r="C629" s="152"/>
      <c r="D629" s="152"/>
      <c r="E629" s="152"/>
      <c r="F629" s="152"/>
      <c r="G629" s="152"/>
      <c r="H629" s="152"/>
      <c r="I629" s="152"/>
      <c r="J629" s="152"/>
      <c r="K629" s="152"/>
      <c r="L629" s="152"/>
      <c r="M629" s="152"/>
      <c r="N629" s="152"/>
      <c r="O629" s="152"/>
      <c r="P629" s="152"/>
      <c r="Q629" s="152"/>
      <c r="R629" s="152"/>
      <c r="S629" s="152"/>
      <c r="T629" s="152"/>
      <c r="U629" s="152"/>
      <c r="V629" s="152"/>
      <c r="W629" s="152"/>
      <c r="X629" s="152"/>
      <c r="Y629" s="152"/>
    </row>
    <row r="630">
      <c r="A630" s="152"/>
      <c r="B630" s="152"/>
      <c r="C630" s="152"/>
      <c r="D630" s="152"/>
      <c r="E630" s="152"/>
      <c r="F630" s="152"/>
      <c r="G630" s="152"/>
      <c r="H630" s="152"/>
      <c r="I630" s="152"/>
      <c r="J630" s="152"/>
      <c r="K630" s="152"/>
      <c r="L630" s="152"/>
      <c r="M630" s="152"/>
      <c r="N630" s="152"/>
      <c r="O630" s="152"/>
      <c r="P630" s="152"/>
      <c r="Q630" s="152"/>
      <c r="R630" s="152"/>
      <c r="S630" s="152"/>
      <c r="T630" s="152"/>
      <c r="U630" s="152"/>
      <c r="V630" s="152"/>
      <c r="W630" s="152"/>
      <c r="X630" s="152"/>
      <c r="Y630" s="152"/>
    </row>
    <row r="631">
      <c r="A631" s="152"/>
      <c r="B631" s="152"/>
      <c r="C631" s="152"/>
      <c r="D631" s="152"/>
      <c r="E631" s="152"/>
      <c r="F631" s="152"/>
      <c r="G631" s="152"/>
      <c r="H631" s="152"/>
      <c r="I631" s="152"/>
      <c r="J631" s="152"/>
      <c r="K631" s="152"/>
      <c r="L631" s="152"/>
      <c r="M631" s="152"/>
      <c r="N631" s="152"/>
      <c r="O631" s="152"/>
      <c r="P631" s="152"/>
      <c r="Q631" s="152"/>
      <c r="R631" s="152"/>
      <c r="S631" s="152"/>
      <c r="T631" s="152"/>
      <c r="U631" s="152"/>
      <c r="V631" s="152"/>
      <c r="W631" s="152"/>
      <c r="X631" s="152"/>
      <c r="Y631" s="152"/>
    </row>
    <row r="632">
      <c r="A632" s="152"/>
      <c r="B632" s="152"/>
      <c r="C632" s="152"/>
      <c r="D632" s="152"/>
      <c r="E632" s="152"/>
      <c r="F632" s="152"/>
      <c r="G632" s="152"/>
      <c r="H632" s="152"/>
      <c r="I632" s="152"/>
      <c r="J632" s="152"/>
      <c r="K632" s="152"/>
      <c r="L632" s="152"/>
      <c r="M632" s="152"/>
      <c r="N632" s="152"/>
      <c r="O632" s="152"/>
      <c r="P632" s="152"/>
      <c r="Q632" s="152"/>
      <c r="R632" s="152"/>
      <c r="S632" s="152"/>
      <c r="T632" s="152"/>
      <c r="U632" s="152"/>
      <c r="V632" s="152"/>
      <c r="W632" s="152"/>
      <c r="X632" s="152"/>
      <c r="Y632" s="152"/>
    </row>
    <row r="633">
      <c r="A633" s="152"/>
      <c r="B633" s="152"/>
      <c r="C633" s="152"/>
      <c r="D633" s="152"/>
      <c r="E633" s="152"/>
      <c r="F633" s="152"/>
      <c r="G633" s="152"/>
      <c r="H633" s="152"/>
      <c r="I633" s="152"/>
      <c r="J633" s="152"/>
      <c r="K633" s="152"/>
      <c r="L633" s="152"/>
      <c r="M633" s="152"/>
      <c r="N633" s="152"/>
      <c r="O633" s="152"/>
      <c r="P633" s="152"/>
      <c r="Q633" s="152"/>
      <c r="R633" s="152"/>
      <c r="S633" s="152"/>
      <c r="T633" s="152"/>
      <c r="U633" s="152"/>
      <c r="V633" s="152"/>
      <c r="W633" s="152"/>
      <c r="X633" s="152"/>
      <c r="Y633" s="152"/>
    </row>
    <row r="634">
      <c r="A634" s="152"/>
      <c r="B634" s="152"/>
      <c r="C634" s="152"/>
      <c r="D634" s="152"/>
      <c r="E634" s="152"/>
      <c r="F634" s="152"/>
      <c r="G634" s="152"/>
      <c r="H634" s="152"/>
      <c r="I634" s="152"/>
      <c r="J634" s="152"/>
      <c r="K634" s="152"/>
      <c r="L634" s="152"/>
      <c r="M634" s="152"/>
      <c r="N634" s="152"/>
      <c r="O634" s="152"/>
      <c r="P634" s="152"/>
      <c r="Q634" s="152"/>
      <c r="R634" s="152"/>
      <c r="S634" s="152"/>
      <c r="T634" s="152"/>
      <c r="U634" s="152"/>
      <c r="V634" s="152"/>
      <c r="W634" s="152"/>
      <c r="X634" s="152"/>
      <c r="Y634" s="152"/>
    </row>
    <row r="635">
      <c r="A635" s="152"/>
      <c r="B635" s="152"/>
      <c r="C635" s="152"/>
      <c r="D635" s="152"/>
      <c r="E635" s="152"/>
      <c r="F635" s="152"/>
      <c r="G635" s="152"/>
      <c r="H635" s="152"/>
      <c r="I635" s="152"/>
      <c r="J635" s="152"/>
      <c r="K635" s="152"/>
      <c r="L635" s="152"/>
      <c r="M635" s="152"/>
      <c r="N635" s="152"/>
      <c r="O635" s="152"/>
      <c r="P635" s="152"/>
      <c r="Q635" s="152"/>
      <c r="R635" s="152"/>
      <c r="S635" s="152"/>
      <c r="T635" s="152"/>
      <c r="U635" s="152"/>
      <c r="V635" s="152"/>
      <c r="W635" s="152"/>
      <c r="X635" s="152"/>
      <c r="Y635" s="152"/>
    </row>
    <row r="636">
      <c r="A636" s="152"/>
      <c r="B636" s="152"/>
      <c r="C636" s="152"/>
      <c r="D636" s="152"/>
      <c r="E636" s="152"/>
      <c r="F636" s="152"/>
      <c r="G636" s="152"/>
      <c r="H636" s="152"/>
      <c r="I636" s="152"/>
      <c r="J636" s="152"/>
      <c r="K636" s="152"/>
      <c r="L636" s="152"/>
      <c r="M636" s="152"/>
      <c r="N636" s="152"/>
      <c r="O636" s="152"/>
      <c r="P636" s="152"/>
      <c r="Q636" s="152"/>
      <c r="R636" s="152"/>
      <c r="S636" s="152"/>
      <c r="T636" s="152"/>
      <c r="U636" s="152"/>
      <c r="V636" s="152"/>
      <c r="W636" s="152"/>
      <c r="X636" s="152"/>
      <c r="Y636" s="152"/>
    </row>
    <row r="637">
      <c r="A637" s="152"/>
      <c r="B637" s="152"/>
      <c r="C637" s="152"/>
      <c r="D637" s="152"/>
      <c r="E637" s="152"/>
      <c r="F637" s="152"/>
      <c r="G637" s="152"/>
      <c r="H637" s="152"/>
      <c r="I637" s="152"/>
      <c r="J637" s="152"/>
      <c r="K637" s="152"/>
      <c r="L637" s="152"/>
      <c r="M637" s="152"/>
      <c r="N637" s="152"/>
      <c r="O637" s="152"/>
      <c r="P637" s="152"/>
      <c r="Q637" s="152"/>
      <c r="R637" s="152"/>
      <c r="S637" s="152"/>
      <c r="T637" s="152"/>
      <c r="U637" s="152"/>
      <c r="V637" s="152"/>
      <c r="W637" s="152"/>
      <c r="X637" s="152"/>
      <c r="Y637" s="152"/>
    </row>
    <row r="638">
      <c r="A638" s="152"/>
      <c r="B638" s="152"/>
      <c r="C638" s="152"/>
      <c r="D638" s="152"/>
      <c r="E638" s="152"/>
      <c r="F638" s="152"/>
      <c r="G638" s="152"/>
      <c r="H638" s="152"/>
      <c r="I638" s="152"/>
      <c r="J638" s="152"/>
      <c r="K638" s="152"/>
      <c r="L638" s="152"/>
      <c r="M638" s="152"/>
      <c r="N638" s="152"/>
      <c r="O638" s="152"/>
      <c r="P638" s="152"/>
      <c r="Q638" s="152"/>
      <c r="R638" s="152"/>
      <c r="S638" s="152"/>
      <c r="T638" s="152"/>
      <c r="U638" s="152"/>
      <c r="V638" s="152"/>
      <c r="W638" s="152"/>
      <c r="X638" s="152"/>
      <c r="Y638" s="152"/>
    </row>
    <row r="639">
      <c r="A639" s="152"/>
      <c r="B639" s="152"/>
      <c r="C639" s="152"/>
      <c r="D639" s="152"/>
      <c r="E639" s="152"/>
      <c r="F639" s="152"/>
      <c r="G639" s="152"/>
      <c r="H639" s="152"/>
      <c r="I639" s="152"/>
      <c r="J639" s="152"/>
      <c r="K639" s="152"/>
      <c r="L639" s="152"/>
      <c r="M639" s="152"/>
      <c r="N639" s="152"/>
      <c r="O639" s="152"/>
      <c r="P639" s="152"/>
      <c r="Q639" s="152"/>
      <c r="R639" s="152"/>
      <c r="S639" s="152"/>
      <c r="T639" s="152"/>
      <c r="U639" s="152"/>
      <c r="V639" s="152"/>
      <c r="W639" s="152"/>
      <c r="X639" s="152"/>
      <c r="Y639" s="152"/>
    </row>
    <row r="640">
      <c r="A640" s="152"/>
      <c r="B640" s="152"/>
      <c r="C640" s="152"/>
      <c r="D640" s="152"/>
      <c r="E640" s="152"/>
      <c r="F640" s="152"/>
      <c r="G640" s="152"/>
      <c r="H640" s="152"/>
      <c r="I640" s="152"/>
      <c r="J640" s="152"/>
      <c r="K640" s="152"/>
      <c r="L640" s="152"/>
      <c r="M640" s="152"/>
      <c r="N640" s="152"/>
      <c r="O640" s="152"/>
      <c r="P640" s="152"/>
      <c r="Q640" s="152"/>
      <c r="R640" s="152"/>
      <c r="S640" s="152"/>
      <c r="T640" s="152"/>
      <c r="U640" s="152"/>
      <c r="V640" s="152"/>
      <c r="W640" s="152"/>
      <c r="X640" s="152"/>
      <c r="Y640" s="152"/>
    </row>
    <row r="641">
      <c r="A641" s="152"/>
      <c r="B641" s="152"/>
      <c r="C641" s="152"/>
      <c r="D641" s="152"/>
      <c r="E641" s="152"/>
      <c r="F641" s="152"/>
      <c r="G641" s="152"/>
      <c r="H641" s="152"/>
      <c r="I641" s="152"/>
      <c r="J641" s="152"/>
      <c r="K641" s="152"/>
      <c r="L641" s="152"/>
      <c r="M641" s="152"/>
      <c r="N641" s="152"/>
      <c r="O641" s="152"/>
      <c r="P641" s="152"/>
      <c r="Q641" s="152"/>
      <c r="R641" s="152"/>
      <c r="S641" s="152"/>
      <c r="T641" s="152"/>
      <c r="U641" s="152"/>
      <c r="V641" s="152"/>
      <c r="W641" s="152"/>
      <c r="X641" s="152"/>
      <c r="Y641" s="152"/>
    </row>
    <row r="642">
      <c r="A642" s="152"/>
      <c r="B642" s="152"/>
      <c r="C642" s="152"/>
      <c r="D642" s="152"/>
      <c r="E642" s="152"/>
      <c r="F642" s="152"/>
      <c r="G642" s="152"/>
      <c r="H642" s="152"/>
      <c r="I642" s="152"/>
      <c r="J642" s="152"/>
      <c r="K642" s="152"/>
      <c r="L642" s="152"/>
      <c r="M642" s="152"/>
      <c r="N642" s="152"/>
      <c r="O642" s="152"/>
      <c r="P642" s="152"/>
      <c r="Q642" s="152"/>
      <c r="R642" s="152"/>
      <c r="S642" s="152"/>
      <c r="T642" s="152"/>
      <c r="U642" s="152"/>
      <c r="V642" s="152"/>
      <c r="W642" s="152"/>
      <c r="X642" s="152"/>
      <c r="Y642" s="152"/>
    </row>
    <row r="643">
      <c r="A643" s="152"/>
      <c r="B643" s="152"/>
      <c r="C643" s="152"/>
      <c r="D643" s="152"/>
      <c r="E643" s="152"/>
      <c r="F643" s="152"/>
      <c r="G643" s="152"/>
      <c r="H643" s="152"/>
      <c r="I643" s="152"/>
      <c r="J643" s="152"/>
      <c r="K643" s="152"/>
      <c r="L643" s="152"/>
      <c r="M643" s="152"/>
      <c r="N643" s="152"/>
      <c r="O643" s="152"/>
      <c r="P643" s="152"/>
      <c r="Q643" s="152"/>
      <c r="R643" s="152"/>
      <c r="S643" s="152"/>
      <c r="T643" s="152"/>
      <c r="U643" s="152"/>
      <c r="V643" s="152"/>
      <c r="W643" s="152"/>
      <c r="X643" s="152"/>
      <c r="Y643" s="152"/>
    </row>
    <row r="644">
      <c r="A644" s="152"/>
      <c r="B644" s="152"/>
      <c r="C644" s="152"/>
      <c r="D644" s="152"/>
      <c r="E644" s="152"/>
      <c r="F644" s="152"/>
      <c r="G644" s="152"/>
      <c r="H644" s="152"/>
      <c r="I644" s="152"/>
      <c r="J644" s="152"/>
      <c r="K644" s="152"/>
      <c r="L644" s="152"/>
      <c r="M644" s="152"/>
      <c r="N644" s="152"/>
      <c r="O644" s="152"/>
      <c r="P644" s="152"/>
      <c r="Q644" s="152"/>
      <c r="R644" s="152"/>
      <c r="S644" s="152"/>
      <c r="T644" s="152"/>
      <c r="U644" s="152"/>
      <c r="V644" s="152"/>
      <c r="W644" s="152"/>
      <c r="X644" s="152"/>
      <c r="Y644" s="152"/>
    </row>
    <row r="645">
      <c r="A645" s="152"/>
      <c r="B645" s="152"/>
      <c r="C645" s="152"/>
      <c r="D645" s="152"/>
      <c r="E645" s="152"/>
      <c r="F645" s="152"/>
      <c r="G645" s="152"/>
      <c r="H645" s="152"/>
      <c r="I645" s="152"/>
      <c r="J645" s="152"/>
      <c r="K645" s="152"/>
      <c r="L645" s="152"/>
      <c r="M645" s="152"/>
      <c r="N645" s="152"/>
      <c r="O645" s="152"/>
      <c r="P645" s="152"/>
      <c r="Q645" s="152"/>
      <c r="R645" s="152"/>
      <c r="S645" s="152"/>
      <c r="T645" s="152"/>
      <c r="U645" s="152"/>
      <c r="V645" s="152"/>
      <c r="W645" s="152"/>
      <c r="X645" s="152"/>
      <c r="Y645" s="152"/>
    </row>
    <row r="646">
      <c r="A646" s="152"/>
      <c r="B646" s="152"/>
      <c r="C646" s="152"/>
      <c r="D646" s="152"/>
      <c r="E646" s="152"/>
      <c r="F646" s="152"/>
      <c r="G646" s="152"/>
      <c r="H646" s="152"/>
      <c r="I646" s="152"/>
      <c r="J646" s="152"/>
      <c r="K646" s="152"/>
      <c r="L646" s="152"/>
      <c r="M646" s="152"/>
      <c r="N646" s="152"/>
      <c r="O646" s="152"/>
      <c r="P646" s="152"/>
      <c r="Q646" s="152"/>
      <c r="R646" s="152"/>
      <c r="S646" s="152"/>
      <c r="T646" s="152"/>
      <c r="U646" s="152"/>
      <c r="V646" s="152"/>
      <c r="W646" s="152"/>
      <c r="X646" s="152"/>
      <c r="Y646" s="152"/>
    </row>
    <row r="647">
      <c r="A647" s="152"/>
      <c r="B647" s="152"/>
      <c r="C647" s="152"/>
      <c r="D647" s="152"/>
      <c r="E647" s="152"/>
      <c r="F647" s="152"/>
      <c r="G647" s="152"/>
      <c r="H647" s="152"/>
      <c r="I647" s="152"/>
      <c r="J647" s="152"/>
      <c r="K647" s="152"/>
      <c r="L647" s="152"/>
      <c r="M647" s="152"/>
      <c r="N647" s="152"/>
      <c r="O647" s="152"/>
      <c r="P647" s="152"/>
      <c r="Q647" s="152"/>
      <c r="R647" s="152"/>
      <c r="S647" s="152"/>
      <c r="T647" s="152"/>
      <c r="U647" s="152"/>
      <c r="V647" s="152"/>
      <c r="W647" s="152"/>
      <c r="X647" s="152"/>
      <c r="Y647" s="152"/>
    </row>
    <row r="648">
      <c r="A648" s="152"/>
      <c r="B648" s="152"/>
      <c r="C648" s="152"/>
      <c r="D648" s="152"/>
      <c r="E648" s="152"/>
      <c r="F648" s="152"/>
      <c r="G648" s="152"/>
      <c r="H648" s="152"/>
      <c r="I648" s="152"/>
      <c r="J648" s="152"/>
      <c r="K648" s="152"/>
      <c r="L648" s="152"/>
      <c r="M648" s="152"/>
      <c r="N648" s="152"/>
      <c r="O648" s="152"/>
      <c r="P648" s="152"/>
      <c r="Q648" s="152"/>
      <c r="R648" s="152"/>
      <c r="S648" s="152"/>
      <c r="T648" s="152"/>
      <c r="U648" s="152"/>
      <c r="V648" s="152"/>
      <c r="W648" s="152"/>
      <c r="X648" s="152"/>
      <c r="Y648" s="152"/>
    </row>
    <row r="649">
      <c r="A649" s="152"/>
      <c r="B649" s="152"/>
      <c r="C649" s="152"/>
      <c r="D649" s="152"/>
      <c r="E649" s="152"/>
      <c r="F649" s="152"/>
      <c r="G649" s="152"/>
      <c r="H649" s="152"/>
      <c r="I649" s="152"/>
      <c r="J649" s="152"/>
      <c r="K649" s="152"/>
      <c r="L649" s="152"/>
      <c r="M649" s="152"/>
      <c r="N649" s="152"/>
      <c r="O649" s="152"/>
      <c r="P649" s="152"/>
      <c r="Q649" s="152"/>
      <c r="R649" s="152"/>
      <c r="S649" s="152"/>
      <c r="T649" s="152"/>
      <c r="U649" s="152"/>
      <c r="V649" s="152"/>
      <c r="W649" s="152"/>
      <c r="X649" s="152"/>
      <c r="Y649" s="152"/>
    </row>
    <row r="650">
      <c r="A650" s="152"/>
      <c r="B650" s="152"/>
      <c r="C650" s="152"/>
      <c r="D650" s="152"/>
      <c r="E650" s="152"/>
      <c r="F650" s="152"/>
      <c r="G650" s="152"/>
      <c r="H650" s="152"/>
      <c r="I650" s="152"/>
      <c r="J650" s="152"/>
      <c r="K650" s="152"/>
      <c r="L650" s="152"/>
      <c r="M650" s="152"/>
      <c r="N650" s="152"/>
      <c r="O650" s="152"/>
      <c r="P650" s="152"/>
      <c r="Q650" s="152"/>
      <c r="R650" s="152"/>
      <c r="S650" s="152"/>
      <c r="T650" s="152"/>
      <c r="U650" s="152"/>
      <c r="V650" s="152"/>
      <c r="W650" s="152"/>
      <c r="X650" s="152"/>
      <c r="Y650" s="152"/>
    </row>
    <row r="651">
      <c r="A651" s="152"/>
      <c r="B651" s="152"/>
      <c r="C651" s="152"/>
      <c r="D651" s="152"/>
      <c r="E651" s="152"/>
      <c r="F651" s="152"/>
      <c r="G651" s="152"/>
      <c r="H651" s="152"/>
      <c r="I651" s="152"/>
      <c r="J651" s="152"/>
      <c r="K651" s="152"/>
      <c r="L651" s="152"/>
      <c r="M651" s="152"/>
      <c r="N651" s="152"/>
      <c r="O651" s="152"/>
      <c r="P651" s="152"/>
      <c r="Q651" s="152"/>
      <c r="R651" s="152"/>
      <c r="S651" s="152"/>
      <c r="T651" s="152"/>
      <c r="U651" s="152"/>
      <c r="V651" s="152"/>
      <c r="W651" s="152"/>
      <c r="X651" s="152"/>
      <c r="Y651" s="152"/>
    </row>
    <row r="652">
      <c r="A652" s="152"/>
      <c r="B652" s="152"/>
      <c r="C652" s="152"/>
      <c r="D652" s="152"/>
      <c r="E652" s="152"/>
      <c r="F652" s="152"/>
      <c r="G652" s="152"/>
      <c r="H652" s="152"/>
      <c r="I652" s="152"/>
      <c r="J652" s="152"/>
      <c r="K652" s="152"/>
      <c r="L652" s="152"/>
      <c r="M652" s="152"/>
      <c r="N652" s="152"/>
      <c r="O652" s="152"/>
      <c r="P652" s="152"/>
      <c r="Q652" s="152"/>
      <c r="R652" s="152"/>
      <c r="S652" s="152"/>
      <c r="T652" s="152"/>
      <c r="U652" s="152"/>
      <c r="V652" s="152"/>
      <c r="W652" s="152"/>
      <c r="X652" s="152"/>
      <c r="Y652" s="152"/>
    </row>
    <row r="653">
      <c r="A653" s="152"/>
      <c r="B653" s="152"/>
      <c r="C653" s="152"/>
      <c r="D653" s="152"/>
      <c r="E653" s="152"/>
      <c r="F653" s="152"/>
      <c r="G653" s="152"/>
      <c r="H653" s="152"/>
      <c r="I653" s="152"/>
      <c r="J653" s="152"/>
      <c r="K653" s="152"/>
      <c r="L653" s="152"/>
      <c r="M653" s="152"/>
      <c r="N653" s="152"/>
      <c r="O653" s="152"/>
      <c r="P653" s="152"/>
      <c r="Q653" s="152"/>
      <c r="R653" s="152"/>
      <c r="S653" s="152"/>
      <c r="T653" s="152"/>
      <c r="U653" s="152"/>
      <c r="V653" s="152"/>
      <c r="W653" s="152"/>
      <c r="X653" s="152"/>
      <c r="Y653" s="152"/>
    </row>
    <row r="654">
      <c r="A654" s="152"/>
      <c r="B654" s="152"/>
      <c r="C654" s="152"/>
      <c r="D654" s="152"/>
      <c r="E654" s="152"/>
      <c r="F654" s="152"/>
      <c r="G654" s="152"/>
      <c r="H654" s="152"/>
      <c r="I654" s="152"/>
      <c r="J654" s="152"/>
      <c r="K654" s="152"/>
      <c r="L654" s="152"/>
      <c r="M654" s="152"/>
      <c r="N654" s="152"/>
      <c r="O654" s="152"/>
      <c r="P654" s="152"/>
      <c r="Q654" s="152"/>
      <c r="R654" s="152"/>
      <c r="S654" s="152"/>
      <c r="T654" s="152"/>
      <c r="U654" s="152"/>
      <c r="V654" s="152"/>
      <c r="W654" s="152"/>
      <c r="X654" s="152"/>
      <c r="Y654" s="152"/>
    </row>
    <row r="655">
      <c r="A655" s="152"/>
      <c r="B655" s="152"/>
      <c r="C655" s="152"/>
      <c r="D655" s="152"/>
      <c r="E655" s="152"/>
      <c r="F655" s="152"/>
      <c r="G655" s="152"/>
      <c r="H655" s="152"/>
      <c r="I655" s="152"/>
      <c r="J655" s="152"/>
      <c r="K655" s="152"/>
      <c r="L655" s="152"/>
      <c r="M655" s="152"/>
      <c r="N655" s="152"/>
      <c r="O655" s="152"/>
      <c r="P655" s="152"/>
      <c r="Q655" s="152"/>
      <c r="R655" s="152"/>
      <c r="S655" s="152"/>
      <c r="T655" s="152"/>
      <c r="U655" s="152"/>
      <c r="V655" s="152"/>
      <c r="W655" s="152"/>
      <c r="X655" s="152"/>
      <c r="Y655" s="152"/>
    </row>
    <row r="656">
      <c r="A656" s="152"/>
      <c r="B656" s="152"/>
      <c r="C656" s="152"/>
      <c r="D656" s="152"/>
      <c r="E656" s="152"/>
      <c r="F656" s="152"/>
      <c r="G656" s="152"/>
      <c r="H656" s="152"/>
      <c r="I656" s="152"/>
      <c r="J656" s="152"/>
      <c r="K656" s="152"/>
      <c r="L656" s="152"/>
      <c r="M656" s="152"/>
      <c r="N656" s="152"/>
      <c r="O656" s="152"/>
      <c r="P656" s="152"/>
      <c r="Q656" s="152"/>
      <c r="R656" s="152"/>
      <c r="S656" s="152"/>
      <c r="T656" s="152"/>
      <c r="U656" s="152"/>
      <c r="V656" s="152"/>
      <c r="W656" s="152"/>
      <c r="X656" s="152"/>
      <c r="Y656" s="152"/>
    </row>
    <row r="657">
      <c r="A657" s="152"/>
      <c r="B657" s="152"/>
      <c r="C657" s="152"/>
      <c r="D657" s="152"/>
      <c r="E657" s="152"/>
      <c r="F657" s="152"/>
      <c r="G657" s="152"/>
      <c r="H657" s="152"/>
      <c r="I657" s="152"/>
      <c r="J657" s="152"/>
      <c r="K657" s="152"/>
      <c r="L657" s="152"/>
      <c r="M657" s="152"/>
      <c r="N657" s="152"/>
      <c r="O657" s="152"/>
      <c r="P657" s="152"/>
      <c r="Q657" s="152"/>
      <c r="R657" s="152"/>
      <c r="S657" s="152"/>
      <c r="T657" s="152"/>
      <c r="U657" s="152"/>
      <c r="V657" s="152"/>
      <c r="W657" s="152"/>
      <c r="X657" s="152"/>
      <c r="Y657" s="152"/>
    </row>
    <row r="658">
      <c r="A658" s="152"/>
      <c r="B658" s="152"/>
      <c r="C658" s="152"/>
      <c r="D658" s="152"/>
      <c r="E658" s="152"/>
      <c r="F658" s="152"/>
      <c r="G658" s="152"/>
      <c r="H658" s="152"/>
      <c r="I658" s="152"/>
      <c r="J658" s="152"/>
      <c r="K658" s="152"/>
      <c r="L658" s="152"/>
      <c r="M658" s="152"/>
      <c r="N658" s="152"/>
      <c r="O658" s="152"/>
      <c r="P658" s="152"/>
      <c r="Q658" s="152"/>
      <c r="R658" s="152"/>
      <c r="S658" s="152"/>
      <c r="T658" s="152"/>
      <c r="U658" s="152"/>
      <c r="V658" s="152"/>
      <c r="W658" s="152"/>
      <c r="X658" s="152"/>
      <c r="Y658" s="152"/>
    </row>
    <row r="659">
      <c r="A659" s="152"/>
      <c r="B659" s="152"/>
      <c r="C659" s="152"/>
      <c r="D659" s="152"/>
      <c r="E659" s="152"/>
      <c r="F659" s="152"/>
      <c r="G659" s="152"/>
      <c r="H659" s="152"/>
      <c r="I659" s="152"/>
      <c r="J659" s="152"/>
      <c r="K659" s="152"/>
      <c r="L659" s="152"/>
      <c r="M659" s="152"/>
      <c r="N659" s="152"/>
      <c r="O659" s="152"/>
      <c r="P659" s="152"/>
      <c r="Q659" s="152"/>
      <c r="R659" s="152"/>
      <c r="S659" s="152"/>
      <c r="T659" s="152"/>
      <c r="U659" s="152"/>
      <c r="V659" s="152"/>
      <c r="W659" s="152"/>
      <c r="X659" s="152"/>
      <c r="Y659" s="152"/>
    </row>
    <row r="660">
      <c r="A660" s="152"/>
      <c r="B660" s="152"/>
      <c r="C660" s="152"/>
      <c r="D660" s="152"/>
      <c r="E660" s="152"/>
      <c r="F660" s="152"/>
      <c r="G660" s="152"/>
      <c r="H660" s="152"/>
      <c r="I660" s="152"/>
      <c r="J660" s="152"/>
      <c r="K660" s="152"/>
      <c r="L660" s="152"/>
      <c r="M660" s="152"/>
      <c r="N660" s="152"/>
      <c r="O660" s="152"/>
      <c r="P660" s="152"/>
      <c r="Q660" s="152"/>
      <c r="R660" s="152"/>
      <c r="S660" s="152"/>
      <c r="T660" s="152"/>
      <c r="U660" s="152"/>
      <c r="V660" s="152"/>
      <c r="W660" s="152"/>
      <c r="X660" s="152"/>
      <c r="Y660" s="152"/>
    </row>
    <row r="661">
      <c r="A661" s="152"/>
      <c r="B661" s="152"/>
      <c r="C661" s="152"/>
      <c r="D661" s="152"/>
      <c r="E661" s="152"/>
      <c r="F661" s="152"/>
      <c r="G661" s="152"/>
      <c r="H661" s="152"/>
      <c r="I661" s="152"/>
      <c r="J661" s="152"/>
      <c r="K661" s="152"/>
      <c r="L661" s="152"/>
      <c r="M661" s="152"/>
      <c r="N661" s="152"/>
      <c r="O661" s="152"/>
      <c r="P661" s="152"/>
      <c r="Q661" s="152"/>
      <c r="R661" s="152"/>
      <c r="S661" s="152"/>
      <c r="T661" s="152"/>
      <c r="U661" s="152"/>
      <c r="V661" s="152"/>
      <c r="W661" s="152"/>
      <c r="X661" s="152"/>
      <c r="Y661" s="152"/>
    </row>
    <row r="662">
      <c r="A662" s="152"/>
      <c r="B662" s="152"/>
      <c r="C662" s="152"/>
      <c r="D662" s="152"/>
      <c r="E662" s="152"/>
      <c r="F662" s="152"/>
      <c r="G662" s="152"/>
      <c r="H662" s="152"/>
      <c r="I662" s="152"/>
      <c r="J662" s="152"/>
      <c r="K662" s="152"/>
      <c r="L662" s="152"/>
      <c r="M662" s="152"/>
      <c r="N662" s="152"/>
      <c r="O662" s="152"/>
      <c r="P662" s="152"/>
      <c r="Q662" s="152"/>
      <c r="R662" s="152"/>
      <c r="S662" s="152"/>
      <c r="T662" s="152"/>
      <c r="U662" s="152"/>
      <c r="V662" s="152"/>
      <c r="W662" s="152"/>
      <c r="X662" s="152"/>
      <c r="Y662" s="152"/>
    </row>
    <row r="663">
      <c r="A663" s="152"/>
      <c r="B663" s="152"/>
      <c r="C663" s="152"/>
      <c r="D663" s="152"/>
      <c r="E663" s="152"/>
      <c r="F663" s="152"/>
      <c r="G663" s="152"/>
      <c r="H663" s="152"/>
      <c r="I663" s="152"/>
      <c r="J663" s="152"/>
      <c r="K663" s="152"/>
      <c r="L663" s="152"/>
      <c r="M663" s="152"/>
      <c r="N663" s="152"/>
      <c r="O663" s="152"/>
      <c r="P663" s="152"/>
      <c r="Q663" s="152"/>
      <c r="R663" s="152"/>
      <c r="S663" s="152"/>
      <c r="T663" s="152"/>
      <c r="U663" s="152"/>
      <c r="V663" s="152"/>
      <c r="W663" s="152"/>
      <c r="X663" s="152"/>
      <c r="Y663" s="152"/>
    </row>
    <row r="664">
      <c r="A664" s="152"/>
      <c r="B664" s="152"/>
      <c r="C664" s="152"/>
      <c r="D664" s="152"/>
      <c r="E664" s="152"/>
      <c r="F664" s="152"/>
      <c r="G664" s="152"/>
      <c r="H664" s="152"/>
      <c r="I664" s="152"/>
      <c r="J664" s="152"/>
      <c r="K664" s="152"/>
      <c r="L664" s="152"/>
      <c r="M664" s="152"/>
      <c r="N664" s="152"/>
      <c r="O664" s="152"/>
      <c r="P664" s="152"/>
      <c r="Q664" s="152"/>
      <c r="R664" s="152"/>
      <c r="S664" s="152"/>
      <c r="T664" s="152"/>
      <c r="U664" s="152"/>
      <c r="V664" s="152"/>
      <c r="W664" s="152"/>
      <c r="X664" s="152"/>
      <c r="Y664" s="152"/>
    </row>
    <row r="665">
      <c r="A665" s="152"/>
      <c r="B665" s="152"/>
      <c r="C665" s="152"/>
      <c r="D665" s="152"/>
      <c r="E665" s="152"/>
      <c r="F665" s="152"/>
      <c r="G665" s="152"/>
      <c r="H665" s="152"/>
      <c r="I665" s="152"/>
      <c r="J665" s="152"/>
      <c r="K665" s="152"/>
      <c r="L665" s="152"/>
      <c r="M665" s="152"/>
      <c r="N665" s="152"/>
      <c r="O665" s="152"/>
      <c r="P665" s="152"/>
      <c r="Q665" s="152"/>
      <c r="R665" s="152"/>
      <c r="S665" s="152"/>
      <c r="T665" s="152"/>
      <c r="U665" s="152"/>
      <c r="V665" s="152"/>
      <c r="W665" s="152"/>
      <c r="X665" s="152"/>
      <c r="Y665" s="152"/>
    </row>
    <row r="666">
      <c r="A666" s="152"/>
      <c r="B666" s="152"/>
      <c r="C666" s="152"/>
      <c r="D666" s="152"/>
      <c r="E666" s="152"/>
      <c r="F666" s="152"/>
      <c r="G666" s="152"/>
      <c r="H666" s="152"/>
      <c r="I666" s="152"/>
      <c r="J666" s="152"/>
      <c r="K666" s="152"/>
      <c r="L666" s="152"/>
      <c r="M666" s="152"/>
      <c r="N666" s="152"/>
      <c r="O666" s="152"/>
      <c r="P666" s="152"/>
      <c r="Q666" s="152"/>
      <c r="R666" s="152"/>
      <c r="S666" s="152"/>
      <c r="T666" s="152"/>
      <c r="U666" s="152"/>
      <c r="V666" s="152"/>
      <c r="W666" s="152"/>
      <c r="X666" s="152"/>
      <c r="Y666" s="152"/>
    </row>
    <row r="667">
      <c r="A667" s="152"/>
      <c r="B667" s="152"/>
      <c r="C667" s="152"/>
      <c r="D667" s="152"/>
      <c r="E667" s="152"/>
      <c r="F667" s="152"/>
      <c r="G667" s="152"/>
      <c r="H667" s="152"/>
      <c r="I667" s="152"/>
      <c r="J667" s="152"/>
      <c r="K667" s="152"/>
      <c r="L667" s="152"/>
      <c r="M667" s="152"/>
      <c r="N667" s="152"/>
      <c r="O667" s="152"/>
      <c r="P667" s="152"/>
      <c r="Q667" s="152"/>
      <c r="R667" s="152"/>
      <c r="S667" s="152"/>
      <c r="T667" s="152"/>
      <c r="U667" s="152"/>
      <c r="V667" s="152"/>
      <c r="W667" s="152"/>
      <c r="X667" s="152"/>
      <c r="Y667" s="152"/>
    </row>
    <row r="668">
      <c r="A668" s="152"/>
      <c r="B668" s="152"/>
      <c r="C668" s="152"/>
      <c r="D668" s="152"/>
      <c r="E668" s="152"/>
      <c r="F668" s="152"/>
      <c r="G668" s="152"/>
      <c r="H668" s="152"/>
      <c r="I668" s="152"/>
      <c r="J668" s="152"/>
      <c r="K668" s="152"/>
      <c r="L668" s="152"/>
      <c r="M668" s="152"/>
      <c r="N668" s="152"/>
      <c r="O668" s="152"/>
      <c r="P668" s="152"/>
      <c r="Q668" s="152"/>
      <c r="R668" s="152"/>
      <c r="S668" s="152"/>
      <c r="T668" s="152"/>
      <c r="U668" s="152"/>
      <c r="V668" s="152"/>
      <c r="W668" s="152"/>
      <c r="X668" s="152"/>
      <c r="Y668" s="152"/>
    </row>
    <row r="669">
      <c r="A669" s="152"/>
      <c r="B669" s="152"/>
      <c r="C669" s="152"/>
      <c r="D669" s="152"/>
      <c r="E669" s="152"/>
      <c r="F669" s="152"/>
      <c r="G669" s="152"/>
      <c r="H669" s="152"/>
      <c r="I669" s="152"/>
      <c r="J669" s="152"/>
      <c r="K669" s="152"/>
      <c r="L669" s="152"/>
      <c r="M669" s="152"/>
      <c r="N669" s="152"/>
      <c r="O669" s="152"/>
      <c r="P669" s="152"/>
      <c r="Q669" s="152"/>
      <c r="R669" s="152"/>
      <c r="S669" s="152"/>
      <c r="T669" s="152"/>
      <c r="U669" s="152"/>
      <c r="V669" s="152"/>
      <c r="W669" s="152"/>
      <c r="X669" s="152"/>
      <c r="Y669" s="152"/>
    </row>
    <row r="670">
      <c r="A670" s="152"/>
      <c r="B670" s="152"/>
      <c r="C670" s="152"/>
      <c r="D670" s="152"/>
      <c r="E670" s="152"/>
      <c r="F670" s="152"/>
      <c r="G670" s="152"/>
      <c r="H670" s="152"/>
      <c r="I670" s="152"/>
      <c r="J670" s="152"/>
      <c r="K670" s="152"/>
      <c r="L670" s="152"/>
      <c r="M670" s="152"/>
      <c r="N670" s="152"/>
      <c r="O670" s="152"/>
      <c r="P670" s="152"/>
      <c r="Q670" s="152"/>
      <c r="R670" s="152"/>
      <c r="S670" s="152"/>
      <c r="T670" s="152"/>
      <c r="U670" s="152"/>
      <c r="V670" s="152"/>
      <c r="W670" s="152"/>
      <c r="X670" s="152"/>
      <c r="Y670" s="152"/>
    </row>
    <row r="671">
      <c r="A671" s="152"/>
      <c r="B671" s="152"/>
      <c r="C671" s="152"/>
      <c r="D671" s="152"/>
      <c r="E671" s="152"/>
      <c r="F671" s="152"/>
      <c r="G671" s="152"/>
      <c r="H671" s="152"/>
      <c r="I671" s="152"/>
      <c r="J671" s="152"/>
      <c r="K671" s="152"/>
      <c r="L671" s="152"/>
      <c r="M671" s="152"/>
      <c r="N671" s="152"/>
      <c r="O671" s="152"/>
      <c r="P671" s="152"/>
      <c r="Q671" s="152"/>
      <c r="R671" s="152"/>
      <c r="S671" s="152"/>
      <c r="T671" s="152"/>
      <c r="U671" s="152"/>
      <c r="V671" s="152"/>
      <c r="W671" s="152"/>
      <c r="X671" s="152"/>
      <c r="Y671" s="152"/>
    </row>
    <row r="672">
      <c r="A672" s="152"/>
      <c r="B672" s="152"/>
      <c r="C672" s="152"/>
      <c r="D672" s="152"/>
      <c r="E672" s="152"/>
      <c r="F672" s="152"/>
      <c r="G672" s="152"/>
      <c r="H672" s="152"/>
      <c r="I672" s="152"/>
      <c r="J672" s="152"/>
      <c r="K672" s="152"/>
      <c r="L672" s="152"/>
      <c r="M672" s="152"/>
      <c r="N672" s="152"/>
      <c r="O672" s="152"/>
      <c r="P672" s="152"/>
      <c r="Q672" s="152"/>
      <c r="R672" s="152"/>
      <c r="S672" s="152"/>
      <c r="T672" s="152"/>
      <c r="U672" s="152"/>
      <c r="V672" s="152"/>
      <c r="W672" s="152"/>
      <c r="X672" s="152"/>
      <c r="Y672" s="152"/>
    </row>
    <row r="673">
      <c r="A673" s="152"/>
      <c r="B673" s="152"/>
      <c r="C673" s="152"/>
      <c r="D673" s="152"/>
      <c r="E673" s="152"/>
      <c r="F673" s="152"/>
      <c r="G673" s="152"/>
      <c r="H673" s="152"/>
      <c r="I673" s="152"/>
      <c r="J673" s="152"/>
      <c r="K673" s="152"/>
      <c r="L673" s="152"/>
      <c r="M673" s="152"/>
      <c r="N673" s="152"/>
      <c r="O673" s="152"/>
      <c r="P673" s="152"/>
      <c r="Q673" s="152"/>
      <c r="R673" s="152"/>
      <c r="S673" s="152"/>
      <c r="T673" s="152"/>
      <c r="U673" s="152"/>
      <c r="V673" s="152"/>
      <c r="W673" s="152"/>
      <c r="X673" s="152"/>
      <c r="Y673" s="152"/>
    </row>
    <row r="674">
      <c r="A674" s="152"/>
      <c r="B674" s="152"/>
      <c r="C674" s="152"/>
      <c r="D674" s="152"/>
      <c r="E674" s="152"/>
      <c r="F674" s="152"/>
      <c r="G674" s="152"/>
      <c r="H674" s="152"/>
      <c r="I674" s="152"/>
      <c r="J674" s="152"/>
      <c r="K674" s="152"/>
      <c r="L674" s="152"/>
      <c r="M674" s="152"/>
      <c r="N674" s="152"/>
      <c r="O674" s="152"/>
      <c r="P674" s="152"/>
      <c r="Q674" s="152"/>
      <c r="R674" s="152"/>
      <c r="S674" s="152"/>
      <c r="T674" s="152"/>
      <c r="U674" s="152"/>
      <c r="V674" s="152"/>
      <c r="W674" s="152"/>
      <c r="X674" s="152"/>
      <c r="Y674" s="152"/>
    </row>
    <row r="675">
      <c r="A675" s="152"/>
      <c r="B675" s="152"/>
      <c r="C675" s="152"/>
      <c r="D675" s="152"/>
      <c r="E675" s="152"/>
      <c r="F675" s="152"/>
      <c r="G675" s="152"/>
      <c r="H675" s="152"/>
      <c r="I675" s="152"/>
      <c r="J675" s="152"/>
      <c r="K675" s="152"/>
      <c r="L675" s="152"/>
      <c r="M675" s="152"/>
      <c r="N675" s="152"/>
      <c r="O675" s="152"/>
      <c r="P675" s="152"/>
      <c r="Q675" s="152"/>
      <c r="R675" s="152"/>
      <c r="S675" s="152"/>
      <c r="T675" s="152"/>
      <c r="U675" s="152"/>
      <c r="V675" s="152"/>
      <c r="W675" s="152"/>
      <c r="X675" s="152"/>
      <c r="Y675" s="152"/>
    </row>
    <row r="676">
      <c r="A676" s="152"/>
      <c r="B676" s="152"/>
      <c r="C676" s="152"/>
      <c r="D676" s="152"/>
      <c r="E676" s="152"/>
      <c r="F676" s="152"/>
      <c r="G676" s="152"/>
      <c r="H676" s="152"/>
      <c r="I676" s="152"/>
      <c r="J676" s="152"/>
      <c r="K676" s="152"/>
      <c r="L676" s="152"/>
      <c r="M676" s="152"/>
      <c r="N676" s="152"/>
      <c r="O676" s="152"/>
      <c r="P676" s="152"/>
      <c r="Q676" s="152"/>
      <c r="R676" s="152"/>
      <c r="S676" s="152"/>
      <c r="T676" s="152"/>
      <c r="U676" s="152"/>
      <c r="V676" s="152"/>
      <c r="W676" s="152"/>
      <c r="X676" s="152"/>
      <c r="Y676" s="152"/>
    </row>
    <row r="677">
      <c r="A677" s="152"/>
      <c r="B677" s="152"/>
      <c r="C677" s="152"/>
      <c r="D677" s="152"/>
      <c r="E677" s="152"/>
      <c r="F677" s="152"/>
      <c r="G677" s="152"/>
      <c r="H677" s="152"/>
      <c r="I677" s="152"/>
      <c r="J677" s="152"/>
      <c r="K677" s="152"/>
      <c r="L677" s="152"/>
      <c r="M677" s="152"/>
      <c r="N677" s="152"/>
      <c r="O677" s="152"/>
      <c r="P677" s="152"/>
      <c r="Q677" s="152"/>
      <c r="R677" s="152"/>
      <c r="S677" s="152"/>
      <c r="T677" s="152"/>
      <c r="U677" s="152"/>
      <c r="V677" s="152"/>
      <c r="W677" s="152"/>
      <c r="X677" s="152"/>
      <c r="Y677" s="152"/>
    </row>
    <row r="678">
      <c r="A678" s="152"/>
      <c r="B678" s="152"/>
      <c r="C678" s="152"/>
      <c r="D678" s="152"/>
      <c r="E678" s="152"/>
      <c r="F678" s="152"/>
      <c r="G678" s="152"/>
      <c r="H678" s="152"/>
      <c r="I678" s="152"/>
      <c r="J678" s="152"/>
      <c r="K678" s="152"/>
      <c r="L678" s="152"/>
      <c r="M678" s="152"/>
      <c r="N678" s="152"/>
      <c r="O678" s="152"/>
      <c r="P678" s="152"/>
      <c r="Q678" s="152"/>
      <c r="R678" s="152"/>
      <c r="S678" s="152"/>
      <c r="T678" s="152"/>
      <c r="U678" s="152"/>
      <c r="V678" s="152"/>
      <c r="W678" s="152"/>
      <c r="X678" s="152"/>
      <c r="Y678" s="152"/>
    </row>
    <row r="679">
      <c r="A679" s="152"/>
      <c r="B679" s="152"/>
      <c r="C679" s="152"/>
      <c r="D679" s="152"/>
      <c r="E679" s="152"/>
      <c r="F679" s="152"/>
      <c r="G679" s="152"/>
      <c r="H679" s="152"/>
      <c r="I679" s="152"/>
      <c r="J679" s="152"/>
      <c r="K679" s="152"/>
      <c r="L679" s="152"/>
      <c r="M679" s="152"/>
      <c r="N679" s="152"/>
      <c r="O679" s="152"/>
      <c r="P679" s="152"/>
      <c r="Q679" s="152"/>
      <c r="R679" s="152"/>
      <c r="S679" s="152"/>
      <c r="T679" s="152"/>
      <c r="U679" s="152"/>
      <c r="V679" s="152"/>
      <c r="W679" s="152"/>
      <c r="X679" s="152"/>
      <c r="Y679" s="152"/>
    </row>
    <row r="680">
      <c r="A680" s="152"/>
      <c r="B680" s="152"/>
      <c r="C680" s="152"/>
      <c r="D680" s="152"/>
      <c r="E680" s="152"/>
      <c r="F680" s="152"/>
      <c r="G680" s="152"/>
      <c r="H680" s="152"/>
      <c r="I680" s="152"/>
      <c r="J680" s="152"/>
      <c r="K680" s="152"/>
      <c r="L680" s="152"/>
      <c r="M680" s="152"/>
      <c r="N680" s="152"/>
      <c r="O680" s="152"/>
      <c r="P680" s="152"/>
      <c r="Q680" s="152"/>
      <c r="R680" s="152"/>
      <c r="S680" s="152"/>
      <c r="T680" s="152"/>
      <c r="U680" s="152"/>
      <c r="V680" s="152"/>
      <c r="W680" s="152"/>
      <c r="X680" s="152"/>
      <c r="Y680" s="152"/>
    </row>
    <row r="681">
      <c r="A681" s="152"/>
      <c r="B681" s="152"/>
      <c r="C681" s="152"/>
      <c r="D681" s="152"/>
      <c r="E681" s="152"/>
      <c r="F681" s="152"/>
      <c r="G681" s="152"/>
      <c r="H681" s="152"/>
      <c r="I681" s="152"/>
      <c r="J681" s="152"/>
      <c r="K681" s="152"/>
      <c r="L681" s="152"/>
      <c r="M681" s="152"/>
      <c r="N681" s="152"/>
      <c r="O681" s="152"/>
      <c r="P681" s="152"/>
      <c r="Q681" s="152"/>
      <c r="R681" s="152"/>
      <c r="S681" s="152"/>
      <c r="T681" s="152"/>
      <c r="U681" s="152"/>
      <c r="V681" s="152"/>
      <c r="W681" s="152"/>
      <c r="X681" s="152"/>
      <c r="Y681" s="152"/>
    </row>
    <row r="682">
      <c r="A682" s="152"/>
      <c r="B682" s="152"/>
      <c r="C682" s="152"/>
      <c r="D682" s="152"/>
      <c r="E682" s="152"/>
      <c r="F682" s="152"/>
      <c r="G682" s="152"/>
      <c r="H682" s="152"/>
      <c r="I682" s="152"/>
      <c r="J682" s="152"/>
      <c r="K682" s="152"/>
      <c r="L682" s="152"/>
      <c r="M682" s="152"/>
      <c r="N682" s="152"/>
      <c r="O682" s="152"/>
      <c r="P682" s="152"/>
      <c r="Q682" s="152"/>
      <c r="R682" s="152"/>
      <c r="S682" s="152"/>
      <c r="T682" s="152"/>
      <c r="U682" s="152"/>
      <c r="V682" s="152"/>
      <c r="W682" s="152"/>
      <c r="X682" s="152"/>
      <c r="Y682" s="152"/>
    </row>
    <row r="683">
      <c r="A683" s="152"/>
      <c r="B683" s="152"/>
      <c r="C683" s="152"/>
      <c r="D683" s="152"/>
      <c r="E683" s="152"/>
      <c r="F683" s="152"/>
      <c r="G683" s="152"/>
      <c r="H683" s="152"/>
      <c r="I683" s="152"/>
      <c r="J683" s="152"/>
      <c r="K683" s="152"/>
      <c r="L683" s="152"/>
      <c r="M683" s="152"/>
      <c r="N683" s="152"/>
      <c r="O683" s="152"/>
      <c r="P683" s="152"/>
      <c r="Q683" s="152"/>
      <c r="R683" s="152"/>
      <c r="S683" s="152"/>
      <c r="T683" s="152"/>
      <c r="U683" s="152"/>
      <c r="V683" s="152"/>
      <c r="W683" s="152"/>
      <c r="X683" s="152"/>
      <c r="Y683" s="152"/>
    </row>
    <row r="684">
      <c r="A684" s="152"/>
      <c r="B684" s="152"/>
      <c r="C684" s="152"/>
      <c r="D684" s="152"/>
      <c r="E684" s="152"/>
      <c r="F684" s="152"/>
      <c r="G684" s="152"/>
      <c r="H684" s="152"/>
      <c r="I684" s="152"/>
      <c r="J684" s="152"/>
      <c r="K684" s="152"/>
      <c r="L684" s="152"/>
      <c r="M684" s="152"/>
      <c r="N684" s="152"/>
      <c r="O684" s="152"/>
      <c r="P684" s="152"/>
      <c r="Q684" s="152"/>
      <c r="R684" s="152"/>
      <c r="S684" s="152"/>
      <c r="T684" s="152"/>
      <c r="U684" s="152"/>
      <c r="V684" s="152"/>
      <c r="W684" s="152"/>
      <c r="X684" s="152"/>
      <c r="Y684" s="152"/>
    </row>
    <row r="685">
      <c r="A685" s="152"/>
      <c r="B685" s="152"/>
      <c r="C685" s="152"/>
      <c r="D685" s="152"/>
      <c r="E685" s="152"/>
      <c r="F685" s="152"/>
      <c r="G685" s="152"/>
      <c r="H685" s="152"/>
      <c r="I685" s="152"/>
      <c r="J685" s="152"/>
      <c r="K685" s="152"/>
      <c r="L685" s="152"/>
      <c r="M685" s="152"/>
      <c r="N685" s="152"/>
      <c r="O685" s="152"/>
      <c r="P685" s="152"/>
      <c r="Q685" s="152"/>
      <c r="R685" s="152"/>
      <c r="S685" s="152"/>
      <c r="T685" s="152"/>
      <c r="U685" s="152"/>
      <c r="V685" s="152"/>
      <c r="W685" s="152"/>
      <c r="X685" s="152"/>
      <c r="Y685" s="152"/>
    </row>
    <row r="686">
      <c r="A686" s="152"/>
      <c r="B686" s="152"/>
      <c r="C686" s="152"/>
      <c r="D686" s="152"/>
      <c r="E686" s="152"/>
      <c r="F686" s="152"/>
      <c r="G686" s="152"/>
      <c r="H686" s="152"/>
      <c r="I686" s="152"/>
      <c r="J686" s="152"/>
      <c r="K686" s="152"/>
      <c r="L686" s="152"/>
      <c r="M686" s="152"/>
      <c r="N686" s="152"/>
      <c r="O686" s="152"/>
      <c r="P686" s="152"/>
      <c r="Q686" s="152"/>
      <c r="R686" s="152"/>
      <c r="S686" s="152"/>
      <c r="T686" s="152"/>
      <c r="U686" s="152"/>
      <c r="V686" s="152"/>
      <c r="W686" s="152"/>
      <c r="X686" s="152"/>
      <c r="Y686" s="152"/>
    </row>
    <row r="687">
      <c r="A687" s="152"/>
      <c r="B687" s="152"/>
      <c r="C687" s="152"/>
      <c r="D687" s="152"/>
      <c r="E687" s="152"/>
      <c r="F687" s="152"/>
      <c r="G687" s="152"/>
      <c r="H687" s="152"/>
      <c r="I687" s="152"/>
      <c r="J687" s="152"/>
      <c r="K687" s="152"/>
      <c r="L687" s="152"/>
      <c r="M687" s="152"/>
      <c r="N687" s="152"/>
      <c r="O687" s="152"/>
      <c r="P687" s="152"/>
      <c r="Q687" s="152"/>
      <c r="R687" s="152"/>
      <c r="S687" s="152"/>
      <c r="T687" s="152"/>
      <c r="U687" s="152"/>
      <c r="V687" s="152"/>
      <c r="W687" s="152"/>
      <c r="X687" s="152"/>
      <c r="Y687" s="152"/>
    </row>
    <row r="688">
      <c r="A688" s="152"/>
      <c r="B688" s="152"/>
      <c r="C688" s="152"/>
      <c r="D688" s="152"/>
      <c r="E688" s="152"/>
      <c r="F688" s="152"/>
      <c r="G688" s="152"/>
      <c r="H688" s="152"/>
      <c r="I688" s="152"/>
      <c r="J688" s="152"/>
      <c r="K688" s="152"/>
      <c r="L688" s="152"/>
      <c r="M688" s="152"/>
      <c r="N688" s="152"/>
      <c r="O688" s="152"/>
      <c r="P688" s="152"/>
      <c r="Q688" s="152"/>
      <c r="R688" s="152"/>
      <c r="S688" s="152"/>
      <c r="T688" s="152"/>
      <c r="U688" s="152"/>
      <c r="V688" s="152"/>
      <c r="W688" s="152"/>
      <c r="X688" s="152"/>
      <c r="Y688" s="152"/>
    </row>
    <row r="689">
      <c r="A689" s="152"/>
      <c r="B689" s="152"/>
      <c r="C689" s="152"/>
      <c r="D689" s="152"/>
      <c r="E689" s="152"/>
      <c r="F689" s="152"/>
      <c r="G689" s="152"/>
      <c r="H689" s="152"/>
      <c r="I689" s="152"/>
      <c r="J689" s="152"/>
      <c r="K689" s="152"/>
      <c r="L689" s="152"/>
      <c r="M689" s="152"/>
      <c r="N689" s="152"/>
      <c r="O689" s="152"/>
      <c r="P689" s="152"/>
      <c r="Q689" s="152"/>
      <c r="R689" s="152"/>
      <c r="S689" s="152"/>
      <c r="T689" s="152"/>
      <c r="U689" s="152"/>
      <c r="V689" s="152"/>
      <c r="W689" s="152"/>
      <c r="X689" s="152"/>
      <c r="Y689" s="152"/>
    </row>
    <row r="690">
      <c r="A690" s="152"/>
      <c r="B690" s="152"/>
      <c r="C690" s="152"/>
      <c r="D690" s="152"/>
      <c r="E690" s="152"/>
      <c r="F690" s="152"/>
      <c r="G690" s="152"/>
      <c r="H690" s="152"/>
      <c r="I690" s="152"/>
      <c r="J690" s="152"/>
      <c r="K690" s="152"/>
      <c r="L690" s="152"/>
      <c r="M690" s="152"/>
      <c r="N690" s="152"/>
      <c r="O690" s="152"/>
      <c r="P690" s="152"/>
      <c r="Q690" s="152"/>
      <c r="R690" s="152"/>
      <c r="S690" s="152"/>
      <c r="T690" s="152"/>
      <c r="U690" s="152"/>
      <c r="V690" s="152"/>
      <c r="W690" s="152"/>
      <c r="X690" s="152"/>
      <c r="Y690" s="152"/>
    </row>
    <row r="691">
      <c r="A691" s="152"/>
      <c r="B691" s="152"/>
      <c r="C691" s="152"/>
      <c r="D691" s="152"/>
      <c r="E691" s="152"/>
      <c r="F691" s="152"/>
      <c r="G691" s="152"/>
      <c r="H691" s="152"/>
      <c r="I691" s="152"/>
      <c r="J691" s="152"/>
      <c r="K691" s="152"/>
      <c r="L691" s="152"/>
      <c r="M691" s="152"/>
      <c r="N691" s="152"/>
      <c r="O691" s="152"/>
      <c r="P691" s="152"/>
      <c r="Q691" s="152"/>
      <c r="R691" s="152"/>
      <c r="S691" s="152"/>
      <c r="T691" s="152"/>
      <c r="U691" s="152"/>
      <c r="V691" s="152"/>
      <c r="W691" s="152"/>
      <c r="X691" s="152"/>
      <c r="Y691" s="152"/>
    </row>
    <row r="692">
      <c r="A692" s="152"/>
      <c r="B692" s="152"/>
      <c r="C692" s="152"/>
      <c r="D692" s="152"/>
      <c r="E692" s="152"/>
      <c r="F692" s="152"/>
      <c r="G692" s="152"/>
      <c r="H692" s="152"/>
      <c r="I692" s="152"/>
      <c r="J692" s="152"/>
      <c r="K692" s="152"/>
      <c r="L692" s="152"/>
      <c r="M692" s="152"/>
      <c r="N692" s="152"/>
      <c r="O692" s="152"/>
      <c r="P692" s="152"/>
      <c r="Q692" s="152"/>
      <c r="R692" s="152"/>
      <c r="S692" s="152"/>
      <c r="T692" s="152"/>
      <c r="U692" s="152"/>
      <c r="V692" s="152"/>
      <c r="W692" s="152"/>
      <c r="X692" s="152"/>
      <c r="Y692" s="152"/>
    </row>
    <row r="693">
      <c r="A693" s="152"/>
      <c r="B693" s="152"/>
      <c r="C693" s="152"/>
      <c r="D693" s="152"/>
      <c r="E693" s="152"/>
      <c r="F693" s="152"/>
      <c r="G693" s="152"/>
      <c r="H693" s="152"/>
      <c r="I693" s="152"/>
      <c r="J693" s="152"/>
      <c r="K693" s="152"/>
      <c r="L693" s="152"/>
      <c r="M693" s="152"/>
      <c r="N693" s="152"/>
      <c r="O693" s="152"/>
      <c r="P693" s="152"/>
      <c r="Q693" s="152"/>
      <c r="R693" s="152"/>
      <c r="S693" s="152"/>
      <c r="T693" s="152"/>
      <c r="U693" s="152"/>
      <c r="V693" s="152"/>
      <c r="W693" s="152"/>
      <c r="X693" s="152"/>
      <c r="Y693" s="152"/>
    </row>
    <row r="694">
      <c r="A694" s="152"/>
      <c r="B694" s="152"/>
      <c r="C694" s="152"/>
      <c r="D694" s="152"/>
      <c r="E694" s="152"/>
      <c r="F694" s="152"/>
      <c r="G694" s="152"/>
      <c r="H694" s="152"/>
      <c r="I694" s="152"/>
      <c r="J694" s="152"/>
      <c r="K694" s="152"/>
      <c r="L694" s="152"/>
      <c r="M694" s="152"/>
      <c r="N694" s="152"/>
      <c r="O694" s="152"/>
      <c r="P694" s="152"/>
      <c r="Q694" s="152"/>
      <c r="R694" s="152"/>
      <c r="S694" s="152"/>
      <c r="T694" s="152"/>
      <c r="U694" s="152"/>
      <c r="V694" s="152"/>
      <c r="W694" s="152"/>
      <c r="X694" s="152"/>
      <c r="Y694" s="152"/>
    </row>
    <row r="695">
      <c r="A695" s="152"/>
      <c r="B695" s="152"/>
      <c r="C695" s="152"/>
      <c r="D695" s="152"/>
      <c r="E695" s="152"/>
      <c r="F695" s="152"/>
      <c r="G695" s="152"/>
      <c r="H695" s="152"/>
      <c r="I695" s="152"/>
      <c r="J695" s="152"/>
      <c r="K695" s="152"/>
      <c r="L695" s="152"/>
      <c r="M695" s="152"/>
      <c r="N695" s="152"/>
      <c r="O695" s="152"/>
      <c r="P695" s="152"/>
      <c r="Q695" s="152"/>
      <c r="R695" s="152"/>
      <c r="S695" s="152"/>
      <c r="T695" s="152"/>
      <c r="U695" s="152"/>
      <c r="V695" s="152"/>
      <c r="W695" s="152"/>
      <c r="X695" s="152"/>
      <c r="Y695" s="152"/>
    </row>
    <row r="696">
      <c r="A696" s="152"/>
      <c r="B696" s="152"/>
      <c r="C696" s="152"/>
      <c r="D696" s="152"/>
      <c r="E696" s="152"/>
      <c r="F696" s="152"/>
      <c r="G696" s="152"/>
      <c r="H696" s="152"/>
      <c r="I696" s="152"/>
      <c r="J696" s="152"/>
      <c r="K696" s="152"/>
      <c r="L696" s="152"/>
      <c r="M696" s="152"/>
      <c r="N696" s="152"/>
      <c r="O696" s="152"/>
      <c r="P696" s="152"/>
      <c r="Q696" s="152"/>
      <c r="R696" s="152"/>
      <c r="S696" s="152"/>
      <c r="T696" s="152"/>
      <c r="U696" s="152"/>
      <c r="V696" s="152"/>
      <c r="W696" s="152"/>
      <c r="X696" s="152"/>
      <c r="Y696" s="152"/>
    </row>
    <row r="697">
      <c r="A697" s="152"/>
      <c r="B697" s="152"/>
      <c r="C697" s="152"/>
      <c r="D697" s="152"/>
      <c r="E697" s="152"/>
      <c r="F697" s="152"/>
      <c r="G697" s="152"/>
      <c r="H697" s="152"/>
      <c r="I697" s="152"/>
      <c r="J697" s="152"/>
      <c r="K697" s="152"/>
      <c r="L697" s="152"/>
      <c r="M697" s="152"/>
      <c r="N697" s="152"/>
      <c r="O697" s="152"/>
      <c r="P697" s="152"/>
      <c r="Q697" s="152"/>
      <c r="R697" s="152"/>
      <c r="S697" s="152"/>
      <c r="T697" s="152"/>
      <c r="U697" s="152"/>
      <c r="V697" s="152"/>
      <c r="W697" s="152"/>
      <c r="X697" s="152"/>
      <c r="Y697" s="152"/>
    </row>
    <row r="698">
      <c r="A698" s="152"/>
      <c r="B698" s="152"/>
      <c r="C698" s="152"/>
      <c r="D698" s="152"/>
      <c r="E698" s="152"/>
      <c r="F698" s="152"/>
      <c r="G698" s="152"/>
      <c r="H698" s="152"/>
      <c r="I698" s="152"/>
      <c r="J698" s="152"/>
      <c r="K698" s="152"/>
      <c r="L698" s="152"/>
      <c r="M698" s="152"/>
      <c r="N698" s="152"/>
      <c r="O698" s="152"/>
      <c r="P698" s="152"/>
      <c r="Q698" s="152"/>
      <c r="R698" s="152"/>
      <c r="S698" s="152"/>
      <c r="T698" s="152"/>
      <c r="U698" s="152"/>
      <c r="V698" s="152"/>
      <c r="W698" s="152"/>
      <c r="X698" s="152"/>
      <c r="Y698" s="152"/>
    </row>
    <row r="699">
      <c r="A699" s="152"/>
      <c r="B699" s="152"/>
      <c r="C699" s="152"/>
      <c r="D699" s="152"/>
      <c r="E699" s="152"/>
      <c r="F699" s="152"/>
      <c r="G699" s="152"/>
      <c r="H699" s="152"/>
      <c r="I699" s="152"/>
      <c r="J699" s="152"/>
      <c r="K699" s="152"/>
      <c r="L699" s="152"/>
      <c r="M699" s="152"/>
      <c r="N699" s="152"/>
      <c r="O699" s="152"/>
      <c r="P699" s="152"/>
      <c r="Q699" s="152"/>
      <c r="R699" s="152"/>
      <c r="S699" s="152"/>
      <c r="T699" s="152"/>
      <c r="U699" s="152"/>
      <c r="V699" s="152"/>
      <c r="W699" s="152"/>
      <c r="X699" s="152"/>
      <c r="Y699" s="152"/>
    </row>
    <row r="700">
      <c r="A700" s="152"/>
      <c r="B700" s="152"/>
      <c r="C700" s="152"/>
      <c r="D700" s="152"/>
      <c r="E700" s="152"/>
      <c r="F700" s="152"/>
      <c r="G700" s="152"/>
      <c r="H700" s="152"/>
      <c r="I700" s="152"/>
      <c r="J700" s="152"/>
      <c r="K700" s="152"/>
      <c r="L700" s="152"/>
      <c r="M700" s="152"/>
      <c r="N700" s="152"/>
      <c r="O700" s="152"/>
      <c r="P700" s="152"/>
      <c r="Q700" s="152"/>
      <c r="R700" s="152"/>
      <c r="S700" s="152"/>
      <c r="T700" s="152"/>
      <c r="U700" s="152"/>
      <c r="V700" s="152"/>
      <c r="W700" s="152"/>
      <c r="X700" s="152"/>
      <c r="Y700" s="152"/>
    </row>
    <row r="701">
      <c r="A701" s="152"/>
      <c r="B701" s="152"/>
      <c r="C701" s="152"/>
      <c r="D701" s="152"/>
      <c r="E701" s="152"/>
      <c r="F701" s="152"/>
      <c r="G701" s="152"/>
      <c r="H701" s="152"/>
      <c r="I701" s="152"/>
      <c r="J701" s="152"/>
      <c r="K701" s="152"/>
      <c r="L701" s="152"/>
      <c r="M701" s="152"/>
      <c r="N701" s="152"/>
      <c r="O701" s="152"/>
      <c r="P701" s="152"/>
      <c r="Q701" s="152"/>
      <c r="R701" s="152"/>
      <c r="S701" s="152"/>
      <c r="T701" s="152"/>
      <c r="U701" s="152"/>
      <c r="V701" s="152"/>
      <c r="W701" s="152"/>
      <c r="X701" s="152"/>
      <c r="Y701" s="152"/>
    </row>
    <row r="702">
      <c r="A702" s="152"/>
      <c r="B702" s="152"/>
      <c r="C702" s="152"/>
      <c r="D702" s="152"/>
      <c r="E702" s="152"/>
      <c r="F702" s="152"/>
      <c r="G702" s="152"/>
      <c r="H702" s="152"/>
      <c r="I702" s="152"/>
      <c r="J702" s="152"/>
      <c r="K702" s="152"/>
      <c r="L702" s="152"/>
      <c r="M702" s="152"/>
      <c r="N702" s="152"/>
      <c r="O702" s="152"/>
      <c r="P702" s="152"/>
      <c r="Q702" s="152"/>
      <c r="R702" s="152"/>
      <c r="S702" s="152"/>
      <c r="T702" s="152"/>
      <c r="U702" s="152"/>
      <c r="V702" s="152"/>
      <c r="W702" s="152"/>
      <c r="X702" s="152"/>
      <c r="Y702" s="152"/>
    </row>
    <row r="703">
      <c r="A703" s="152"/>
      <c r="B703" s="152"/>
      <c r="C703" s="152"/>
      <c r="D703" s="152"/>
      <c r="E703" s="152"/>
      <c r="F703" s="152"/>
      <c r="G703" s="152"/>
      <c r="H703" s="152"/>
      <c r="I703" s="152"/>
      <c r="J703" s="152"/>
      <c r="K703" s="152"/>
      <c r="L703" s="152"/>
      <c r="M703" s="152"/>
      <c r="N703" s="152"/>
      <c r="O703" s="152"/>
      <c r="P703" s="152"/>
      <c r="Q703" s="152"/>
      <c r="R703" s="152"/>
      <c r="S703" s="152"/>
      <c r="T703" s="152"/>
      <c r="U703" s="152"/>
      <c r="V703" s="152"/>
      <c r="W703" s="152"/>
      <c r="X703" s="152"/>
      <c r="Y703" s="152"/>
    </row>
    <row r="704">
      <c r="A704" s="152"/>
      <c r="B704" s="152"/>
      <c r="C704" s="152"/>
      <c r="D704" s="152"/>
      <c r="E704" s="152"/>
      <c r="F704" s="152"/>
      <c r="G704" s="152"/>
      <c r="H704" s="152"/>
      <c r="I704" s="152"/>
      <c r="J704" s="152"/>
      <c r="K704" s="152"/>
      <c r="L704" s="152"/>
      <c r="M704" s="152"/>
      <c r="N704" s="152"/>
      <c r="O704" s="152"/>
      <c r="P704" s="152"/>
      <c r="Q704" s="152"/>
      <c r="R704" s="152"/>
      <c r="S704" s="152"/>
      <c r="T704" s="152"/>
      <c r="U704" s="152"/>
      <c r="V704" s="152"/>
      <c r="W704" s="152"/>
      <c r="X704" s="152"/>
      <c r="Y704" s="152"/>
    </row>
    <row r="705">
      <c r="A705" s="152"/>
      <c r="B705" s="152"/>
      <c r="C705" s="152"/>
      <c r="D705" s="152"/>
      <c r="E705" s="152"/>
      <c r="F705" s="152"/>
      <c r="G705" s="152"/>
      <c r="H705" s="152"/>
      <c r="I705" s="152"/>
      <c r="J705" s="152"/>
      <c r="K705" s="152"/>
      <c r="L705" s="152"/>
      <c r="M705" s="152"/>
      <c r="N705" s="152"/>
      <c r="O705" s="152"/>
      <c r="P705" s="152"/>
      <c r="Q705" s="152"/>
      <c r="R705" s="152"/>
      <c r="S705" s="152"/>
      <c r="T705" s="152"/>
      <c r="U705" s="152"/>
      <c r="V705" s="152"/>
      <c r="W705" s="152"/>
      <c r="X705" s="152"/>
      <c r="Y705" s="152"/>
    </row>
    <row r="706">
      <c r="A706" s="152"/>
      <c r="B706" s="152"/>
      <c r="C706" s="152"/>
      <c r="D706" s="152"/>
      <c r="E706" s="152"/>
      <c r="F706" s="152"/>
      <c r="G706" s="152"/>
      <c r="H706" s="152"/>
      <c r="I706" s="152"/>
      <c r="J706" s="152"/>
      <c r="K706" s="152"/>
      <c r="L706" s="152"/>
      <c r="M706" s="152"/>
      <c r="N706" s="152"/>
      <c r="O706" s="152"/>
      <c r="P706" s="152"/>
      <c r="Q706" s="152"/>
      <c r="R706" s="152"/>
      <c r="S706" s="152"/>
      <c r="T706" s="152"/>
      <c r="U706" s="152"/>
      <c r="V706" s="152"/>
      <c r="W706" s="152"/>
      <c r="X706" s="152"/>
      <c r="Y706" s="152"/>
    </row>
    <row r="707">
      <c r="A707" s="152"/>
      <c r="B707" s="152"/>
      <c r="C707" s="152"/>
      <c r="D707" s="152"/>
      <c r="E707" s="152"/>
      <c r="F707" s="152"/>
      <c r="G707" s="152"/>
      <c r="H707" s="152"/>
      <c r="I707" s="152"/>
      <c r="J707" s="152"/>
      <c r="K707" s="152"/>
      <c r="L707" s="152"/>
      <c r="M707" s="152"/>
      <c r="N707" s="152"/>
      <c r="O707" s="152"/>
      <c r="P707" s="152"/>
      <c r="Q707" s="152"/>
      <c r="R707" s="152"/>
      <c r="S707" s="152"/>
      <c r="T707" s="152"/>
      <c r="U707" s="152"/>
      <c r="V707" s="152"/>
      <c r="W707" s="152"/>
      <c r="X707" s="152"/>
      <c r="Y707" s="152"/>
    </row>
    <row r="708">
      <c r="A708" s="152"/>
      <c r="B708" s="152"/>
      <c r="C708" s="152"/>
      <c r="D708" s="152"/>
      <c r="E708" s="152"/>
      <c r="F708" s="152"/>
      <c r="G708" s="152"/>
      <c r="H708" s="152"/>
      <c r="I708" s="152"/>
      <c r="J708" s="152"/>
      <c r="K708" s="152"/>
      <c r="L708" s="152"/>
      <c r="M708" s="152"/>
      <c r="N708" s="152"/>
      <c r="O708" s="152"/>
      <c r="P708" s="152"/>
      <c r="Q708" s="152"/>
      <c r="R708" s="152"/>
      <c r="S708" s="152"/>
      <c r="T708" s="152"/>
      <c r="U708" s="152"/>
      <c r="V708" s="152"/>
      <c r="W708" s="152"/>
      <c r="X708" s="152"/>
      <c r="Y708" s="152"/>
    </row>
    <row r="709">
      <c r="A709" s="152"/>
      <c r="B709" s="152"/>
      <c r="C709" s="152"/>
      <c r="D709" s="152"/>
      <c r="E709" s="152"/>
      <c r="F709" s="152"/>
      <c r="G709" s="152"/>
      <c r="H709" s="152"/>
      <c r="I709" s="152"/>
      <c r="J709" s="152"/>
      <c r="K709" s="152"/>
      <c r="L709" s="152"/>
      <c r="M709" s="152"/>
      <c r="N709" s="152"/>
      <c r="O709" s="152"/>
      <c r="P709" s="152"/>
      <c r="Q709" s="152"/>
      <c r="R709" s="152"/>
      <c r="S709" s="152"/>
      <c r="T709" s="152"/>
      <c r="U709" s="152"/>
      <c r="V709" s="152"/>
      <c r="W709" s="152"/>
      <c r="X709" s="152"/>
      <c r="Y709" s="152"/>
    </row>
    <row r="710">
      <c r="A710" s="152"/>
      <c r="B710" s="152"/>
      <c r="C710" s="152"/>
      <c r="D710" s="152"/>
      <c r="E710" s="152"/>
      <c r="F710" s="152"/>
      <c r="G710" s="152"/>
      <c r="H710" s="152"/>
      <c r="I710" s="152"/>
      <c r="J710" s="152"/>
      <c r="K710" s="152"/>
      <c r="L710" s="152"/>
      <c r="M710" s="152"/>
      <c r="N710" s="152"/>
      <c r="O710" s="152"/>
      <c r="P710" s="152"/>
      <c r="Q710" s="152"/>
      <c r="R710" s="152"/>
      <c r="S710" s="152"/>
      <c r="T710" s="152"/>
      <c r="U710" s="152"/>
      <c r="V710" s="152"/>
      <c r="W710" s="152"/>
      <c r="X710" s="152"/>
      <c r="Y710" s="152"/>
    </row>
    <row r="711">
      <c r="A711" s="152"/>
      <c r="B711" s="152"/>
      <c r="C711" s="152"/>
      <c r="D711" s="152"/>
      <c r="E711" s="152"/>
      <c r="F711" s="152"/>
      <c r="G711" s="152"/>
      <c r="H711" s="152"/>
      <c r="I711" s="152"/>
      <c r="J711" s="152"/>
      <c r="K711" s="152"/>
      <c r="L711" s="152"/>
      <c r="M711" s="152"/>
      <c r="N711" s="152"/>
      <c r="O711" s="152"/>
      <c r="P711" s="152"/>
      <c r="Q711" s="152"/>
      <c r="R711" s="152"/>
      <c r="S711" s="152"/>
      <c r="T711" s="152"/>
      <c r="U711" s="152"/>
      <c r="V711" s="152"/>
      <c r="W711" s="152"/>
      <c r="X711" s="152"/>
      <c r="Y711" s="152"/>
    </row>
    <row r="712">
      <c r="A712" s="152"/>
      <c r="B712" s="152"/>
      <c r="C712" s="152"/>
      <c r="D712" s="152"/>
      <c r="E712" s="152"/>
      <c r="F712" s="152"/>
      <c r="G712" s="152"/>
      <c r="H712" s="152"/>
      <c r="I712" s="152"/>
      <c r="J712" s="152"/>
      <c r="K712" s="152"/>
      <c r="L712" s="152"/>
      <c r="M712" s="152"/>
      <c r="N712" s="152"/>
      <c r="O712" s="152"/>
      <c r="P712" s="152"/>
      <c r="Q712" s="152"/>
      <c r="R712" s="152"/>
      <c r="S712" s="152"/>
      <c r="T712" s="152"/>
      <c r="U712" s="152"/>
      <c r="V712" s="152"/>
      <c r="W712" s="152"/>
      <c r="X712" s="152"/>
      <c r="Y712" s="152"/>
    </row>
    <row r="713">
      <c r="A713" s="152"/>
      <c r="B713" s="152"/>
      <c r="C713" s="152"/>
      <c r="D713" s="152"/>
      <c r="E713" s="152"/>
      <c r="F713" s="152"/>
      <c r="G713" s="152"/>
      <c r="H713" s="152"/>
      <c r="I713" s="152"/>
      <c r="J713" s="152"/>
      <c r="K713" s="152"/>
      <c r="L713" s="152"/>
      <c r="M713" s="152"/>
      <c r="N713" s="152"/>
      <c r="O713" s="152"/>
      <c r="P713" s="152"/>
      <c r="Q713" s="152"/>
      <c r="R713" s="152"/>
      <c r="S713" s="152"/>
      <c r="T713" s="152"/>
      <c r="U713" s="152"/>
      <c r="V713" s="152"/>
      <c r="W713" s="152"/>
      <c r="X713" s="152"/>
      <c r="Y713" s="152"/>
    </row>
    <row r="714">
      <c r="A714" s="152"/>
      <c r="B714" s="152"/>
      <c r="C714" s="152"/>
      <c r="D714" s="152"/>
      <c r="E714" s="152"/>
      <c r="F714" s="152"/>
      <c r="G714" s="152"/>
      <c r="H714" s="152"/>
      <c r="I714" s="152"/>
      <c r="J714" s="152"/>
      <c r="K714" s="152"/>
      <c r="L714" s="152"/>
      <c r="M714" s="152"/>
      <c r="N714" s="152"/>
      <c r="O714" s="152"/>
      <c r="P714" s="152"/>
      <c r="Q714" s="152"/>
      <c r="R714" s="152"/>
      <c r="S714" s="152"/>
      <c r="T714" s="152"/>
      <c r="U714" s="152"/>
      <c r="V714" s="152"/>
      <c r="W714" s="152"/>
      <c r="X714" s="152"/>
      <c r="Y714" s="152"/>
    </row>
    <row r="715">
      <c r="A715" s="152"/>
      <c r="B715" s="152"/>
      <c r="C715" s="152"/>
      <c r="D715" s="152"/>
      <c r="E715" s="152"/>
      <c r="F715" s="152"/>
      <c r="G715" s="152"/>
      <c r="H715" s="152"/>
      <c r="I715" s="152"/>
      <c r="J715" s="152"/>
      <c r="K715" s="152"/>
      <c r="L715" s="152"/>
      <c r="M715" s="152"/>
      <c r="N715" s="152"/>
      <c r="O715" s="152"/>
      <c r="P715" s="152"/>
      <c r="Q715" s="152"/>
      <c r="R715" s="152"/>
      <c r="S715" s="152"/>
      <c r="T715" s="152"/>
      <c r="U715" s="152"/>
      <c r="V715" s="152"/>
      <c r="W715" s="152"/>
      <c r="X715" s="152"/>
      <c r="Y715" s="152"/>
    </row>
    <row r="716">
      <c r="A716" s="152"/>
      <c r="B716" s="152"/>
      <c r="C716" s="152"/>
      <c r="D716" s="152"/>
      <c r="E716" s="152"/>
      <c r="F716" s="152"/>
      <c r="G716" s="152"/>
      <c r="H716" s="152"/>
      <c r="I716" s="152"/>
      <c r="J716" s="152"/>
      <c r="K716" s="152"/>
      <c r="L716" s="152"/>
      <c r="M716" s="152"/>
      <c r="N716" s="152"/>
      <c r="O716" s="152"/>
      <c r="P716" s="152"/>
      <c r="Q716" s="152"/>
      <c r="R716" s="152"/>
      <c r="S716" s="152"/>
      <c r="T716" s="152"/>
      <c r="U716" s="152"/>
      <c r="V716" s="152"/>
      <c r="W716" s="152"/>
      <c r="X716" s="152"/>
      <c r="Y716" s="152"/>
    </row>
    <row r="717">
      <c r="A717" s="152"/>
      <c r="B717" s="152"/>
      <c r="C717" s="152"/>
      <c r="D717" s="152"/>
      <c r="E717" s="152"/>
      <c r="F717" s="152"/>
      <c r="G717" s="152"/>
      <c r="H717" s="152"/>
      <c r="I717" s="152"/>
      <c r="J717" s="152"/>
      <c r="K717" s="152"/>
      <c r="L717" s="152"/>
      <c r="M717" s="152"/>
      <c r="N717" s="152"/>
      <c r="O717" s="152"/>
      <c r="P717" s="152"/>
      <c r="Q717" s="152"/>
      <c r="R717" s="152"/>
      <c r="S717" s="152"/>
      <c r="T717" s="152"/>
      <c r="U717" s="152"/>
      <c r="V717" s="152"/>
      <c r="W717" s="152"/>
      <c r="X717" s="152"/>
      <c r="Y717" s="152"/>
    </row>
    <row r="718">
      <c r="A718" s="152"/>
      <c r="B718" s="152"/>
      <c r="C718" s="152"/>
      <c r="D718" s="152"/>
      <c r="E718" s="152"/>
      <c r="F718" s="152"/>
      <c r="G718" s="152"/>
      <c r="H718" s="152"/>
      <c r="I718" s="152"/>
      <c r="J718" s="152"/>
      <c r="K718" s="152"/>
      <c r="L718" s="152"/>
      <c r="M718" s="152"/>
      <c r="N718" s="152"/>
      <c r="O718" s="152"/>
      <c r="P718" s="152"/>
      <c r="Q718" s="152"/>
      <c r="R718" s="152"/>
      <c r="S718" s="152"/>
      <c r="T718" s="152"/>
      <c r="U718" s="152"/>
      <c r="V718" s="152"/>
      <c r="W718" s="152"/>
      <c r="X718" s="152"/>
      <c r="Y718" s="152"/>
    </row>
    <row r="719">
      <c r="A719" s="152"/>
      <c r="B719" s="152"/>
      <c r="C719" s="152"/>
      <c r="D719" s="152"/>
      <c r="E719" s="152"/>
      <c r="F719" s="152"/>
      <c r="G719" s="152"/>
      <c r="H719" s="152"/>
      <c r="I719" s="152"/>
      <c r="J719" s="152"/>
      <c r="K719" s="152"/>
      <c r="L719" s="152"/>
      <c r="M719" s="152"/>
      <c r="N719" s="152"/>
      <c r="O719" s="152"/>
      <c r="P719" s="152"/>
      <c r="Q719" s="152"/>
      <c r="R719" s="152"/>
      <c r="S719" s="152"/>
      <c r="T719" s="152"/>
      <c r="U719" s="152"/>
      <c r="V719" s="152"/>
      <c r="W719" s="152"/>
      <c r="X719" s="152"/>
      <c r="Y719" s="152"/>
    </row>
    <row r="720">
      <c r="A720" s="152"/>
      <c r="B720" s="152"/>
      <c r="C720" s="152"/>
      <c r="D720" s="152"/>
      <c r="E720" s="152"/>
      <c r="F720" s="152"/>
      <c r="G720" s="152"/>
      <c r="H720" s="152"/>
      <c r="I720" s="152"/>
      <c r="J720" s="152"/>
      <c r="K720" s="152"/>
      <c r="L720" s="152"/>
      <c r="M720" s="152"/>
      <c r="N720" s="152"/>
      <c r="O720" s="152"/>
      <c r="P720" s="152"/>
      <c r="Q720" s="152"/>
      <c r="R720" s="152"/>
      <c r="S720" s="152"/>
      <c r="T720" s="152"/>
      <c r="U720" s="152"/>
      <c r="V720" s="152"/>
      <c r="W720" s="152"/>
      <c r="X720" s="152"/>
      <c r="Y720" s="152"/>
    </row>
    <row r="721">
      <c r="A721" s="152"/>
      <c r="B721" s="152"/>
      <c r="C721" s="152"/>
      <c r="D721" s="152"/>
      <c r="E721" s="152"/>
      <c r="F721" s="152"/>
      <c r="G721" s="152"/>
      <c r="H721" s="152"/>
      <c r="I721" s="152"/>
      <c r="J721" s="152"/>
      <c r="K721" s="152"/>
      <c r="L721" s="152"/>
      <c r="M721" s="152"/>
      <c r="N721" s="152"/>
      <c r="O721" s="152"/>
      <c r="P721" s="152"/>
      <c r="Q721" s="152"/>
      <c r="R721" s="152"/>
      <c r="S721" s="152"/>
      <c r="T721" s="152"/>
      <c r="U721" s="152"/>
      <c r="V721" s="152"/>
      <c r="W721" s="152"/>
      <c r="X721" s="152"/>
      <c r="Y721" s="152"/>
    </row>
    <row r="722">
      <c r="A722" s="152"/>
      <c r="B722" s="152"/>
      <c r="C722" s="152"/>
      <c r="D722" s="152"/>
      <c r="E722" s="152"/>
      <c r="F722" s="152"/>
      <c r="G722" s="152"/>
      <c r="H722" s="152"/>
      <c r="I722" s="152"/>
      <c r="J722" s="152"/>
      <c r="K722" s="152"/>
      <c r="L722" s="152"/>
      <c r="M722" s="152"/>
      <c r="N722" s="152"/>
      <c r="O722" s="152"/>
      <c r="P722" s="152"/>
      <c r="Q722" s="152"/>
      <c r="R722" s="152"/>
      <c r="S722" s="152"/>
      <c r="T722" s="152"/>
      <c r="U722" s="152"/>
      <c r="V722" s="152"/>
      <c r="W722" s="152"/>
      <c r="X722" s="152"/>
      <c r="Y722" s="152"/>
    </row>
    <row r="723">
      <c r="A723" s="152"/>
      <c r="B723" s="152"/>
      <c r="C723" s="152"/>
      <c r="D723" s="152"/>
      <c r="E723" s="152"/>
      <c r="F723" s="152"/>
      <c r="G723" s="152"/>
      <c r="H723" s="152"/>
      <c r="I723" s="152"/>
      <c r="J723" s="152"/>
      <c r="K723" s="152"/>
      <c r="L723" s="152"/>
      <c r="M723" s="152"/>
      <c r="N723" s="152"/>
      <c r="O723" s="152"/>
      <c r="P723" s="152"/>
      <c r="Q723" s="152"/>
      <c r="R723" s="152"/>
      <c r="S723" s="152"/>
      <c r="T723" s="152"/>
      <c r="U723" s="152"/>
      <c r="V723" s="152"/>
      <c r="W723" s="152"/>
      <c r="X723" s="152"/>
      <c r="Y723" s="152"/>
    </row>
    <row r="724">
      <c r="A724" s="152"/>
      <c r="B724" s="152"/>
      <c r="C724" s="152"/>
      <c r="D724" s="152"/>
      <c r="E724" s="152"/>
      <c r="F724" s="152"/>
      <c r="G724" s="152"/>
      <c r="H724" s="152"/>
      <c r="I724" s="152"/>
      <c r="J724" s="152"/>
      <c r="K724" s="152"/>
      <c r="L724" s="152"/>
      <c r="M724" s="152"/>
      <c r="N724" s="152"/>
      <c r="O724" s="152"/>
      <c r="P724" s="152"/>
      <c r="Q724" s="152"/>
      <c r="R724" s="152"/>
      <c r="S724" s="152"/>
      <c r="T724" s="152"/>
      <c r="U724" s="152"/>
      <c r="V724" s="152"/>
      <c r="W724" s="152"/>
      <c r="X724" s="152"/>
      <c r="Y724" s="152"/>
    </row>
    <row r="725">
      <c r="A725" s="152"/>
      <c r="B725" s="152"/>
      <c r="C725" s="152"/>
      <c r="D725" s="152"/>
      <c r="E725" s="152"/>
      <c r="F725" s="152"/>
      <c r="G725" s="152"/>
      <c r="H725" s="152"/>
      <c r="I725" s="152"/>
      <c r="J725" s="152"/>
      <c r="K725" s="152"/>
      <c r="L725" s="152"/>
      <c r="M725" s="152"/>
      <c r="N725" s="152"/>
      <c r="O725" s="152"/>
      <c r="P725" s="152"/>
      <c r="Q725" s="152"/>
      <c r="R725" s="152"/>
      <c r="S725" s="152"/>
      <c r="T725" s="152"/>
      <c r="U725" s="152"/>
      <c r="V725" s="152"/>
      <c r="W725" s="152"/>
      <c r="X725" s="152"/>
      <c r="Y725" s="152"/>
    </row>
    <row r="726">
      <c r="A726" s="152"/>
      <c r="B726" s="152"/>
      <c r="C726" s="152"/>
      <c r="D726" s="152"/>
      <c r="E726" s="152"/>
      <c r="F726" s="152"/>
      <c r="G726" s="152"/>
      <c r="H726" s="152"/>
      <c r="I726" s="152"/>
      <c r="J726" s="152"/>
      <c r="K726" s="152"/>
      <c r="L726" s="152"/>
      <c r="M726" s="152"/>
      <c r="N726" s="152"/>
      <c r="O726" s="152"/>
      <c r="P726" s="152"/>
      <c r="Q726" s="152"/>
      <c r="R726" s="152"/>
      <c r="S726" s="152"/>
      <c r="T726" s="152"/>
      <c r="U726" s="152"/>
      <c r="V726" s="152"/>
      <c r="W726" s="152"/>
      <c r="X726" s="152"/>
      <c r="Y726" s="152"/>
    </row>
    <row r="727">
      <c r="A727" s="152"/>
      <c r="B727" s="152"/>
      <c r="C727" s="152"/>
      <c r="D727" s="152"/>
      <c r="E727" s="152"/>
      <c r="F727" s="152"/>
      <c r="G727" s="152"/>
      <c r="H727" s="152"/>
      <c r="I727" s="152"/>
      <c r="J727" s="152"/>
      <c r="K727" s="152"/>
      <c r="L727" s="152"/>
      <c r="M727" s="152"/>
      <c r="N727" s="152"/>
      <c r="O727" s="152"/>
      <c r="P727" s="152"/>
      <c r="Q727" s="152"/>
      <c r="R727" s="152"/>
      <c r="S727" s="152"/>
      <c r="T727" s="152"/>
      <c r="U727" s="152"/>
      <c r="V727" s="152"/>
      <c r="W727" s="152"/>
      <c r="X727" s="152"/>
      <c r="Y727" s="152"/>
    </row>
    <row r="728">
      <c r="A728" s="152"/>
      <c r="B728" s="152"/>
      <c r="C728" s="152"/>
      <c r="D728" s="152"/>
      <c r="E728" s="152"/>
      <c r="F728" s="152"/>
      <c r="G728" s="152"/>
      <c r="H728" s="152"/>
      <c r="I728" s="152"/>
      <c r="J728" s="152"/>
      <c r="K728" s="152"/>
      <c r="L728" s="152"/>
      <c r="M728" s="152"/>
      <c r="N728" s="152"/>
      <c r="O728" s="152"/>
      <c r="P728" s="152"/>
      <c r="Q728" s="152"/>
      <c r="R728" s="152"/>
      <c r="S728" s="152"/>
      <c r="T728" s="152"/>
      <c r="U728" s="152"/>
      <c r="V728" s="152"/>
      <c r="W728" s="152"/>
      <c r="X728" s="152"/>
      <c r="Y728" s="152"/>
    </row>
    <row r="729">
      <c r="A729" s="152"/>
      <c r="B729" s="152"/>
      <c r="C729" s="152"/>
      <c r="D729" s="152"/>
      <c r="E729" s="152"/>
      <c r="F729" s="152"/>
      <c r="G729" s="152"/>
      <c r="H729" s="152"/>
      <c r="I729" s="152"/>
      <c r="J729" s="152"/>
      <c r="K729" s="152"/>
      <c r="L729" s="152"/>
      <c r="M729" s="152"/>
      <c r="N729" s="152"/>
      <c r="O729" s="152"/>
      <c r="P729" s="152"/>
      <c r="Q729" s="152"/>
      <c r="R729" s="152"/>
      <c r="S729" s="152"/>
      <c r="T729" s="152"/>
      <c r="U729" s="152"/>
      <c r="V729" s="152"/>
      <c r="W729" s="152"/>
      <c r="X729" s="152"/>
      <c r="Y729" s="152"/>
    </row>
    <row r="730">
      <c r="A730" s="152"/>
      <c r="B730" s="152"/>
      <c r="C730" s="152"/>
      <c r="D730" s="152"/>
      <c r="E730" s="152"/>
      <c r="F730" s="152"/>
      <c r="G730" s="152"/>
      <c r="H730" s="152"/>
      <c r="I730" s="152"/>
      <c r="J730" s="152"/>
      <c r="K730" s="152"/>
      <c r="L730" s="152"/>
      <c r="M730" s="152"/>
      <c r="N730" s="152"/>
      <c r="O730" s="152"/>
      <c r="P730" s="152"/>
      <c r="Q730" s="152"/>
      <c r="R730" s="152"/>
      <c r="S730" s="152"/>
      <c r="T730" s="152"/>
      <c r="U730" s="152"/>
      <c r="V730" s="152"/>
      <c r="W730" s="152"/>
      <c r="X730" s="152"/>
      <c r="Y730" s="152"/>
    </row>
    <row r="731">
      <c r="A731" s="152"/>
      <c r="B731" s="152"/>
      <c r="C731" s="152"/>
      <c r="D731" s="152"/>
      <c r="E731" s="152"/>
      <c r="F731" s="152"/>
      <c r="G731" s="152"/>
      <c r="H731" s="152"/>
      <c r="I731" s="152"/>
      <c r="J731" s="152"/>
      <c r="K731" s="152"/>
      <c r="L731" s="152"/>
      <c r="M731" s="152"/>
      <c r="N731" s="152"/>
      <c r="O731" s="152"/>
      <c r="P731" s="152"/>
      <c r="Q731" s="152"/>
      <c r="R731" s="152"/>
      <c r="S731" s="152"/>
      <c r="T731" s="152"/>
      <c r="U731" s="152"/>
      <c r="V731" s="152"/>
      <c r="W731" s="152"/>
      <c r="X731" s="152"/>
      <c r="Y731" s="152"/>
    </row>
    <row r="732">
      <c r="A732" s="152"/>
      <c r="B732" s="152"/>
      <c r="C732" s="152"/>
      <c r="D732" s="152"/>
      <c r="E732" s="152"/>
      <c r="F732" s="152"/>
      <c r="G732" s="152"/>
      <c r="H732" s="152"/>
      <c r="I732" s="152"/>
      <c r="J732" s="152"/>
      <c r="K732" s="152"/>
      <c r="L732" s="152"/>
      <c r="M732" s="152"/>
      <c r="N732" s="152"/>
      <c r="O732" s="152"/>
      <c r="P732" s="152"/>
      <c r="Q732" s="152"/>
      <c r="R732" s="152"/>
      <c r="S732" s="152"/>
      <c r="T732" s="152"/>
      <c r="U732" s="152"/>
      <c r="V732" s="152"/>
      <c r="W732" s="152"/>
      <c r="X732" s="152"/>
      <c r="Y732" s="152"/>
    </row>
    <row r="733">
      <c r="A733" s="152"/>
      <c r="B733" s="152"/>
      <c r="C733" s="152"/>
      <c r="D733" s="152"/>
      <c r="E733" s="152"/>
      <c r="F733" s="152"/>
      <c r="G733" s="152"/>
      <c r="H733" s="152"/>
      <c r="I733" s="152"/>
      <c r="J733" s="152"/>
      <c r="K733" s="152"/>
      <c r="L733" s="152"/>
      <c r="M733" s="152"/>
      <c r="N733" s="152"/>
      <c r="O733" s="152"/>
      <c r="P733" s="152"/>
      <c r="Q733" s="152"/>
      <c r="R733" s="152"/>
      <c r="S733" s="152"/>
      <c r="T733" s="152"/>
      <c r="U733" s="152"/>
      <c r="V733" s="152"/>
      <c r="W733" s="152"/>
      <c r="X733" s="152"/>
      <c r="Y733" s="152"/>
    </row>
    <row r="734">
      <c r="A734" s="152"/>
      <c r="B734" s="152"/>
      <c r="C734" s="152"/>
      <c r="D734" s="152"/>
      <c r="E734" s="152"/>
      <c r="F734" s="152"/>
      <c r="G734" s="152"/>
      <c r="H734" s="152"/>
      <c r="I734" s="152"/>
      <c r="J734" s="152"/>
      <c r="K734" s="152"/>
      <c r="L734" s="152"/>
      <c r="M734" s="152"/>
      <c r="N734" s="152"/>
      <c r="O734" s="152"/>
      <c r="P734" s="152"/>
      <c r="Q734" s="152"/>
      <c r="R734" s="152"/>
      <c r="S734" s="152"/>
      <c r="T734" s="152"/>
      <c r="U734" s="152"/>
      <c r="V734" s="152"/>
      <c r="W734" s="152"/>
      <c r="X734" s="152"/>
      <c r="Y734" s="152"/>
    </row>
    <row r="735">
      <c r="A735" s="152"/>
      <c r="B735" s="152"/>
      <c r="C735" s="152"/>
      <c r="D735" s="152"/>
      <c r="E735" s="152"/>
      <c r="F735" s="152"/>
      <c r="G735" s="152"/>
      <c r="H735" s="152"/>
      <c r="I735" s="152"/>
      <c r="J735" s="152"/>
      <c r="K735" s="152"/>
      <c r="L735" s="152"/>
      <c r="M735" s="152"/>
      <c r="N735" s="152"/>
      <c r="O735" s="152"/>
      <c r="P735" s="152"/>
      <c r="Q735" s="152"/>
      <c r="R735" s="152"/>
      <c r="S735" s="152"/>
      <c r="T735" s="152"/>
      <c r="U735" s="152"/>
      <c r="V735" s="152"/>
      <c r="W735" s="152"/>
      <c r="X735" s="152"/>
      <c r="Y735" s="152"/>
    </row>
    <row r="736">
      <c r="A736" s="152"/>
      <c r="B736" s="152"/>
      <c r="C736" s="152"/>
      <c r="D736" s="152"/>
      <c r="E736" s="152"/>
      <c r="F736" s="152"/>
      <c r="G736" s="152"/>
      <c r="H736" s="152"/>
      <c r="I736" s="152"/>
      <c r="J736" s="152"/>
      <c r="K736" s="152"/>
      <c r="L736" s="152"/>
      <c r="M736" s="152"/>
      <c r="N736" s="152"/>
      <c r="O736" s="152"/>
      <c r="P736" s="152"/>
      <c r="Q736" s="152"/>
      <c r="R736" s="152"/>
      <c r="S736" s="152"/>
      <c r="T736" s="152"/>
      <c r="U736" s="152"/>
      <c r="V736" s="152"/>
      <c r="W736" s="152"/>
      <c r="X736" s="152"/>
      <c r="Y736" s="152"/>
    </row>
    <row r="737">
      <c r="A737" s="152"/>
      <c r="B737" s="152"/>
      <c r="C737" s="152"/>
      <c r="D737" s="152"/>
      <c r="E737" s="152"/>
      <c r="F737" s="152"/>
      <c r="G737" s="152"/>
      <c r="H737" s="152"/>
      <c r="I737" s="152"/>
      <c r="J737" s="152"/>
      <c r="K737" s="152"/>
      <c r="L737" s="152"/>
      <c r="M737" s="152"/>
      <c r="N737" s="152"/>
      <c r="O737" s="152"/>
      <c r="P737" s="152"/>
      <c r="Q737" s="152"/>
      <c r="R737" s="152"/>
      <c r="S737" s="152"/>
      <c r="T737" s="152"/>
      <c r="U737" s="152"/>
      <c r="V737" s="152"/>
      <c r="W737" s="152"/>
      <c r="X737" s="152"/>
      <c r="Y737" s="152"/>
    </row>
    <row r="738">
      <c r="A738" s="152"/>
      <c r="B738" s="152"/>
      <c r="C738" s="152"/>
      <c r="D738" s="152"/>
      <c r="E738" s="152"/>
      <c r="F738" s="152"/>
      <c r="G738" s="152"/>
      <c r="H738" s="152"/>
      <c r="I738" s="152"/>
      <c r="J738" s="152"/>
      <c r="K738" s="152"/>
      <c r="L738" s="152"/>
      <c r="M738" s="152"/>
      <c r="N738" s="152"/>
      <c r="O738" s="152"/>
      <c r="P738" s="152"/>
      <c r="Q738" s="152"/>
      <c r="R738" s="152"/>
      <c r="S738" s="152"/>
      <c r="T738" s="152"/>
      <c r="U738" s="152"/>
      <c r="V738" s="152"/>
      <c r="W738" s="152"/>
      <c r="X738" s="152"/>
      <c r="Y738" s="152"/>
    </row>
    <row r="739">
      <c r="A739" s="152"/>
      <c r="B739" s="152"/>
      <c r="C739" s="152"/>
      <c r="D739" s="152"/>
      <c r="E739" s="152"/>
      <c r="F739" s="152"/>
      <c r="G739" s="152"/>
      <c r="H739" s="152"/>
      <c r="I739" s="152"/>
      <c r="J739" s="152"/>
      <c r="K739" s="152"/>
      <c r="L739" s="152"/>
      <c r="M739" s="152"/>
      <c r="N739" s="152"/>
      <c r="O739" s="152"/>
      <c r="P739" s="152"/>
      <c r="Q739" s="152"/>
      <c r="R739" s="152"/>
      <c r="S739" s="152"/>
      <c r="T739" s="152"/>
      <c r="U739" s="152"/>
      <c r="V739" s="152"/>
      <c r="W739" s="152"/>
      <c r="X739" s="152"/>
      <c r="Y739" s="152"/>
    </row>
    <row r="740">
      <c r="A740" s="152"/>
      <c r="B740" s="152"/>
      <c r="C740" s="152"/>
      <c r="D740" s="152"/>
      <c r="E740" s="152"/>
      <c r="F740" s="152"/>
      <c r="G740" s="152"/>
      <c r="H740" s="152"/>
      <c r="I740" s="152"/>
      <c r="J740" s="152"/>
      <c r="K740" s="152"/>
      <c r="L740" s="152"/>
      <c r="M740" s="152"/>
      <c r="N740" s="152"/>
      <c r="O740" s="152"/>
      <c r="P740" s="152"/>
      <c r="Q740" s="152"/>
      <c r="R740" s="152"/>
      <c r="S740" s="152"/>
      <c r="T740" s="152"/>
      <c r="U740" s="152"/>
      <c r="V740" s="152"/>
      <c r="W740" s="152"/>
      <c r="X740" s="152"/>
      <c r="Y740" s="152"/>
    </row>
    <row r="741">
      <c r="A741" s="152"/>
      <c r="B741" s="152"/>
      <c r="C741" s="152"/>
      <c r="D741" s="152"/>
      <c r="E741" s="152"/>
      <c r="F741" s="152"/>
      <c r="G741" s="152"/>
      <c r="H741" s="152"/>
      <c r="I741" s="152"/>
      <c r="J741" s="152"/>
      <c r="K741" s="152"/>
      <c r="L741" s="152"/>
      <c r="M741" s="152"/>
      <c r="N741" s="152"/>
      <c r="O741" s="152"/>
      <c r="P741" s="152"/>
      <c r="Q741" s="152"/>
      <c r="R741" s="152"/>
      <c r="S741" s="152"/>
      <c r="T741" s="152"/>
      <c r="U741" s="152"/>
      <c r="V741" s="152"/>
      <c r="W741" s="152"/>
      <c r="X741" s="152"/>
      <c r="Y741" s="152"/>
    </row>
    <row r="742">
      <c r="A742" s="152"/>
      <c r="B742" s="152"/>
      <c r="C742" s="152"/>
      <c r="D742" s="152"/>
      <c r="E742" s="152"/>
      <c r="F742" s="152"/>
      <c r="G742" s="152"/>
      <c r="H742" s="152"/>
      <c r="I742" s="152"/>
      <c r="J742" s="152"/>
      <c r="K742" s="152"/>
      <c r="L742" s="152"/>
      <c r="M742" s="152"/>
      <c r="N742" s="152"/>
      <c r="O742" s="152"/>
      <c r="P742" s="152"/>
      <c r="Q742" s="152"/>
      <c r="R742" s="152"/>
      <c r="S742" s="152"/>
      <c r="T742" s="152"/>
      <c r="U742" s="152"/>
      <c r="V742" s="152"/>
      <c r="W742" s="152"/>
      <c r="X742" s="152"/>
      <c r="Y742" s="152"/>
    </row>
    <row r="743">
      <c r="A743" s="152"/>
      <c r="B743" s="152"/>
      <c r="C743" s="152"/>
      <c r="D743" s="152"/>
      <c r="E743" s="152"/>
      <c r="F743" s="152"/>
      <c r="G743" s="152"/>
      <c r="H743" s="152"/>
      <c r="I743" s="152"/>
      <c r="J743" s="152"/>
      <c r="K743" s="152"/>
      <c r="L743" s="152"/>
      <c r="M743" s="152"/>
      <c r="N743" s="152"/>
      <c r="O743" s="152"/>
      <c r="P743" s="152"/>
      <c r="Q743" s="152"/>
      <c r="R743" s="152"/>
      <c r="S743" s="152"/>
      <c r="T743" s="152"/>
      <c r="U743" s="152"/>
      <c r="V743" s="152"/>
      <c r="W743" s="152"/>
      <c r="X743" s="152"/>
      <c r="Y743" s="152"/>
    </row>
    <row r="744">
      <c r="A744" s="152"/>
      <c r="B744" s="152"/>
      <c r="C744" s="152"/>
      <c r="D744" s="152"/>
      <c r="E744" s="152"/>
      <c r="F744" s="152"/>
      <c r="G744" s="152"/>
      <c r="H744" s="152"/>
      <c r="I744" s="152"/>
      <c r="J744" s="152"/>
      <c r="K744" s="152"/>
      <c r="L744" s="152"/>
      <c r="M744" s="152"/>
      <c r="N744" s="152"/>
      <c r="O744" s="152"/>
      <c r="P744" s="152"/>
      <c r="Q744" s="152"/>
      <c r="R744" s="152"/>
      <c r="S744" s="152"/>
      <c r="T744" s="152"/>
      <c r="U744" s="152"/>
      <c r="V744" s="152"/>
      <c r="W744" s="152"/>
      <c r="X744" s="152"/>
      <c r="Y744" s="152"/>
    </row>
    <row r="745">
      <c r="A745" s="152"/>
      <c r="B745" s="152"/>
      <c r="C745" s="152"/>
      <c r="D745" s="152"/>
      <c r="E745" s="152"/>
      <c r="F745" s="152"/>
      <c r="G745" s="152"/>
      <c r="H745" s="152"/>
      <c r="I745" s="152"/>
      <c r="J745" s="152"/>
      <c r="K745" s="152"/>
      <c r="L745" s="152"/>
      <c r="M745" s="152"/>
      <c r="N745" s="152"/>
      <c r="O745" s="152"/>
      <c r="P745" s="152"/>
      <c r="Q745" s="152"/>
      <c r="R745" s="152"/>
      <c r="S745" s="152"/>
      <c r="T745" s="152"/>
      <c r="U745" s="152"/>
      <c r="V745" s="152"/>
      <c r="W745" s="152"/>
      <c r="X745" s="152"/>
      <c r="Y745" s="152"/>
    </row>
    <row r="746">
      <c r="A746" s="152"/>
      <c r="B746" s="152"/>
      <c r="C746" s="152"/>
      <c r="D746" s="152"/>
      <c r="E746" s="152"/>
      <c r="F746" s="152"/>
      <c r="G746" s="152"/>
      <c r="H746" s="152"/>
      <c r="I746" s="152"/>
      <c r="J746" s="152"/>
      <c r="K746" s="152"/>
      <c r="L746" s="152"/>
      <c r="M746" s="152"/>
      <c r="N746" s="152"/>
      <c r="O746" s="152"/>
      <c r="P746" s="152"/>
      <c r="Q746" s="152"/>
      <c r="R746" s="152"/>
      <c r="S746" s="152"/>
      <c r="T746" s="152"/>
      <c r="U746" s="152"/>
      <c r="V746" s="152"/>
      <c r="W746" s="152"/>
      <c r="X746" s="152"/>
      <c r="Y746" s="152"/>
    </row>
    <row r="747">
      <c r="A747" s="152"/>
      <c r="B747" s="152"/>
      <c r="C747" s="152"/>
      <c r="D747" s="152"/>
      <c r="E747" s="152"/>
      <c r="F747" s="152"/>
      <c r="G747" s="152"/>
      <c r="H747" s="152"/>
      <c r="I747" s="152"/>
      <c r="J747" s="152"/>
      <c r="K747" s="152"/>
      <c r="L747" s="152"/>
      <c r="M747" s="152"/>
      <c r="N747" s="152"/>
      <c r="O747" s="152"/>
      <c r="P747" s="152"/>
      <c r="Q747" s="152"/>
      <c r="R747" s="152"/>
      <c r="S747" s="152"/>
      <c r="T747" s="152"/>
      <c r="U747" s="152"/>
      <c r="V747" s="152"/>
      <c r="W747" s="152"/>
      <c r="X747" s="152"/>
      <c r="Y747" s="152"/>
    </row>
    <row r="748">
      <c r="A748" s="152"/>
      <c r="B748" s="152"/>
      <c r="C748" s="152"/>
      <c r="D748" s="152"/>
      <c r="E748" s="152"/>
      <c r="F748" s="152"/>
      <c r="G748" s="152"/>
      <c r="H748" s="152"/>
      <c r="I748" s="152"/>
      <c r="J748" s="152"/>
      <c r="K748" s="152"/>
      <c r="L748" s="152"/>
      <c r="M748" s="152"/>
      <c r="N748" s="152"/>
      <c r="O748" s="152"/>
      <c r="P748" s="152"/>
      <c r="Q748" s="152"/>
      <c r="R748" s="152"/>
      <c r="S748" s="152"/>
      <c r="T748" s="152"/>
      <c r="U748" s="152"/>
      <c r="V748" s="152"/>
      <c r="W748" s="152"/>
      <c r="X748" s="152"/>
      <c r="Y748" s="152"/>
    </row>
    <row r="749">
      <c r="A749" s="152"/>
      <c r="B749" s="152"/>
      <c r="C749" s="152"/>
      <c r="D749" s="152"/>
      <c r="E749" s="152"/>
      <c r="F749" s="152"/>
      <c r="G749" s="152"/>
      <c r="H749" s="152"/>
      <c r="I749" s="152"/>
      <c r="J749" s="152"/>
      <c r="K749" s="152"/>
      <c r="L749" s="152"/>
      <c r="M749" s="152"/>
      <c r="N749" s="152"/>
      <c r="O749" s="152"/>
      <c r="P749" s="152"/>
      <c r="Q749" s="152"/>
      <c r="R749" s="152"/>
      <c r="S749" s="152"/>
      <c r="T749" s="152"/>
      <c r="U749" s="152"/>
      <c r="V749" s="152"/>
      <c r="W749" s="152"/>
      <c r="X749" s="152"/>
      <c r="Y749" s="152"/>
    </row>
    <row r="750">
      <c r="A750" s="152"/>
      <c r="B750" s="152"/>
      <c r="C750" s="152"/>
      <c r="D750" s="152"/>
      <c r="E750" s="152"/>
      <c r="F750" s="152"/>
      <c r="G750" s="152"/>
      <c r="H750" s="152"/>
      <c r="I750" s="152"/>
      <c r="J750" s="152"/>
      <c r="K750" s="152"/>
      <c r="L750" s="152"/>
      <c r="M750" s="152"/>
      <c r="N750" s="152"/>
      <c r="O750" s="152"/>
      <c r="P750" s="152"/>
      <c r="Q750" s="152"/>
      <c r="R750" s="152"/>
      <c r="S750" s="152"/>
      <c r="T750" s="152"/>
      <c r="U750" s="152"/>
      <c r="V750" s="152"/>
      <c r="W750" s="152"/>
      <c r="X750" s="152"/>
      <c r="Y750" s="152"/>
    </row>
    <row r="751">
      <c r="A751" s="152"/>
      <c r="B751" s="152"/>
      <c r="C751" s="152"/>
      <c r="D751" s="152"/>
      <c r="E751" s="152"/>
      <c r="F751" s="152"/>
      <c r="G751" s="152"/>
      <c r="H751" s="152"/>
      <c r="I751" s="152"/>
      <c r="J751" s="152"/>
      <c r="K751" s="152"/>
      <c r="L751" s="152"/>
      <c r="M751" s="152"/>
      <c r="N751" s="152"/>
      <c r="O751" s="152"/>
      <c r="P751" s="152"/>
      <c r="Q751" s="152"/>
      <c r="R751" s="152"/>
      <c r="S751" s="152"/>
      <c r="T751" s="152"/>
      <c r="U751" s="152"/>
      <c r="V751" s="152"/>
      <c r="W751" s="152"/>
      <c r="X751" s="152"/>
      <c r="Y751" s="152"/>
    </row>
    <row r="752">
      <c r="A752" s="152"/>
      <c r="B752" s="152"/>
      <c r="C752" s="152"/>
      <c r="D752" s="152"/>
      <c r="E752" s="152"/>
      <c r="F752" s="152"/>
      <c r="G752" s="152"/>
      <c r="H752" s="152"/>
      <c r="I752" s="152"/>
      <c r="J752" s="152"/>
      <c r="K752" s="152"/>
      <c r="L752" s="152"/>
      <c r="M752" s="152"/>
      <c r="N752" s="152"/>
      <c r="O752" s="152"/>
      <c r="P752" s="152"/>
      <c r="Q752" s="152"/>
      <c r="R752" s="152"/>
      <c r="S752" s="152"/>
      <c r="T752" s="152"/>
      <c r="U752" s="152"/>
      <c r="V752" s="152"/>
      <c r="W752" s="152"/>
      <c r="X752" s="152"/>
      <c r="Y752" s="152"/>
    </row>
    <row r="753">
      <c r="A753" s="152"/>
      <c r="B753" s="152"/>
      <c r="C753" s="152"/>
      <c r="D753" s="152"/>
      <c r="E753" s="152"/>
      <c r="F753" s="152"/>
      <c r="G753" s="152"/>
      <c r="H753" s="152"/>
      <c r="I753" s="152"/>
      <c r="J753" s="152"/>
      <c r="K753" s="152"/>
      <c r="L753" s="152"/>
      <c r="M753" s="152"/>
      <c r="N753" s="152"/>
      <c r="O753" s="152"/>
      <c r="P753" s="152"/>
      <c r="Q753" s="152"/>
      <c r="R753" s="152"/>
      <c r="S753" s="152"/>
      <c r="T753" s="152"/>
      <c r="U753" s="152"/>
      <c r="V753" s="152"/>
      <c r="W753" s="152"/>
      <c r="X753" s="152"/>
      <c r="Y753" s="152"/>
    </row>
    <row r="754">
      <c r="A754" s="152"/>
      <c r="B754" s="152"/>
      <c r="C754" s="152"/>
      <c r="D754" s="152"/>
      <c r="E754" s="152"/>
      <c r="F754" s="152"/>
      <c r="G754" s="152"/>
      <c r="H754" s="152"/>
      <c r="I754" s="152"/>
      <c r="J754" s="152"/>
      <c r="K754" s="152"/>
      <c r="L754" s="152"/>
      <c r="M754" s="152"/>
      <c r="N754" s="152"/>
      <c r="O754" s="152"/>
      <c r="P754" s="152"/>
      <c r="Q754" s="152"/>
      <c r="R754" s="152"/>
      <c r="S754" s="152"/>
      <c r="T754" s="152"/>
      <c r="U754" s="152"/>
      <c r="V754" s="152"/>
      <c r="W754" s="152"/>
      <c r="X754" s="152"/>
      <c r="Y754" s="152"/>
    </row>
    <row r="755">
      <c r="A755" s="152"/>
      <c r="B755" s="152"/>
      <c r="C755" s="152"/>
      <c r="D755" s="152"/>
      <c r="E755" s="152"/>
      <c r="F755" s="152"/>
      <c r="G755" s="152"/>
      <c r="H755" s="152"/>
      <c r="I755" s="152"/>
      <c r="J755" s="152"/>
      <c r="K755" s="152"/>
      <c r="L755" s="152"/>
      <c r="M755" s="152"/>
      <c r="N755" s="152"/>
      <c r="O755" s="152"/>
      <c r="P755" s="152"/>
      <c r="Q755" s="152"/>
      <c r="R755" s="152"/>
      <c r="S755" s="152"/>
      <c r="T755" s="152"/>
      <c r="U755" s="152"/>
      <c r="V755" s="152"/>
      <c r="W755" s="152"/>
      <c r="X755" s="152"/>
      <c r="Y755" s="152"/>
    </row>
    <row r="756">
      <c r="A756" s="152"/>
      <c r="B756" s="152"/>
      <c r="C756" s="152"/>
      <c r="D756" s="152"/>
      <c r="E756" s="152"/>
      <c r="F756" s="152"/>
      <c r="G756" s="152"/>
      <c r="H756" s="152"/>
      <c r="I756" s="152"/>
      <c r="J756" s="152"/>
      <c r="K756" s="152"/>
      <c r="L756" s="152"/>
      <c r="M756" s="152"/>
      <c r="N756" s="152"/>
      <c r="O756" s="152"/>
      <c r="P756" s="152"/>
      <c r="Q756" s="152"/>
      <c r="R756" s="152"/>
      <c r="S756" s="152"/>
      <c r="T756" s="152"/>
      <c r="U756" s="152"/>
      <c r="V756" s="152"/>
      <c r="W756" s="152"/>
      <c r="X756" s="152"/>
      <c r="Y756" s="152"/>
    </row>
    <row r="757">
      <c r="A757" s="152"/>
      <c r="B757" s="152"/>
      <c r="C757" s="152"/>
      <c r="D757" s="152"/>
      <c r="E757" s="152"/>
      <c r="F757" s="152"/>
      <c r="G757" s="152"/>
      <c r="H757" s="152"/>
      <c r="I757" s="152"/>
      <c r="J757" s="152"/>
      <c r="K757" s="152"/>
      <c r="L757" s="152"/>
      <c r="M757" s="152"/>
      <c r="N757" s="152"/>
      <c r="O757" s="152"/>
      <c r="P757" s="152"/>
      <c r="Q757" s="152"/>
      <c r="R757" s="152"/>
      <c r="S757" s="152"/>
      <c r="T757" s="152"/>
      <c r="U757" s="152"/>
      <c r="V757" s="152"/>
      <c r="W757" s="152"/>
      <c r="X757" s="152"/>
      <c r="Y757" s="152"/>
    </row>
    <row r="758">
      <c r="A758" s="152"/>
      <c r="B758" s="152"/>
      <c r="C758" s="152"/>
      <c r="D758" s="152"/>
      <c r="E758" s="152"/>
      <c r="F758" s="152"/>
      <c r="G758" s="152"/>
      <c r="H758" s="152"/>
      <c r="I758" s="152"/>
      <c r="J758" s="152"/>
      <c r="K758" s="152"/>
      <c r="L758" s="152"/>
      <c r="M758" s="152"/>
      <c r="N758" s="152"/>
      <c r="O758" s="152"/>
      <c r="P758" s="152"/>
      <c r="Q758" s="152"/>
      <c r="R758" s="152"/>
      <c r="S758" s="152"/>
      <c r="T758" s="152"/>
      <c r="U758" s="152"/>
      <c r="V758" s="152"/>
      <c r="W758" s="152"/>
      <c r="X758" s="152"/>
      <c r="Y758" s="152"/>
    </row>
    <row r="759">
      <c r="A759" s="152"/>
      <c r="B759" s="152"/>
      <c r="C759" s="152"/>
      <c r="D759" s="152"/>
      <c r="E759" s="152"/>
      <c r="F759" s="152"/>
      <c r="G759" s="152"/>
      <c r="H759" s="152"/>
      <c r="I759" s="152"/>
      <c r="J759" s="152"/>
      <c r="K759" s="152"/>
      <c r="L759" s="152"/>
      <c r="M759" s="152"/>
      <c r="N759" s="152"/>
      <c r="O759" s="152"/>
      <c r="P759" s="152"/>
      <c r="Q759" s="152"/>
      <c r="R759" s="152"/>
      <c r="S759" s="152"/>
      <c r="T759" s="152"/>
      <c r="U759" s="152"/>
      <c r="V759" s="152"/>
      <c r="W759" s="152"/>
      <c r="X759" s="152"/>
      <c r="Y759" s="152"/>
    </row>
    <row r="760">
      <c r="A760" s="152"/>
      <c r="B760" s="152"/>
      <c r="C760" s="152"/>
      <c r="D760" s="152"/>
      <c r="E760" s="152"/>
      <c r="F760" s="152"/>
      <c r="G760" s="152"/>
      <c r="H760" s="152"/>
      <c r="I760" s="152"/>
      <c r="J760" s="152"/>
      <c r="K760" s="152"/>
      <c r="L760" s="152"/>
      <c r="M760" s="152"/>
      <c r="N760" s="152"/>
      <c r="O760" s="152"/>
      <c r="P760" s="152"/>
      <c r="Q760" s="152"/>
      <c r="R760" s="152"/>
      <c r="S760" s="152"/>
      <c r="T760" s="152"/>
      <c r="U760" s="152"/>
      <c r="V760" s="152"/>
      <c r="W760" s="152"/>
      <c r="X760" s="152"/>
      <c r="Y760" s="152"/>
    </row>
    <row r="761">
      <c r="A761" s="152"/>
      <c r="B761" s="152"/>
      <c r="C761" s="152"/>
      <c r="D761" s="152"/>
      <c r="E761" s="152"/>
      <c r="F761" s="152"/>
      <c r="G761" s="152"/>
      <c r="H761" s="152"/>
      <c r="I761" s="152"/>
      <c r="J761" s="152"/>
      <c r="K761" s="152"/>
      <c r="L761" s="152"/>
      <c r="M761" s="152"/>
      <c r="N761" s="152"/>
      <c r="O761" s="152"/>
      <c r="P761" s="152"/>
      <c r="Q761" s="152"/>
      <c r="R761" s="152"/>
      <c r="S761" s="152"/>
      <c r="T761" s="152"/>
      <c r="U761" s="152"/>
      <c r="V761" s="152"/>
      <c r="W761" s="152"/>
      <c r="X761" s="152"/>
      <c r="Y761" s="152"/>
    </row>
    <row r="762">
      <c r="A762" s="152"/>
      <c r="B762" s="152"/>
      <c r="C762" s="152"/>
      <c r="D762" s="152"/>
      <c r="E762" s="152"/>
      <c r="F762" s="152"/>
      <c r="G762" s="152"/>
      <c r="H762" s="152"/>
      <c r="I762" s="152"/>
      <c r="J762" s="152"/>
      <c r="K762" s="152"/>
      <c r="L762" s="152"/>
      <c r="M762" s="152"/>
      <c r="N762" s="152"/>
      <c r="O762" s="152"/>
      <c r="P762" s="152"/>
      <c r="Q762" s="152"/>
      <c r="R762" s="152"/>
      <c r="S762" s="152"/>
      <c r="T762" s="152"/>
      <c r="U762" s="152"/>
      <c r="V762" s="152"/>
      <c r="W762" s="152"/>
      <c r="X762" s="152"/>
      <c r="Y762" s="152"/>
    </row>
    <row r="763">
      <c r="A763" s="152"/>
      <c r="B763" s="152"/>
      <c r="C763" s="152"/>
      <c r="D763" s="152"/>
      <c r="E763" s="152"/>
      <c r="F763" s="152"/>
      <c r="G763" s="152"/>
      <c r="H763" s="152"/>
      <c r="I763" s="152"/>
      <c r="J763" s="152"/>
      <c r="K763" s="152"/>
      <c r="L763" s="152"/>
      <c r="M763" s="152"/>
      <c r="N763" s="152"/>
      <c r="O763" s="152"/>
      <c r="P763" s="152"/>
      <c r="Q763" s="152"/>
      <c r="R763" s="152"/>
      <c r="S763" s="152"/>
      <c r="T763" s="152"/>
      <c r="U763" s="152"/>
      <c r="V763" s="152"/>
      <c r="W763" s="152"/>
      <c r="X763" s="152"/>
      <c r="Y763" s="152"/>
    </row>
    <row r="764">
      <c r="A764" s="152"/>
      <c r="B764" s="152"/>
      <c r="C764" s="152"/>
      <c r="D764" s="152"/>
      <c r="E764" s="152"/>
      <c r="F764" s="152"/>
      <c r="G764" s="152"/>
      <c r="H764" s="152"/>
      <c r="I764" s="152"/>
      <c r="J764" s="152"/>
      <c r="K764" s="152"/>
      <c r="L764" s="152"/>
      <c r="M764" s="152"/>
      <c r="N764" s="152"/>
      <c r="O764" s="152"/>
      <c r="P764" s="152"/>
      <c r="Q764" s="152"/>
      <c r="R764" s="152"/>
      <c r="S764" s="152"/>
      <c r="T764" s="152"/>
      <c r="U764" s="152"/>
      <c r="V764" s="152"/>
      <c r="W764" s="152"/>
      <c r="X764" s="152"/>
      <c r="Y764" s="152"/>
    </row>
    <row r="765">
      <c r="A765" s="152"/>
      <c r="B765" s="152"/>
      <c r="C765" s="152"/>
      <c r="D765" s="152"/>
      <c r="E765" s="152"/>
      <c r="F765" s="152"/>
      <c r="G765" s="152"/>
      <c r="H765" s="152"/>
      <c r="I765" s="152"/>
      <c r="J765" s="152"/>
      <c r="K765" s="152"/>
      <c r="L765" s="152"/>
      <c r="M765" s="152"/>
      <c r="N765" s="152"/>
      <c r="O765" s="152"/>
      <c r="P765" s="152"/>
      <c r="Q765" s="152"/>
      <c r="R765" s="152"/>
      <c r="S765" s="152"/>
      <c r="T765" s="152"/>
      <c r="U765" s="152"/>
      <c r="V765" s="152"/>
      <c r="W765" s="152"/>
      <c r="X765" s="152"/>
      <c r="Y765" s="152"/>
    </row>
    <row r="766">
      <c r="A766" s="152"/>
      <c r="B766" s="152"/>
      <c r="C766" s="152"/>
      <c r="D766" s="152"/>
      <c r="E766" s="152"/>
      <c r="F766" s="152"/>
      <c r="G766" s="152"/>
      <c r="H766" s="152"/>
      <c r="I766" s="152"/>
      <c r="J766" s="152"/>
      <c r="K766" s="152"/>
      <c r="L766" s="152"/>
      <c r="M766" s="152"/>
      <c r="N766" s="152"/>
      <c r="O766" s="152"/>
      <c r="P766" s="152"/>
      <c r="Q766" s="152"/>
      <c r="R766" s="152"/>
      <c r="S766" s="152"/>
      <c r="T766" s="152"/>
      <c r="U766" s="152"/>
      <c r="V766" s="152"/>
      <c r="W766" s="152"/>
      <c r="X766" s="152"/>
      <c r="Y766" s="152"/>
    </row>
    <row r="767">
      <c r="A767" s="152"/>
      <c r="B767" s="152"/>
      <c r="C767" s="152"/>
      <c r="D767" s="152"/>
      <c r="E767" s="152"/>
      <c r="F767" s="152"/>
      <c r="G767" s="152"/>
      <c r="H767" s="152"/>
      <c r="I767" s="152"/>
      <c r="J767" s="152"/>
      <c r="K767" s="152"/>
      <c r="L767" s="152"/>
      <c r="M767" s="152"/>
      <c r="N767" s="152"/>
      <c r="O767" s="152"/>
      <c r="P767" s="152"/>
      <c r="Q767" s="152"/>
      <c r="R767" s="152"/>
      <c r="S767" s="152"/>
      <c r="T767" s="152"/>
      <c r="U767" s="152"/>
      <c r="V767" s="152"/>
      <c r="W767" s="152"/>
      <c r="X767" s="152"/>
      <c r="Y767" s="152"/>
    </row>
    <row r="768">
      <c r="A768" s="152"/>
      <c r="B768" s="152"/>
      <c r="C768" s="152"/>
      <c r="D768" s="152"/>
      <c r="E768" s="152"/>
      <c r="F768" s="152"/>
      <c r="G768" s="152"/>
      <c r="H768" s="152"/>
      <c r="I768" s="152"/>
      <c r="J768" s="152"/>
      <c r="K768" s="152"/>
      <c r="L768" s="152"/>
      <c r="M768" s="152"/>
      <c r="N768" s="152"/>
      <c r="O768" s="152"/>
      <c r="P768" s="152"/>
      <c r="Q768" s="152"/>
      <c r="R768" s="152"/>
      <c r="S768" s="152"/>
      <c r="T768" s="152"/>
      <c r="U768" s="152"/>
      <c r="V768" s="152"/>
      <c r="W768" s="152"/>
      <c r="X768" s="152"/>
      <c r="Y768" s="152"/>
    </row>
    <row r="769">
      <c r="A769" s="152"/>
      <c r="B769" s="152"/>
      <c r="C769" s="152"/>
      <c r="D769" s="152"/>
      <c r="E769" s="152"/>
      <c r="F769" s="152"/>
      <c r="G769" s="152"/>
      <c r="H769" s="152"/>
      <c r="I769" s="152"/>
      <c r="J769" s="152"/>
      <c r="K769" s="152"/>
      <c r="L769" s="152"/>
      <c r="M769" s="152"/>
      <c r="N769" s="152"/>
      <c r="O769" s="152"/>
      <c r="P769" s="152"/>
      <c r="Q769" s="152"/>
      <c r="R769" s="152"/>
      <c r="S769" s="152"/>
      <c r="T769" s="152"/>
      <c r="U769" s="152"/>
      <c r="V769" s="152"/>
      <c r="W769" s="152"/>
      <c r="X769" s="152"/>
      <c r="Y769" s="152"/>
    </row>
    <row r="770">
      <c r="A770" s="152"/>
      <c r="B770" s="152"/>
      <c r="C770" s="152"/>
      <c r="D770" s="152"/>
      <c r="E770" s="152"/>
      <c r="F770" s="152"/>
      <c r="G770" s="152"/>
      <c r="H770" s="152"/>
      <c r="I770" s="152"/>
      <c r="J770" s="152"/>
      <c r="K770" s="152"/>
      <c r="L770" s="152"/>
      <c r="M770" s="152"/>
      <c r="N770" s="152"/>
      <c r="O770" s="152"/>
      <c r="P770" s="152"/>
      <c r="Q770" s="152"/>
      <c r="R770" s="152"/>
      <c r="S770" s="152"/>
      <c r="T770" s="152"/>
      <c r="U770" s="152"/>
      <c r="V770" s="152"/>
      <c r="W770" s="152"/>
      <c r="X770" s="152"/>
      <c r="Y770" s="152"/>
    </row>
    <row r="771">
      <c r="A771" s="152"/>
      <c r="B771" s="152"/>
      <c r="C771" s="152"/>
      <c r="D771" s="152"/>
      <c r="E771" s="152"/>
      <c r="F771" s="152"/>
      <c r="G771" s="152"/>
      <c r="H771" s="152"/>
      <c r="I771" s="152"/>
      <c r="J771" s="152"/>
      <c r="K771" s="152"/>
      <c r="L771" s="152"/>
      <c r="M771" s="152"/>
      <c r="N771" s="152"/>
      <c r="O771" s="152"/>
      <c r="P771" s="152"/>
      <c r="Q771" s="152"/>
      <c r="R771" s="152"/>
      <c r="S771" s="152"/>
      <c r="T771" s="152"/>
      <c r="U771" s="152"/>
      <c r="V771" s="152"/>
      <c r="W771" s="152"/>
      <c r="X771" s="152"/>
      <c r="Y771" s="152"/>
    </row>
    <row r="772">
      <c r="A772" s="152"/>
      <c r="B772" s="152"/>
      <c r="C772" s="152"/>
      <c r="D772" s="152"/>
      <c r="E772" s="152"/>
      <c r="F772" s="152"/>
      <c r="G772" s="152"/>
      <c r="H772" s="152"/>
      <c r="I772" s="152"/>
      <c r="J772" s="152"/>
      <c r="K772" s="152"/>
      <c r="L772" s="152"/>
      <c r="M772" s="152"/>
      <c r="N772" s="152"/>
      <c r="O772" s="152"/>
      <c r="P772" s="152"/>
      <c r="Q772" s="152"/>
      <c r="R772" s="152"/>
      <c r="S772" s="152"/>
      <c r="T772" s="152"/>
      <c r="U772" s="152"/>
      <c r="V772" s="152"/>
      <c r="W772" s="152"/>
      <c r="X772" s="152"/>
      <c r="Y772" s="152"/>
    </row>
    <row r="773">
      <c r="A773" s="152"/>
      <c r="B773" s="152"/>
      <c r="C773" s="152"/>
      <c r="D773" s="152"/>
      <c r="E773" s="152"/>
      <c r="F773" s="152"/>
      <c r="G773" s="152"/>
      <c r="H773" s="152"/>
      <c r="I773" s="152"/>
      <c r="J773" s="152"/>
      <c r="K773" s="152"/>
      <c r="L773" s="152"/>
      <c r="M773" s="152"/>
      <c r="N773" s="152"/>
      <c r="O773" s="152"/>
      <c r="P773" s="152"/>
      <c r="Q773" s="152"/>
      <c r="R773" s="152"/>
      <c r="S773" s="152"/>
      <c r="T773" s="152"/>
      <c r="U773" s="152"/>
      <c r="V773" s="152"/>
      <c r="W773" s="152"/>
      <c r="X773" s="152"/>
      <c r="Y773" s="152"/>
    </row>
    <row r="774">
      <c r="A774" s="152"/>
      <c r="B774" s="152"/>
      <c r="C774" s="152"/>
      <c r="D774" s="152"/>
      <c r="E774" s="152"/>
      <c r="F774" s="152"/>
      <c r="G774" s="152"/>
      <c r="H774" s="152"/>
      <c r="I774" s="152"/>
      <c r="J774" s="152"/>
      <c r="K774" s="152"/>
      <c r="L774" s="152"/>
      <c r="M774" s="152"/>
      <c r="N774" s="152"/>
      <c r="O774" s="152"/>
      <c r="P774" s="152"/>
      <c r="Q774" s="152"/>
      <c r="R774" s="152"/>
      <c r="S774" s="152"/>
      <c r="T774" s="152"/>
      <c r="U774" s="152"/>
      <c r="V774" s="152"/>
      <c r="W774" s="152"/>
      <c r="X774" s="152"/>
      <c r="Y774" s="152"/>
    </row>
    <row r="775">
      <c r="A775" s="152"/>
      <c r="B775" s="152"/>
      <c r="C775" s="152"/>
      <c r="D775" s="152"/>
      <c r="E775" s="152"/>
      <c r="F775" s="152"/>
      <c r="G775" s="152"/>
      <c r="H775" s="152"/>
      <c r="I775" s="152"/>
      <c r="J775" s="152"/>
      <c r="K775" s="152"/>
      <c r="L775" s="152"/>
      <c r="M775" s="152"/>
      <c r="N775" s="152"/>
      <c r="O775" s="152"/>
      <c r="P775" s="152"/>
      <c r="Q775" s="152"/>
      <c r="R775" s="152"/>
      <c r="S775" s="152"/>
      <c r="T775" s="152"/>
      <c r="U775" s="152"/>
      <c r="V775" s="152"/>
      <c r="W775" s="152"/>
      <c r="X775" s="152"/>
      <c r="Y775" s="152"/>
    </row>
    <row r="776">
      <c r="A776" s="152"/>
      <c r="B776" s="152"/>
      <c r="C776" s="152"/>
      <c r="D776" s="152"/>
      <c r="E776" s="152"/>
      <c r="F776" s="152"/>
      <c r="G776" s="152"/>
      <c r="H776" s="152"/>
      <c r="I776" s="152"/>
      <c r="J776" s="152"/>
      <c r="K776" s="152"/>
      <c r="L776" s="152"/>
      <c r="M776" s="152"/>
      <c r="N776" s="152"/>
      <c r="O776" s="152"/>
      <c r="P776" s="152"/>
      <c r="Q776" s="152"/>
      <c r="R776" s="152"/>
      <c r="S776" s="152"/>
      <c r="T776" s="152"/>
      <c r="U776" s="152"/>
      <c r="V776" s="152"/>
      <c r="W776" s="152"/>
      <c r="X776" s="152"/>
      <c r="Y776" s="152"/>
    </row>
    <row r="777">
      <c r="A777" s="152"/>
      <c r="B777" s="152"/>
      <c r="C777" s="152"/>
      <c r="D777" s="152"/>
      <c r="E777" s="152"/>
      <c r="F777" s="152"/>
      <c r="G777" s="152"/>
      <c r="H777" s="152"/>
      <c r="I777" s="152"/>
      <c r="J777" s="152"/>
      <c r="K777" s="152"/>
      <c r="L777" s="152"/>
      <c r="M777" s="152"/>
      <c r="N777" s="152"/>
      <c r="O777" s="152"/>
      <c r="P777" s="152"/>
      <c r="Q777" s="152"/>
      <c r="R777" s="152"/>
      <c r="S777" s="152"/>
      <c r="T777" s="152"/>
      <c r="U777" s="152"/>
      <c r="V777" s="152"/>
      <c r="W777" s="152"/>
      <c r="X777" s="152"/>
      <c r="Y777" s="152"/>
    </row>
    <row r="778">
      <c r="A778" s="152"/>
      <c r="B778" s="152"/>
      <c r="C778" s="152"/>
      <c r="D778" s="152"/>
      <c r="E778" s="152"/>
      <c r="F778" s="152"/>
      <c r="G778" s="152"/>
      <c r="H778" s="152"/>
      <c r="I778" s="152"/>
      <c r="J778" s="152"/>
      <c r="K778" s="152"/>
      <c r="L778" s="152"/>
      <c r="M778" s="152"/>
      <c r="N778" s="152"/>
      <c r="O778" s="152"/>
      <c r="P778" s="152"/>
      <c r="Q778" s="152"/>
      <c r="R778" s="152"/>
      <c r="S778" s="152"/>
      <c r="T778" s="152"/>
      <c r="U778" s="152"/>
      <c r="V778" s="152"/>
      <c r="W778" s="152"/>
      <c r="X778" s="152"/>
      <c r="Y778" s="152"/>
    </row>
    <row r="779">
      <c r="A779" s="152"/>
      <c r="B779" s="152"/>
      <c r="C779" s="152"/>
      <c r="D779" s="152"/>
      <c r="E779" s="152"/>
      <c r="F779" s="152"/>
      <c r="G779" s="152"/>
      <c r="H779" s="152"/>
      <c r="I779" s="152"/>
      <c r="J779" s="152"/>
      <c r="K779" s="152"/>
      <c r="L779" s="152"/>
      <c r="M779" s="152"/>
      <c r="N779" s="152"/>
      <c r="O779" s="152"/>
      <c r="P779" s="152"/>
      <c r="Q779" s="152"/>
      <c r="R779" s="152"/>
      <c r="S779" s="152"/>
      <c r="T779" s="152"/>
      <c r="U779" s="152"/>
      <c r="V779" s="152"/>
      <c r="W779" s="152"/>
      <c r="X779" s="152"/>
      <c r="Y779" s="152"/>
    </row>
    <row r="780">
      <c r="A780" s="152"/>
      <c r="B780" s="152"/>
      <c r="C780" s="152"/>
      <c r="D780" s="152"/>
      <c r="E780" s="152"/>
      <c r="F780" s="152"/>
      <c r="G780" s="152"/>
      <c r="H780" s="152"/>
      <c r="I780" s="152"/>
      <c r="J780" s="152"/>
      <c r="K780" s="152"/>
      <c r="L780" s="152"/>
      <c r="M780" s="152"/>
      <c r="N780" s="152"/>
      <c r="O780" s="152"/>
      <c r="P780" s="152"/>
      <c r="Q780" s="152"/>
      <c r="R780" s="152"/>
      <c r="S780" s="152"/>
      <c r="T780" s="152"/>
      <c r="U780" s="152"/>
      <c r="V780" s="152"/>
      <c r="W780" s="152"/>
      <c r="X780" s="152"/>
      <c r="Y780" s="152"/>
    </row>
    <row r="781">
      <c r="A781" s="152"/>
      <c r="B781" s="152"/>
      <c r="C781" s="152"/>
      <c r="D781" s="152"/>
      <c r="E781" s="152"/>
      <c r="F781" s="152"/>
      <c r="G781" s="152"/>
      <c r="H781" s="152"/>
      <c r="I781" s="152"/>
      <c r="J781" s="152"/>
      <c r="K781" s="152"/>
      <c r="L781" s="152"/>
      <c r="M781" s="152"/>
      <c r="N781" s="152"/>
      <c r="O781" s="152"/>
      <c r="P781" s="152"/>
      <c r="Q781" s="152"/>
      <c r="R781" s="152"/>
      <c r="S781" s="152"/>
      <c r="T781" s="152"/>
      <c r="U781" s="152"/>
      <c r="V781" s="152"/>
      <c r="W781" s="152"/>
      <c r="X781" s="152"/>
      <c r="Y781" s="152"/>
    </row>
    <row r="782">
      <c r="A782" s="152"/>
      <c r="B782" s="152"/>
      <c r="C782" s="152"/>
      <c r="D782" s="152"/>
      <c r="E782" s="152"/>
      <c r="F782" s="152"/>
      <c r="G782" s="152"/>
      <c r="H782" s="152"/>
      <c r="I782" s="152"/>
      <c r="J782" s="152"/>
      <c r="K782" s="152"/>
      <c r="L782" s="152"/>
      <c r="M782" s="152"/>
      <c r="N782" s="152"/>
      <c r="O782" s="152"/>
      <c r="P782" s="152"/>
      <c r="Q782" s="152"/>
      <c r="R782" s="152"/>
      <c r="S782" s="152"/>
      <c r="T782" s="152"/>
      <c r="U782" s="152"/>
      <c r="V782" s="152"/>
      <c r="W782" s="152"/>
      <c r="X782" s="152"/>
      <c r="Y782" s="152"/>
    </row>
    <row r="783">
      <c r="A783" s="152"/>
      <c r="B783" s="152"/>
      <c r="C783" s="152"/>
      <c r="D783" s="152"/>
      <c r="E783" s="152"/>
      <c r="F783" s="152"/>
      <c r="G783" s="152"/>
      <c r="H783" s="152"/>
      <c r="I783" s="152"/>
      <c r="J783" s="152"/>
      <c r="K783" s="152"/>
      <c r="L783" s="152"/>
      <c r="M783" s="152"/>
      <c r="N783" s="152"/>
      <c r="O783" s="152"/>
      <c r="P783" s="152"/>
      <c r="Q783" s="152"/>
      <c r="R783" s="152"/>
      <c r="S783" s="152"/>
      <c r="T783" s="152"/>
      <c r="U783" s="152"/>
      <c r="V783" s="152"/>
      <c r="W783" s="152"/>
      <c r="X783" s="152"/>
      <c r="Y783" s="152"/>
    </row>
    <row r="784">
      <c r="A784" s="152"/>
      <c r="B784" s="152"/>
      <c r="C784" s="152"/>
      <c r="D784" s="152"/>
      <c r="E784" s="152"/>
      <c r="F784" s="152"/>
      <c r="G784" s="152"/>
      <c r="H784" s="152"/>
      <c r="I784" s="152"/>
      <c r="J784" s="152"/>
      <c r="K784" s="152"/>
      <c r="L784" s="152"/>
      <c r="M784" s="152"/>
      <c r="N784" s="152"/>
      <c r="O784" s="152"/>
      <c r="P784" s="152"/>
      <c r="Q784" s="152"/>
      <c r="R784" s="152"/>
      <c r="S784" s="152"/>
      <c r="T784" s="152"/>
      <c r="U784" s="152"/>
      <c r="V784" s="152"/>
      <c r="W784" s="152"/>
      <c r="X784" s="152"/>
      <c r="Y784" s="152"/>
    </row>
    <row r="785">
      <c r="A785" s="152"/>
      <c r="B785" s="152"/>
      <c r="C785" s="152"/>
      <c r="D785" s="152"/>
      <c r="E785" s="152"/>
      <c r="F785" s="152"/>
      <c r="G785" s="152"/>
      <c r="H785" s="152"/>
      <c r="I785" s="152"/>
      <c r="J785" s="152"/>
      <c r="K785" s="152"/>
      <c r="L785" s="152"/>
      <c r="M785" s="152"/>
      <c r="N785" s="152"/>
      <c r="O785" s="152"/>
      <c r="P785" s="152"/>
      <c r="Q785" s="152"/>
      <c r="R785" s="152"/>
      <c r="S785" s="152"/>
      <c r="T785" s="152"/>
      <c r="U785" s="152"/>
      <c r="V785" s="152"/>
      <c r="W785" s="152"/>
      <c r="X785" s="152"/>
      <c r="Y785" s="152"/>
    </row>
    <row r="786">
      <c r="A786" s="152"/>
      <c r="B786" s="152"/>
      <c r="C786" s="152"/>
      <c r="D786" s="152"/>
      <c r="E786" s="152"/>
      <c r="F786" s="152"/>
      <c r="G786" s="152"/>
      <c r="H786" s="152"/>
      <c r="I786" s="152"/>
      <c r="J786" s="152"/>
      <c r="K786" s="152"/>
      <c r="L786" s="152"/>
      <c r="M786" s="152"/>
      <c r="N786" s="152"/>
      <c r="O786" s="152"/>
      <c r="P786" s="152"/>
      <c r="Q786" s="152"/>
      <c r="R786" s="152"/>
      <c r="S786" s="152"/>
      <c r="T786" s="152"/>
      <c r="U786" s="152"/>
      <c r="V786" s="152"/>
      <c r="W786" s="152"/>
      <c r="X786" s="152"/>
      <c r="Y786" s="152"/>
    </row>
    <row r="787">
      <c r="A787" s="152"/>
      <c r="B787" s="152"/>
      <c r="C787" s="152"/>
      <c r="D787" s="152"/>
      <c r="E787" s="152"/>
      <c r="F787" s="152"/>
      <c r="G787" s="152"/>
      <c r="H787" s="152"/>
      <c r="I787" s="152"/>
      <c r="J787" s="152"/>
      <c r="K787" s="152"/>
      <c r="L787" s="152"/>
      <c r="M787" s="152"/>
      <c r="N787" s="152"/>
      <c r="O787" s="152"/>
      <c r="P787" s="152"/>
      <c r="Q787" s="152"/>
      <c r="R787" s="152"/>
      <c r="S787" s="152"/>
      <c r="T787" s="152"/>
      <c r="U787" s="152"/>
      <c r="V787" s="152"/>
      <c r="W787" s="152"/>
      <c r="X787" s="152"/>
      <c r="Y787" s="152"/>
    </row>
    <row r="788">
      <c r="A788" s="152"/>
      <c r="B788" s="152"/>
      <c r="C788" s="152"/>
      <c r="D788" s="152"/>
      <c r="E788" s="152"/>
      <c r="F788" s="152"/>
      <c r="G788" s="152"/>
      <c r="H788" s="152"/>
      <c r="I788" s="152"/>
      <c r="J788" s="152"/>
      <c r="K788" s="152"/>
      <c r="L788" s="152"/>
      <c r="M788" s="152"/>
      <c r="N788" s="152"/>
      <c r="O788" s="152"/>
      <c r="P788" s="152"/>
      <c r="Q788" s="152"/>
      <c r="R788" s="152"/>
      <c r="S788" s="152"/>
      <c r="T788" s="152"/>
      <c r="U788" s="152"/>
      <c r="V788" s="152"/>
      <c r="W788" s="152"/>
      <c r="X788" s="152"/>
      <c r="Y788" s="152"/>
    </row>
    <row r="789">
      <c r="A789" s="152"/>
      <c r="B789" s="152"/>
      <c r="C789" s="152"/>
      <c r="D789" s="152"/>
      <c r="E789" s="152"/>
      <c r="F789" s="152"/>
      <c r="G789" s="152"/>
      <c r="H789" s="152"/>
      <c r="I789" s="152"/>
      <c r="J789" s="152"/>
      <c r="K789" s="152"/>
      <c r="L789" s="152"/>
      <c r="M789" s="152"/>
      <c r="N789" s="152"/>
      <c r="O789" s="152"/>
      <c r="P789" s="152"/>
      <c r="Q789" s="152"/>
      <c r="R789" s="152"/>
      <c r="S789" s="152"/>
      <c r="T789" s="152"/>
      <c r="U789" s="152"/>
      <c r="V789" s="152"/>
      <c r="W789" s="152"/>
      <c r="X789" s="152"/>
      <c r="Y789" s="152"/>
    </row>
    <row r="790">
      <c r="A790" s="152"/>
      <c r="B790" s="152"/>
      <c r="C790" s="152"/>
      <c r="D790" s="152"/>
      <c r="E790" s="152"/>
      <c r="F790" s="152"/>
      <c r="G790" s="152"/>
      <c r="H790" s="152"/>
      <c r="I790" s="152"/>
      <c r="J790" s="152"/>
      <c r="K790" s="152"/>
      <c r="L790" s="152"/>
      <c r="M790" s="152"/>
      <c r="N790" s="152"/>
      <c r="O790" s="152"/>
      <c r="P790" s="152"/>
      <c r="Q790" s="152"/>
      <c r="R790" s="152"/>
      <c r="S790" s="152"/>
      <c r="T790" s="152"/>
      <c r="U790" s="152"/>
      <c r="V790" s="152"/>
      <c r="W790" s="152"/>
      <c r="X790" s="152"/>
      <c r="Y790" s="152"/>
    </row>
    <row r="791">
      <c r="A791" s="152"/>
      <c r="B791" s="152"/>
      <c r="C791" s="152"/>
      <c r="D791" s="152"/>
      <c r="E791" s="152"/>
      <c r="F791" s="152"/>
      <c r="G791" s="152"/>
      <c r="H791" s="152"/>
      <c r="I791" s="152"/>
      <c r="J791" s="152"/>
      <c r="K791" s="152"/>
      <c r="L791" s="152"/>
      <c r="M791" s="152"/>
      <c r="N791" s="152"/>
      <c r="O791" s="152"/>
      <c r="P791" s="152"/>
      <c r="Q791" s="152"/>
      <c r="R791" s="152"/>
      <c r="S791" s="152"/>
      <c r="T791" s="152"/>
      <c r="U791" s="152"/>
      <c r="V791" s="152"/>
      <c r="W791" s="152"/>
      <c r="X791" s="152"/>
      <c r="Y791" s="152"/>
    </row>
    <row r="792">
      <c r="A792" s="152"/>
      <c r="B792" s="152"/>
      <c r="C792" s="152"/>
      <c r="D792" s="152"/>
      <c r="E792" s="152"/>
      <c r="F792" s="152"/>
      <c r="G792" s="152"/>
      <c r="H792" s="152"/>
      <c r="I792" s="152"/>
      <c r="J792" s="152"/>
      <c r="K792" s="152"/>
      <c r="L792" s="152"/>
      <c r="M792" s="152"/>
      <c r="N792" s="152"/>
      <c r="O792" s="152"/>
      <c r="P792" s="152"/>
      <c r="Q792" s="152"/>
      <c r="R792" s="152"/>
      <c r="S792" s="152"/>
      <c r="T792" s="152"/>
      <c r="U792" s="152"/>
      <c r="V792" s="152"/>
      <c r="W792" s="152"/>
      <c r="X792" s="152"/>
      <c r="Y792" s="152"/>
    </row>
    <row r="793">
      <c r="A793" s="152"/>
      <c r="B793" s="152"/>
      <c r="C793" s="152"/>
      <c r="D793" s="152"/>
      <c r="E793" s="152"/>
      <c r="F793" s="152"/>
      <c r="G793" s="152"/>
      <c r="H793" s="152"/>
      <c r="I793" s="152"/>
      <c r="J793" s="152"/>
      <c r="K793" s="152"/>
      <c r="L793" s="152"/>
      <c r="M793" s="152"/>
      <c r="N793" s="152"/>
      <c r="O793" s="152"/>
      <c r="P793" s="152"/>
      <c r="Q793" s="152"/>
      <c r="R793" s="152"/>
      <c r="S793" s="152"/>
      <c r="T793" s="152"/>
      <c r="U793" s="152"/>
      <c r="V793" s="152"/>
      <c r="W793" s="152"/>
      <c r="X793" s="152"/>
      <c r="Y793" s="152"/>
    </row>
    <row r="794">
      <c r="A794" s="152"/>
      <c r="B794" s="152"/>
      <c r="C794" s="152"/>
      <c r="D794" s="152"/>
      <c r="E794" s="152"/>
      <c r="F794" s="152"/>
      <c r="G794" s="152"/>
      <c r="H794" s="152"/>
      <c r="I794" s="152"/>
      <c r="J794" s="152"/>
      <c r="K794" s="152"/>
      <c r="L794" s="152"/>
      <c r="M794" s="152"/>
      <c r="N794" s="152"/>
      <c r="O794" s="152"/>
      <c r="P794" s="152"/>
      <c r="Q794" s="152"/>
      <c r="R794" s="152"/>
      <c r="S794" s="152"/>
      <c r="T794" s="152"/>
      <c r="U794" s="152"/>
      <c r="V794" s="152"/>
      <c r="W794" s="152"/>
      <c r="X794" s="152"/>
      <c r="Y794" s="152"/>
    </row>
    <row r="795">
      <c r="A795" s="152"/>
      <c r="B795" s="152"/>
      <c r="C795" s="152"/>
      <c r="D795" s="152"/>
      <c r="E795" s="152"/>
      <c r="F795" s="152"/>
      <c r="G795" s="152"/>
      <c r="H795" s="152"/>
      <c r="I795" s="152"/>
      <c r="J795" s="152"/>
      <c r="K795" s="152"/>
      <c r="L795" s="152"/>
      <c r="M795" s="152"/>
      <c r="N795" s="152"/>
      <c r="O795" s="152"/>
      <c r="P795" s="152"/>
      <c r="Q795" s="152"/>
      <c r="R795" s="152"/>
      <c r="S795" s="152"/>
      <c r="T795" s="152"/>
      <c r="U795" s="152"/>
      <c r="V795" s="152"/>
      <c r="W795" s="152"/>
      <c r="X795" s="152"/>
      <c r="Y795" s="152"/>
    </row>
    <row r="796">
      <c r="A796" s="152"/>
      <c r="B796" s="152"/>
      <c r="C796" s="152"/>
      <c r="D796" s="152"/>
      <c r="E796" s="152"/>
      <c r="F796" s="152"/>
      <c r="G796" s="152"/>
      <c r="H796" s="152"/>
      <c r="I796" s="152"/>
      <c r="J796" s="152"/>
      <c r="K796" s="152"/>
      <c r="L796" s="152"/>
      <c r="M796" s="152"/>
      <c r="N796" s="152"/>
      <c r="O796" s="152"/>
      <c r="P796" s="152"/>
      <c r="Q796" s="152"/>
      <c r="R796" s="152"/>
      <c r="S796" s="152"/>
      <c r="T796" s="152"/>
      <c r="U796" s="152"/>
      <c r="V796" s="152"/>
      <c r="W796" s="152"/>
      <c r="X796" s="152"/>
      <c r="Y796" s="152"/>
    </row>
    <row r="797">
      <c r="A797" s="152"/>
      <c r="B797" s="152"/>
      <c r="C797" s="152"/>
      <c r="D797" s="152"/>
      <c r="E797" s="152"/>
      <c r="F797" s="152"/>
      <c r="G797" s="152"/>
      <c r="H797" s="152"/>
      <c r="I797" s="152"/>
      <c r="J797" s="152"/>
      <c r="K797" s="152"/>
      <c r="L797" s="152"/>
      <c r="M797" s="152"/>
      <c r="N797" s="152"/>
      <c r="O797" s="152"/>
      <c r="P797" s="152"/>
      <c r="Q797" s="152"/>
      <c r="R797" s="152"/>
      <c r="S797" s="152"/>
      <c r="T797" s="152"/>
      <c r="U797" s="152"/>
      <c r="V797" s="152"/>
      <c r="W797" s="152"/>
      <c r="X797" s="152"/>
      <c r="Y797" s="152"/>
    </row>
    <row r="798">
      <c r="A798" s="152"/>
      <c r="B798" s="152"/>
      <c r="C798" s="152"/>
      <c r="D798" s="152"/>
      <c r="E798" s="152"/>
      <c r="F798" s="152"/>
      <c r="G798" s="152"/>
      <c r="H798" s="152"/>
      <c r="I798" s="152"/>
      <c r="J798" s="152"/>
      <c r="K798" s="152"/>
      <c r="L798" s="152"/>
      <c r="M798" s="152"/>
      <c r="N798" s="152"/>
      <c r="O798" s="152"/>
      <c r="P798" s="152"/>
      <c r="Q798" s="152"/>
      <c r="R798" s="152"/>
      <c r="S798" s="152"/>
      <c r="T798" s="152"/>
      <c r="U798" s="152"/>
      <c r="V798" s="152"/>
      <c r="W798" s="152"/>
      <c r="X798" s="152"/>
      <c r="Y798" s="152"/>
    </row>
    <row r="799">
      <c r="A799" s="152"/>
      <c r="B799" s="152"/>
      <c r="C799" s="152"/>
      <c r="D799" s="152"/>
      <c r="E799" s="152"/>
      <c r="F799" s="152"/>
      <c r="G799" s="152"/>
      <c r="H799" s="152"/>
      <c r="I799" s="152"/>
      <c r="J799" s="152"/>
      <c r="K799" s="152"/>
      <c r="L799" s="152"/>
      <c r="M799" s="152"/>
      <c r="N799" s="152"/>
      <c r="O799" s="152"/>
      <c r="P799" s="152"/>
      <c r="Q799" s="152"/>
      <c r="R799" s="152"/>
      <c r="S799" s="152"/>
      <c r="T799" s="152"/>
      <c r="U799" s="152"/>
      <c r="V799" s="152"/>
      <c r="W799" s="152"/>
      <c r="X799" s="152"/>
      <c r="Y799" s="152"/>
    </row>
    <row r="800">
      <c r="A800" s="152"/>
      <c r="B800" s="152"/>
      <c r="C800" s="152"/>
      <c r="D800" s="152"/>
      <c r="E800" s="152"/>
      <c r="F800" s="152"/>
      <c r="G800" s="152"/>
      <c r="H800" s="152"/>
      <c r="I800" s="152"/>
      <c r="J800" s="152"/>
      <c r="K800" s="152"/>
      <c r="L800" s="152"/>
      <c r="M800" s="152"/>
      <c r="N800" s="152"/>
      <c r="O800" s="152"/>
      <c r="P800" s="152"/>
      <c r="Q800" s="152"/>
      <c r="R800" s="152"/>
      <c r="S800" s="152"/>
      <c r="T800" s="152"/>
      <c r="U800" s="152"/>
      <c r="V800" s="152"/>
      <c r="W800" s="152"/>
      <c r="X800" s="152"/>
      <c r="Y800" s="152"/>
    </row>
    <row r="801">
      <c r="A801" s="152"/>
      <c r="B801" s="152"/>
      <c r="C801" s="152"/>
      <c r="D801" s="152"/>
      <c r="E801" s="152"/>
      <c r="F801" s="152"/>
      <c r="G801" s="152"/>
      <c r="H801" s="152"/>
      <c r="I801" s="152"/>
      <c r="J801" s="152"/>
      <c r="K801" s="152"/>
      <c r="L801" s="152"/>
      <c r="M801" s="152"/>
      <c r="N801" s="152"/>
      <c r="O801" s="152"/>
      <c r="P801" s="152"/>
      <c r="Q801" s="152"/>
      <c r="R801" s="152"/>
      <c r="S801" s="152"/>
      <c r="T801" s="152"/>
      <c r="U801" s="152"/>
      <c r="V801" s="152"/>
      <c r="W801" s="152"/>
      <c r="X801" s="152"/>
      <c r="Y801" s="152"/>
    </row>
    <row r="802">
      <c r="A802" s="152"/>
      <c r="B802" s="152"/>
      <c r="C802" s="152"/>
      <c r="D802" s="152"/>
      <c r="E802" s="152"/>
      <c r="F802" s="152"/>
      <c r="G802" s="152"/>
      <c r="H802" s="152"/>
      <c r="I802" s="152"/>
      <c r="J802" s="152"/>
      <c r="K802" s="152"/>
      <c r="L802" s="152"/>
      <c r="M802" s="152"/>
      <c r="N802" s="152"/>
      <c r="O802" s="152"/>
      <c r="P802" s="152"/>
      <c r="Q802" s="152"/>
      <c r="R802" s="152"/>
      <c r="S802" s="152"/>
      <c r="T802" s="152"/>
      <c r="U802" s="152"/>
      <c r="V802" s="152"/>
      <c r="W802" s="152"/>
      <c r="X802" s="152"/>
      <c r="Y802" s="152"/>
    </row>
    <row r="803">
      <c r="A803" s="152"/>
      <c r="B803" s="152"/>
      <c r="C803" s="152"/>
      <c r="D803" s="152"/>
      <c r="E803" s="152"/>
      <c r="F803" s="152"/>
      <c r="G803" s="152"/>
      <c r="H803" s="152"/>
      <c r="I803" s="152"/>
      <c r="J803" s="152"/>
      <c r="K803" s="152"/>
      <c r="L803" s="152"/>
      <c r="M803" s="152"/>
      <c r="N803" s="152"/>
      <c r="O803" s="152"/>
      <c r="P803" s="152"/>
      <c r="Q803" s="152"/>
      <c r="R803" s="152"/>
      <c r="S803" s="152"/>
      <c r="T803" s="152"/>
      <c r="U803" s="152"/>
      <c r="V803" s="152"/>
      <c r="W803" s="152"/>
      <c r="X803" s="152"/>
      <c r="Y803" s="152"/>
    </row>
    <row r="804">
      <c r="A804" s="152"/>
      <c r="B804" s="152"/>
      <c r="C804" s="152"/>
      <c r="D804" s="152"/>
      <c r="E804" s="152"/>
      <c r="F804" s="152"/>
      <c r="G804" s="152"/>
      <c r="H804" s="152"/>
      <c r="I804" s="152"/>
      <c r="J804" s="152"/>
      <c r="K804" s="152"/>
      <c r="L804" s="152"/>
      <c r="M804" s="152"/>
      <c r="N804" s="152"/>
      <c r="O804" s="152"/>
      <c r="P804" s="152"/>
      <c r="Q804" s="152"/>
      <c r="R804" s="152"/>
      <c r="S804" s="152"/>
      <c r="T804" s="152"/>
      <c r="U804" s="152"/>
      <c r="V804" s="152"/>
      <c r="W804" s="152"/>
      <c r="X804" s="152"/>
      <c r="Y804" s="152"/>
    </row>
    <row r="805">
      <c r="A805" s="152"/>
      <c r="B805" s="152"/>
      <c r="C805" s="152"/>
      <c r="D805" s="152"/>
      <c r="E805" s="152"/>
      <c r="F805" s="152"/>
      <c r="G805" s="152"/>
      <c r="H805" s="152"/>
      <c r="I805" s="152"/>
      <c r="J805" s="152"/>
      <c r="K805" s="152"/>
      <c r="L805" s="152"/>
      <c r="M805" s="152"/>
      <c r="N805" s="152"/>
      <c r="O805" s="152"/>
      <c r="P805" s="152"/>
      <c r="Q805" s="152"/>
      <c r="R805" s="152"/>
      <c r="S805" s="152"/>
      <c r="T805" s="152"/>
      <c r="U805" s="152"/>
      <c r="V805" s="152"/>
      <c r="W805" s="152"/>
      <c r="X805" s="152"/>
      <c r="Y805" s="152"/>
    </row>
    <row r="806">
      <c r="A806" s="152"/>
      <c r="B806" s="152"/>
      <c r="C806" s="152"/>
      <c r="D806" s="152"/>
      <c r="E806" s="152"/>
      <c r="F806" s="152"/>
      <c r="G806" s="152"/>
      <c r="H806" s="152"/>
      <c r="I806" s="152"/>
      <c r="J806" s="152"/>
      <c r="K806" s="152"/>
      <c r="L806" s="152"/>
      <c r="M806" s="152"/>
      <c r="N806" s="152"/>
      <c r="O806" s="152"/>
      <c r="P806" s="152"/>
      <c r="Q806" s="152"/>
      <c r="R806" s="152"/>
      <c r="S806" s="152"/>
      <c r="T806" s="152"/>
      <c r="U806" s="152"/>
      <c r="V806" s="152"/>
      <c r="W806" s="152"/>
      <c r="X806" s="152"/>
      <c r="Y806" s="152"/>
    </row>
    <row r="807">
      <c r="A807" s="152"/>
      <c r="B807" s="152"/>
      <c r="C807" s="152"/>
      <c r="D807" s="152"/>
      <c r="E807" s="152"/>
      <c r="F807" s="152"/>
      <c r="G807" s="152"/>
      <c r="H807" s="152"/>
      <c r="I807" s="152"/>
      <c r="J807" s="152"/>
      <c r="K807" s="152"/>
      <c r="L807" s="152"/>
      <c r="M807" s="152"/>
      <c r="N807" s="152"/>
      <c r="O807" s="152"/>
      <c r="P807" s="152"/>
      <c r="Q807" s="152"/>
      <c r="R807" s="152"/>
      <c r="S807" s="152"/>
      <c r="T807" s="152"/>
      <c r="U807" s="152"/>
      <c r="V807" s="152"/>
      <c r="W807" s="152"/>
      <c r="X807" s="152"/>
      <c r="Y807" s="152"/>
    </row>
    <row r="808">
      <c r="A808" s="152"/>
      <c r="B808" s="152"/>
      <c r="C808" s="152"/>
      <c r="D808" s="152"/>
      <c r="E808" s="152"/>
      <c r="F808" s="152"/>
      <c r="G808" s="152"/>
      <c r="H808" s="152"/>
      <c r="I808" s="152"/>
      <c r="J808" s="152"/>
      <c r="K808" s="152"/>
      <c r="L808" s="152"/>
      <c r="M808" s="152"/>
      <c r="N808" s="152"/>
      <c r="O808" s="152"/>
      <c r="P808" s="152"/>
      <c r="Q808" s="152"/>
      <c r="R808" s="152"/>
      <c r="S808" s="152"/>
      <c r="T808" s="152"/>
      <c r="U808" s="152"/>
      <c r="V808" s="152"/>
      <c r="W808" s="152"/>
      <c r="X808" s="152"/>
      <c r="Y808" s="152"/>
    </row>
    <row r="809">
      <c r="A809" s="152"/>
      <c r="B809" s="152"/>
      <c r="C809" s="152"/>
      <c r="D809" s="152"/>
      <c r="E809" s="152"/>
      <c r="F809" s="152"/>
      <c r="G809" s="152"/>
      <c r="H809" s="152"/>
      <c r="I809" s="152"/>
      <c r="J809" s="152"/>
      <c r="K809" s="152"/>
      <c r="L809" s="152"/>
      <c r="M809" s="152"/>
      <c r="N809" s="152"/>
      <c r="O809" s="152"/>
      <c r="P809" s="152"/>
      <c r="Q809" s="152"/>
      <c r="R809" s="152"/>
      <c r="S809" s="152"/>
      <c r="T809" s="152"/>
      <c r="U809" s="152"/>
      <c r="V809" s="152"/>
      <c r="W809" s="152"/>
      <c r="X809" s="152"/>
      <c r="Y809" s="152"/>
    </row>
    <row r="810">
      <c r="A810" s="152"/>
      <c r="B810" s="152"/>
      <c r="C810" s="152"/>
      <c r="D810" s="152"/>
      <c r="E810" s="152"/>
      <c r="F810" s="152"/>
      <c r="G810" s="152"/>
      <c r="H810" s="152"/>
      <c r="I810" s="152"/>
      <c r="J810" s="152"/>
      <c r="K810" s="152"/>
      <c r="L810" s="152"/>
      <c r="M810" s="152"/>
      <c r="N810" s="152"/>
      <c r="O810" s="152"/>
      <c r="P810" s="152"/>
      <c r="Q810" s="152"/>
      <c r="R810" s="152"/>
      <c r="S810" s="152"/>
      <c r="T810" s="152"/>
      <c r="U810" s="152"/>
      <c r="V810" s="152"/>
      <c r="W810" s="152"/>
      <c r="X810" s="152"/>
      <c r="Y810" s="152"/>
    </row>
    <row r="811">
      <c r="A811" s="152"/>
      <c r="B811" s="152"/>
      <c r="C811" s="152"/>
      <c r="D811" s="152"/>
      <c r="E811" s="152"/>
      <c r="F811" s="152"/>
      <c r="G811" s="152"/>
      <c r="H811" s="152"/>
      <c r="I811" s="152"/>
      <c r="J811" s="152"/>
      <c r="K811" s="152"/>
      <c r="L811" s="152"/>
      <c r="M811" s="152"/>
      <c r="N811" s="152"/>
      <c r="O811" s="152"/>
      <c r="P811" s="152"/>
      <c r="Q811" s="152"/>
      <c r="R811" s="152"/>
      <c r="S811" s="152"/>
      <c r="T811" s="152"/>
      <c r="U811" s="152"/>
      <c r="V811" s="152"/>
      <c r="W811" s="152"/>
      <c r="X811" s="152"/>
      <c r="Y811" s="152"/>
    </row>
    <row r="812">
      <c r="A812" s="152"/>
      <c r="B812" s="152"/>
      <c r="C812" s="152"/>
      <c r="D812" s="152"/>
      <c r="E812" s="152"/>
      <c r="F812" s="152"/>
      <c r="G812" s="152"/>
      <c r="H812" s="152"/>
      <c r="I812" s="152"/>
      <c r="J812" s="152"/>
      <c r="K812" s="152"/>
      <c r="L812" s="152"/>
      <c r="M812" s="152"/>
      <c r="N812" s="152"/>
      <c r="O812" s="152"/>
      <c r="P812" s="152"/>
      <c r="Q812" s="152"/>
      <c r="R812" s="152"/>
      <c r="S812" s="152"/>
      <c r="T812" s="152"/>
      <c r="U812" s="152"/>
      <c r="V812" s="152"/>
      <c r="W812" s="152"/>
      <c r="X812" s="152"/>
      <c r="Y812" s="152"/>
    </row>
    <row r="813">
      <c r="A813" s="152"/>
      <c r="B813" s="152"/>
      <c r="C813" s="152"/>
      <c r="D813" s="152"/>
      <c r="E813" s="152"/>
      <c r="F813" s="152"/>
      <c r="G813" s="152"/>
      <c r="H813" s="152"/>
      <c r="I813" s="152"/>
      <c r="J813" s="152"/>
      <c r="K813" s="152"/>
      <c r="L813" s="152"/>
      <c r="M813" s="152"/>
      <c r="N813" s="152"/>
      <c r="O813" s="152"/>
      <c r="P813" s="152"/>
      <c r="Q813" s="152"/>
      <c r="R813" s="152"/>
      <c r="S813" s="152"/>
      <c r="T813" s="152"/>
      <c r="U813" s="152"/>
      <c r="V813" s="152"/>
      <c r="W813" s="152"/>
      <c r="X813" s="152"/>
      <c r="Y813" s="152"/>
    </row>
    <row r="814">
      <c r="A814" s="152"/>
      <c r="B814" s="152"/>
      <c r="C814" s="152"/>
      <c r="D814" s="152"/>
      <c r="E814" s="152"/>
      <c r="F814" s="152"/>
      <c r="G814" s="152"/>
      <c r="H814" s="152"/>
      <c r="I814" s="152"/>
      <c r="J814" s="152"/>
      <c r="K814" s="152"/>
      <c r="L814" s="152"/>
      <c r="M814" s="152"/>
      <c r="N814" s="152"/>
      <c r="O814" s="152"/>
      <c r="P814" s="152"/>
      <c r="Q814" s="152"/>
      <c r="R814" s="152"/>
      <c r="S814" s="152"/>
      <c r="T814" s="152"/>
      <c r="U814" s="152"/>
      <c r="V814" s="152"/>
      <c r="W814" s="152"/>
      <c r="X814" s="152"/>
      <c r="Y814" s="152"/>
    </row>
    <row r="815">
      <c r="A815" s="152"/>
      <c r="B815" s="152"/>
      <c r="C815" s="152"/>
      <c r="D815" s="152"/>
      <c r="E815" s="152"/>
      <c r="F815" s="152"/>
      <c r="G815" s="152"/>
      <c r="H815" s="152"/>
      <c r="I815" s="152"/>
      <c r="J815" s="152"/>
      <c r="K815" s="152"/>
      <c r="L815" s="152"/>
      <c r="M815" s="152"/>
      <c r="N815" s="152"/>
      <c r="O815" s="152"/>
      <c r="P815" s="152"/>
      <c r="Q815" s="152"/>
      <c r="R815" s="152"/>
      <c r="S815" s="152"/>
      <c r="T815" s="152"/>
      <c r="U815" s="152"/>
      <c r="V815" s="152"/>
      <c r="W815" s="152"/>
      <c r="X815" s="152"/>
      <c r="Y815" s="152"/>
    </row>
    <row r="816">
      <c r="A816" s="152"/>
      <c r="B816" s="152"/>
      <c r="C816" s="152"/>
      <c r="D816" s="152"/>
      <c r="E816" s="152"/>
      <c r="F816" s="152"/>
      <c r="G816" s="152"/>
      <c r="H816" s="152"/>
      <c r="I816" s="152"/>
      <c r="J816" s="152"/>
      <c r="K816" s="152"/>
      <c r="L816" s="152"/>
      <c r="M816" s="152"/>
      <c r="N816" s="152"/>
      <c r="O816" s="152"/>
      <c r="P816" s="152"/>
      <c r="Q816" s="152"/>
      <c r="R816" s="152"/>
      <c r="S816" s="152"/>
      <c r="T816" s="152"/>
      <c r="U816" s="152"/>
      <c r="V816" s="152"/>
      <c r="W816" s="152"/>
      <c r="X816" s="152"/>
      <c r="Y816" s="152"/>
    </row>
    <row r="817">
      <c r="A817" s="152"/>
      <c r="B817" s="152"/>
      <c r="C817" s="152"/>
      <c r="D817" s="152"/>
      <c r="E817" s="152"/>
      <c r="F817" s="152"/>
      <c r="G817" s="152"/>
      <c r="H817" s="152"/>
      <c r="I817" s="152"/>
      <c r="J817" s="152"/>
      <c r="K817" s="152"/>
      <c r="L817" s="152"/>
      <c r="M817" s="152"/>
      <c r="N817" s="152"/>
      <c r="O817" s="152"/>
      <c r="P817" s="152"/>
      <c r="Q817" s="152"/>
      <c r="R817" s="152"/>
      <c r="S817" s="152"/>
      <c r="T817" s="152"/>
      <c r="U817" s="152"/>
      <c r="V817" s="152"/>
      <c r="W817" s="152"/>
      <c r="X817" s="152"/>
      <c r="Y817" s="152"/>
    </row>
    <row r="818">
      <c r="A818" s="152"/>
      <c r="B818" s="152"/>
      <c r="C818" s="152"/>
      <c r="D818" s="152"/>
      <c r="E818" s="152"/>
      <c r="F818" s="152"/>
      <c r="G818" s="152"/>
      <c r="H818" s="152"/>
      <c r="I818" s="152"/>
      <c r="J818" s="152"/>
      <c r="K818" s="152"/>
      <c r="L818" s="152"/>
      <c r="M818" s="152"/>
      <c r="N818" s="152"/>
      <c r="O818" s="152"/>
      <c r="P818" s="152"/>
      <c r="Q818" s="152"/>
      <c r="R818" s="152"/>
      <c r="S818" s="152"/>
      <c r="T818" s="152"/>
      <c r="U818" s="152"/>
      <c r="V818" s="152"/>
      <c r="W818" s="152"/>
      <c r="X818" s="152"/>
      <c r="Y818" s="152"/>
    </row>
    <row r="819">
      <c r="A819" s="152"/>
      <c r="B819" s="152"/>
      <c r="C819" s="152"/>
      <c r="D819" s="152"/>
      <c r="E819" s="152"/>
      <c r="F819" s="152"/>
      <c r="G819" s="152"/>
      <c r="H819" s="152"/>
      <c r="I819" s="152"/>
      <c r="J819" s="152"/>
      <c r="K819" s="152"/>
      <c r="L819" s="152"/>
      <c r="M819" s="152"/>
      <c r="N819" s="152"/>
      <c r="O819" s="152"/>
      <c r="P819" s="152"/>
      <c r="Q819" s="152"/>
      <c r="R819" s="152"/>
      <c r="S819" s="152"/>
      <c r="T819" s="152"/>
      <c r="U819" s="152"/>
      <c r="V819" s="152"/>
      <c r="W819" s="152"/>
      <c r="X819" s="152"/>
      <c r="Y819" s="152"/>
    </row>
    <row r="820">
      <c r="A820" s="152"/>
      <c r="B820" s="152"/>
      <c r="C820" s="152"/>
      <c r="D820" s="152"/>
      <c r="E820" s="152"/>
      <c r="F820" s="152"/>
      <c r="G820" s="152"/>
      <c r="H820" s="152"/>
      <c r="I820" s="152"/>
      <c r="J820" s="152"/>
      <c r="K820" s="152"/>
      <c r="L820" s="152"/>
      <c r="M820" s="152"/>
      <c r="N820" s="152"/>
      <c r="O820" s="152"/>
      <c r="P820" s="152"/>
      <c r="Q820" s="152"/>
      <c r="R820" s="152"/>
      <c r="S820" s="152"/>
      <c r="T820" s="152"/>
      <c r="U820" s="152"/>
      <c r="V820" s="152"/>
      <c r="W820" s="152"/>
      <c r="X820" s="152"/>
      <c r="Y820" s="152"/>
    </row>
    <row r="821">
      <c r="A821" s="152"/>
      <c r="B821" s="152"/>
      <c r="C821" s="152"/>
      <c r="D821" s="152"/>
      <c r="E821" s="152"/>
      <c r="F821" s="152"/>
      <c r="G821" s="152"/>
      <c r="H821" s="152"/>
      <c r="I821" s="152"/>
      <c r="J821" s="152"/>
      <c r="K821" s="152"/>
      <c r="L821" s="152"/>
      <c r="M821" s="152"/>
      <c r="N821" s="152"/>
      <c r="O821" s="152"/>
      <c r="P821" s="152"/>
      <c r="Q821" s="152"/>
      <c r="R821" s="152"/>
      <c r="S821" s="152"/>
      <c r="T821" s="152"/>
      <c r="U821" s="152"/>
      <c r="V821" s="152"/>
      <c r="W821" s="152"/>
      <c r="X821" s="152"/>
      <c r="Y821" s="152"/>
    </row>
    <row r="822">
      <c r="A822" s="152"/>
      <c r="B822" s="152"/>
      <c r="C822" s="152"/>
      <c r="D822" s="152"/>
      <c r="E822" s="152"/>
      <c r="F822" s="152"/>
      <c r="G822" s="152"/>
      <c r="H822" s="152"/>
      <c r="I822" s="152"/>
      <c r="J822" s="152"/>
      <c r="K822" s="152"/>
      <c r="L822" s="152"/>
      <c r="M822" s="152"/>
      <c r="N822" s="152"/>
      <c r="O822" s="152"/>
      <c r="P822" s="152"/>
      <c r="Q822" s="152"/>
      <c r="R822" s="152"/>
      <c r="S822" s="152"/>
      <c r="T822" s="152"/>
      <c r="U822" s="152"/>
      <c r="V822" s="152"/>
      <c r="W822" s="152"/>
      <c r="X822" s="152"/>
      <c r="Y822" s="152"/>
    </row>
    <row r="823">
      <c r="A823" s="152"/>
      <c r="B823" s="152"/>
      <c r="C823" s="152"/>
      <c r="D823" s="152"/>
      <c r="E823" s="152"/>
      <c r="F823" s="152"/>
      <c r="G823" s="152"/>
      <c r="H823" s="152"/>
      <c r="I823" s="152"/>
      <c r="J823" s="152"/>
      <c r="K823" s="152"/>
      <c r="L823" s="152"/>
      <c r="M823" s="152"/>
      <c r="N823" s="152"/>
      <c r="O823" s="152"/>
      <c r="P823" s="152"/>
      <c r="Q823" s="152"/>
      <c r="R823" s="152"/>
      <c r="S823" s="152"/>
      <c r="T823" s="152"/>
      <c r="U823" s="152"/>
      <c r="V823" s="152"/>
      <c r="W823" s="152"/>
      <c r="X823" s="152"/>
      <c r="Y823" s="152"/>
    </row>
    <row r="824">
      <c r="A824" s="152"/>
      <c r="B824" s="152"/>
      <c r="C824" s="152"/>
      <c r="D824" s="152"/>
      <c r="E824" s="152"/>
      <c r="F824" s="152"/>
      <c r="G824" s="152"/>
      <c r="H824" s="152"/>
      <c r="I824" s="152"/>
      <c r="J824" s="152"/>
      <c r="K824" s="152"/>
      <c r="L824" s="152"/>
      <c r="M824" s="152"/>
      <c r="N824" s="152"/>
      <c r="O824" s="152"/>
      <c r="P824" s="152"/>
      <c r="Q824" s="152"/>
      <c r="R824" s="152"/>
      <c r="S824" s="152"/>
      <c r="T824" s="152"/>
      <c r="U824" s="152"/>
      <c r="V824" s="152"/>
      <c r="W824" s="152"/>
      <c r="X824" s="152"/>
      <c r="Y824" s="152"/>
    </row>
    <row r="825">
      <c r="A825" s="152"/>
      <c r="B825" s="152"/>
      <c r="C825" s="152"/>
      <c r="D825" s="152"/>
      <c r="E825" s="152"/>
      <c r="F825" s="152"/>
      <c r="G825" s="152"/>
      <c r="H825" s="152"/>
      <c r="I825" s="152"/>
      <c r="J825" s="152"/>
      <c r="K825" s="152"/>
      <c r="L825" s="152"/>
      <c r="M825" s="152"/>
      <c r="N825" s="152"/>
      <c r="O825" s="152"/>
      <c r="P825" s="152"/>
      <c r="Q825" s="152"/>
      <c r="R825" s="152"/>
      <c r="S825" s="152"/>
      <c r="T825" s="152"/>
      <c r="U825" s="152"/>
      <c r="V825" s="152"/>
      <c r="W825" s="152"/>
      <c r="X825" s="152"/>
      <c r="Y825" s="152"/>
    </row>
    <row r="826">
      <c r="A826" s="152"/>
      <c r="B826" s="152"/>
      <c r="C826" s="152"/>
      <c r="D826" s="152"/>
      <c r="E826" s="152"/>
      <c r="F826" s="152"/>
      <c r="G826" s="152"/>
      <c r="H826" s="152"/>
      <c r="I826" s="152"/>
      <c r="J826" s="152"/>
      <c r="K826" s="152"/>
      <c r="L826" s="152"/>
      <c r="M826" s="152"/>
      <c r="N826" s="152"/>
      <c r="O826" s="152"/>
      <c r="P826" s="152"/>
      <c r="Q826" s="152"/>
      <c r="R826" s="152"/>
      <c r="S826" s="152"/>
      <c r="T826" s="152"/>
      <c r="U826" s="152"/>
      <c r="V826" s="152"/>
      <c r="W826" s="152"/>
      <c r="X826" s="152"/>
      <c r="Y826" s="152"/>
    </row>
    <row r="827">
      <c r="A827" s="152"/>
      <c r="B827" s="152"/>
      <c r="C827" s="152"/>
      <c r="D827" s="152"/>
      <c r="E827" s="152"/>
      <c r="F827" s="152"/>
      <c r="G827" s="152"/>
      <c r="H827" s="152"/>
      <c r="I827" s="152"/>
      <c r="J827" s="152"/>
      <c r="K827" s="152"/>
      <c r="L827" s="152"/>
      <c r="M827" s="152"/>
      <c r="N827" s="152"/>
      <c r="O827" s="152"/>
      <c r="P827" s="152"/>
      <c r="Q827" s="152"/>
      <c r="R827" s="152"/>
      <c r="S827" s="152"/>
      <c r="T827" s="152"/>
      <c r="U827" s="152"/>
      <c r="V827" s="152"/>
      <c r="W827" s="152"/>
      <c r="X827" s="152"/>
      <c r="Y827" s="152"/>
    </row>
    <row r="828">
      <c r="A828" s="152"/>
      <c r="B828" s="152"/>
      <c r="C828" s="152"/>
      <c r="D828" s="152"/>
      <c r="E828" s="152"/>
      <c r="F828" s="152"/>
      <c r="G828" s="152"/>
      <c r="H828" s="152"/>
      <c r="I828" s="152"/>
      <c r="J828" s="152"/>
      <c r="K828" s="152"/>
      <c r="L828" s="152"/>
      <c r="M828" s="152"/>
      <c r="N828" s="152"/>
      <c r="O828" s="152"/>
      <c r="P828" s="152"/>
      <c r="Q828" s="152"/>
      <c r="R828" s="152"/>
      <c r="S828" s="152"/>
      <c r="T828" s="152"/>
      <c r="U828" s="152"/>
      <c r="V828" s="152"/>
      <c r="W828" s="152"/>
      <c r="X828" s="152"/>
      <c r="Y828" s="152"/>
    </row>
    <row r="829">
      <c r="A829" s="152"/>
      <c r="B829" s="152"/>
      <c r="C829" s="152"/>
      <c r="D829" s="152"/>
      <c r="E829" s="152"/>
      <c r="F829" s="152"/>
      <c r="G829" s="152"/>
      <c r="H829" s="152"/>
      <c r="I829" s="152"/>
      <c r="J829" s="152"/>
      <c r="K829" s="152"/>
      <c r="L829" s="152"/>
      <c r="M829" s="152"/>
      <c r="N829" s="152"/>
      <c r="O829" s="152"/>
      <c r="P829" s="152"/>
      <c r="Q829" s="152"/>
      <c r="R829" s="152"/>
      <c r="S829" s="152"/>
      <c r="T829" s="152"/>
      <c r="U829" s="152"/>
      <c r="V829" s="152"/>
      <c r="W829" s="152"/>
      <c r="X829" s="152"/>
      <c r="Y829" s="152"/>
    </row>
    <row r="830">
      <c r="A830" s="152"/>
      <c r="B830" s="152"/>
      <c r="C830" s="152"/>
      <c r="D830" s="152"/>
      <c r="E830" s="152"/>
      <c r="F830" s="152"/>
      <c r="G830" s="152"/>
      <c r="H830" s="152"/>
      <c r="I830" s="152"/>
      <c r="J830" s="152"/>
      <c r="K830" s="152"/>
      <c r="L830" s="152"/>
      <c r="M830" s="152"/>
      <c r="N830" s="152"/>
      <c r="O830" s="152"/>
      <c r="P830" s="152"/>
      <c r="Q830" s="152"/>
      <c r="R830" s="152"/>
      <c r="S830" s="152"/>
      <c r="T830" s="152"/>
      <c r="U830" s="152"/>
      <c r="V830" s="152"/>
      <c r="W830" s="152"/>
      <c r="X830" s="152"/>
      <c r="Y830" s="152"/>
    </row>
    <row r="831">
      <c r="A831" s="152"/>
      <c r="B831" s="152"/>
      <c r="C831" s="152"/>
      <c r="D831" s="152"/>
      <c r="E831" s="152"/>
      <c r="F831" s="152"/>
      <c r="G831" s="152"/>
      <c r="H831" s="152"/>
      <c r="I831" s="152"/>
      <c r="J831" s="152"/>
      <c r="K831" s="152"/>
      <c r="L831" s="152"/>
      <c r="M831" s="152"/>
      <c r="N831" s="152"/>
      <c r="O831" s="152"/>
      <c r="P831" s="152"/>
      <c r="Q831" s="152"/>
      <c r="R831" s="152"/>
      <c r="S831" s="152"/>
      <c r="T831" s="152"/>
      <c r="U831" s="152"/>
      <c r="V831" s="152"/>
      <c r="W831" s="152"/>
      <c r="X831" s="152"/>
      <c r="Y831" s="152"/>
    </row>
    <row r="832">
      <c r="A832" s="152"/>
      <c r="B832" s="152"/>
      <c r="C832" s="152"/>
      <c r="D832" s="152"/>
      <c r="E832" s="152"/>
      <c r="F832" s="152"/>
      <c r="G832" s="152"/>
      <c r="H832" s="152"/>
      <c r="I832" s="152"/>
      <c r="J832" s="152"/>
      <c r="K832" s="152"/>
      <c r="L832" s="152"/>
      <c r="M832" s="152"/>
      <c r="N832" s="152"/>
      <c r="O832" s="152"/>
      <c r="P832" s="152"/>
      <c r="Q832" s="152"/>
      <c r="R832" s="152"/>
      <c r="S832" s="152"/>
      <c r="T832" s="152"/>
      <c r="U832" s="152"/>
      <c r="V832" s="152"/>
      <c r="W832" s="152"/>
      <c r="X832" s="152"/>
      <c r="Y832" s="152"/>
    </row>
    <row r="833">
      <c r="A833" s="152"/>
      <c r="B833" s="152"/>
      <c r="C833" s="152"/>
      <c r="D833" s="152"/>
      <c r="E833" s="152"/>
      <c r="F833" s="152"/>
      <c r="G833" s="152"/>
      <c r="H833" s="152"/>
      <c r="I833" s="152"/>
      <c r="J833" s="152"/>
      <c r="K833" s="152"/>
      <c r="L833" s="152"/>
      <c r="M833" s="152"/>
      <c r="N833" s="152"/>
      <c r="O833" s="152"/>
      <c r="P833" s="152"/>
      <c r="Q833" s="152"/>
      <c r="R833" s="152"/>
      <c r="S833" s="152"/>
      <c r="T833" s="152"/>
      <c r="U833" s="152"/>
      <c r="V833" s="152"/>
      <c r="W833" s="152"/>
      <c r="X833" s="152"/>
      <c r="Y833" s="152"/>
    </row>
    <row r="834">
      <c r="A834" s="152"/>
      <c r="B834" s="152"/>
      <c r="C834" s="152"/>
      <c r="D834" s="152"/>
      <c r="E834" s="152"/>
      <c r="F834" s="152"/>
      <c r="G834" s="152"/>
      <c r="H834" s="152"/>
      <c r="I834" s="152"/>
      <c r="J834" s="152"/>
      <c r="K834" s="152"/>
      <c r="L834" s="152"/>
      <c r="M834" s="152"/>
      <c r="N834" s="152"/>
      <c r="O834" s="152"/>
      <c r="P834" s="152"/>
      <c r="Q834" s="152"/>
      <c r="R834" s="152"/>
      <c r="S834" s="152"/>
      <c r="T834" s="152"/>
      <c r="U834" s="152"/>
      <c r="V834" s="152"/>
      <c r="W834" s="152"/>
      <c r="X834" s="152"/>
      <c r="Y834" s="152"/>
    </row>
    <row r="835">
      <c r="A835" s="152"/>
      <c r="B835" s="152"/>
      <c r="C835" s="152"/>
      <c r="D835" s="152"/>
      <c r="E835" s="152"/>
      <c r="F835" s="152"/>
      <c r="G835" s="152"/>
      <c r="H835" s="152"/>
      <c r="I835" s="152"/>
      <c r="J835" s="152"/>
      <c r="K835" s="152"/>
      <c r="L835" s="152"/>
      <c r="M835" s="152"/>
      <c r="N835" s="152"/>
      <c r="O835" s="152"/>
      <c r="P835" s="152"/>
      <c r="Q835" s="152"/>
      <c r="R835" s="152"/>
      <c r="S835" s="152"/>
      <c r="T835" s="152"/>
      <c r="U835" s="152"/>
      <c r="V835" s="152"/>
      <c r="W835" s="152"/>
      <c r="X835" s="152"/>
      <c r="Y835" s="152"/>
    </row>
    <row r="836">
      <c r="A836" s="152"/>
      <c r="B836" s="152"/>
      <c r="C836" s="152"/>
      <c r="D836" s="152"/>
      <c r="E836" s="152"/>
      <c r="F836" s="152"/>
      <c r="G836" s="152"/>
      <c r="H836" s="152"/>
      <c r="I836" s="152"/>
      <c r="J836" s="152"/>
      <c r="K836" s="152"/>
      <c r="L836" s="152"/>
      <c r="M836" s="152"/>
      <c r="N836" s="152"/>
      <c r="O836" s="152"/>
      <c r="P836" s="152"/>
      <c r="Q836" s="152"/>
      <c r="R836" s="152"/>
      <c r="S836" s="152"/>
      <c r="T836" s="152"/>
      <c r="U836" s="152"/>
      <c r="V836" s="152"/>
      <c r="W836" s="152"/>
      <c r="X836" s="152"/>
      <c r="Y836" s="152"/>
    </row>
    <row r="837">
      <c r="A837" s="152"/>
      <c r="B837" s="152"/>
      <c r="C837" s="152"/>
      <c r="D837" s="152"/>
      <c r="E837" s="152"/>
      <c r="F837" s="152"/>
      <c r="G837" s="152"/>
      <c r="H837" s="152"/>
      <c r="I837" s="152"/>
      <c r="J837" s="152"/>
      <c r="K837" s="152"/>
      <c r="L837" s="152"/>
      <c r="M837" s="152"/>
      <c r="N837" s="152"/>
      <c r="O837" s="152"/>
      <c r="P837" s="152"/>
      <c r="Q837" s="152"/>
      <c r="R837" s="152"/>
      <c r="S837" s="152"/>
      <c r="T837" s="152"/>
      <c r="U837" s="152"/>
      <c r="V837" s="152"/>
      <c r="W837" s="152"/>
      <c r="X837" s="152"/>
      <c r="Y837" s="152"/>
    </row>
    <row r="838">
      <c r="A838" s="152"/>
      <c r="B838" s="152"/>
      <c r="C838" s="152"/>
      <c r="D838" s="152"/>
      <c r="E838" s="152"/>
      <c r="F838" s="152"/>
      <c r="G838" s="152"/>
      <c r="H838" s="152"/>
      <c r="I838" s="152"/>
      <c r="J838" s="152"/>
      <c r="K838" s="152"/>
      <c r="L838" s="152"/>
      <c r="M838" s="152"/>
      <c r="N838" s="152"/>
      <c r="O838" s="152"/>
      <c r="P838" s="152"/>
      <c r="Q838" s="152"/>
      <c r="R838" s="152"/>
      <c r="S838" s="152"/>
      <c r="T838" s="152"/>
      <c r="U838" s="152"/>
      <c r="V838" s="152"/>
      <c r="W838" s="152"/>
      <c r="X838" s="152"/>
      <c r="Y838" s="152"/>
    </row>
    <row r="839">
      <c r="A839" s="152"/>
      <c r="B839" s="152"/>
      <c r="C839" s="152"/>
      <c r="D839" s="152"/>
      <c r="E839" s="152"/>
      <c r="F839" s="152"/>
      <c r="G839" s="152"/>
      <c r="H839" s="152"/>
      <c r="I839" s="152"/>
      <c r="J839" s="152"/>
      <c r="K839" s="152"/>
      <c r="L839" s="152"/>
      <c r="M839" s="152"/>
      <c r="N839" s="152"/>
      <c r="O839" s="152"/>
      <c r="P839" s="152"/>
      <c r="Q839" s="152"/>
      <c r="R839" s="152"/>
      <c r="S839" s="152"/>
      <c r="T839" s="152"/>
      <c r="U839" s="152"/>
      <c r="V839" s="152"/>
      <c r="W839" s="152"/>
      <c r="X839" s="152"/>
      <c r="Y839" s="152"/>
    </row>
    <row r="840">
      <c r="A840" s="152"/>
      <c r="B840" s="152"/>
      <c r="C840" s="152"/>
      <c r="D840" s="152"/>
      <c r="E840" s="152"/>
      <c r="F840" s="152"/>
      <c r="G840" s="152"/>
      <c r="H840" s="152"/>
      <c r="I840" s="152"/>
      <c r="J840" s="152"/>
      <c r="K840" s="152"/>
      <c r="L840" s="152"/>
      <c r="M840" s="152"/>
      <c r="N840" s="152"/>
      <c r="O840" s="152"/>
      <c r="P840" s="152"/>
      <c r="Q840" s="152"/>
      <c r="R840" s="152"/>
      <c r="S840" s="152"/>
      <c r="T840" s="152"/>
      <c r="U840" s="152"/>
      <c r="V840" s="152"/>
      <c r="W840" s="152"/>
      <c r="X840" s="152"/>
      <c r="Y840" s="152"/>
    </row>
    <row r="841">
      <c r="A841" s="152"/>
      <c r="B841" s="152"/>
      <c r="C841" s="152"/>
      <c r="D841" s="152"/>
      <c r="E841" s="152"/>
      <c r="F841" s="152"/>
      <c r="G841" s="152"/>
      <c r="H841" s="152"/>
      <c r="I841" s="152"/>
      <c r="J841" s="152"/>
      <c r="K841" s="152"/>
      <c r="L841" s="152"/>
      <c r="M841" s="152"/>
      <c r="N841" s="152"/>
      <c r="O841" s="152"/>
      <c r="P841" s="152"/>
      <c r="Q841" s="152"/>
      <c r="R841" s="152"/>
      <c r="S841" s="152"/>
      <c r="T841" s="152"/>
      <c r="U841" s="152"/>
      <c r="V841" s="152"/>
      <c r="W841" s="152"/>
      <c r="X841" s="152"/>
      <c r="Y841" s="152"/>
    </row>
    <row r="842">
      <c r="A842" s="152"/>
      <c r="B842" s="152"/>
      <c r="C842" s="152"/>
      <c r="D842" s="152"/>
      <c r="E842" s="152"/>
      <c r="F842" s="152"/>
      <c r="G842" s="152"/>
      <c r="H842" s="152"/>
      <c r="I842" s="152"/>
      <c r="J842" s="152"/>
      <c r="K842" s="152"/>
      <c r="L842" s="152"/>
      <c r="M842" s="152"/>
      <c r="N842" s="152"/>
      <c r="O842" s="152"/>
      <c r="P842" s="152"/>
      <c r="Q842" s="152"/>
      <c r="R842" s="152"/>
      <c r="S842" s="152"/>
      <c r="T842" s="152"/>
      <c r="U842" s="152"/>
      <c r="V842" s="152"/>
      <c r="W842" s="152"/>
      <c r="X842" s="152"/>
      <c r="Y842" s="152"/>
    </row>
    <row r="843">
      <c r="A843" s="152"/>
      <c r="B843" s="152"/>
      <c r="C843" s="152"/>
      <c r="D843" s="152"/>
      <c r="E843" s="152"/>
      <c r="F843" s="152"/>
      <c r="G843" s="152"/>
      <c r="H843" s="152"/>
      <c r="I843" s="152"/>
      <c r="J843" s="152"/>
      <c r="K843" s="152"/>
      <c r="L843" s="152"/>
      <c r="M843" s="152"/>
      <c r="N843" s="152"/>
      <c r="O843" s="152"/>
      <c r="P843" s="152"/>
      <c r="Q843" s="152"/>
      <c r="R843" s="152"/>
      <c r="S843" s="152"/>
      <c r="T843" s="152"/>
      <c r="U843" s="152"/>
      <c r="V843" s="152"/>
      <c r="W843" s="152"/>
      <c r="X843" s="152"/>
      <c r="Y843" s="152"/>
    </row>
    <row r="844">
      <c r="A844" s="152"/>
      <c r="B844" s="152"/>
      <c r="C844" s="152"/>
      <c r="D844" s="152"/>
      <c r="E844" s="152"/>
      <c r="F844" s="152"/>
      <c r="G844" s="152"/>
      <c r="H844" s="152"/>
      <c r="I844" s="152"/>
      <c r="J844" s="152"/>
      <c r="K844" s="152"/>
      <c r="L844" s="152"/>
      <c r="M844" s="152"/>
      <c r="N844" s="152"/>
      <c r="O844" s="152"/>
      <c r="P844" s="152"/>
      <c r="Q844" s="152"/>
      <c r="R844" s="152"/>
      <c r="S844" s="152"/>
      <c r="T844" s="152"/>
      <c r="U844" s="152"/>
      <c r="V844" s="152"/>
      <c r="W844" s="152"/>
      <c r="X844" s="152"/>
      <c r="Y844" s="152"/>
    </row>
    <row r="845">
      <c r="A845" s="152"/>
      <c r="B845" s="152"/>
      <c r="C845" s="152"/>
      <c r="D845" s="152"/>
      <c r="E845" s="152"/>
      <c r="F845" s="152"/>
      <c r="G845" s="152"/>
      <c r="H845" s="152"/>
      <c r="I845" s="152"/>
      <c r="J845" s="152"/>
      <c r="K845" s="152"/>
      <c r="L845" s="152"/>
      <c r="M845" s="152"/>
      <c r="N845" s="152"/>
      <c r="O845" s="152"/>
      <c r="P845" s="152"/>
      <c r="Q845" s="152"/>
      <c r="R845" s="152"/>
      <c r="S845" s="152"/>
      <c r="T845" s="152"/>
      <c r="U845" s="152"/>
      <c r="V845" s="152"/>
      <c r="W845" s="152"/>
      <c r="X845" s="152"/>
      <c r="Y845" s="152"/>
    </row>
    <row r="846">
      <c r="A846" s="152"/>
      <c r="B846" s="152"/>
      <c r="C846" s="152"/>
      <c r="D846" s="152"/>
      <c r="E846" s="152"/>
      <c r="F846" s="152"/>
      <c r="G846" s="152"/>
      <c r="H846" s="152"/>
      <c r="I846" s="152"/>
      <c r="J846" s="152"/>
      <c r="K846" s="152"/>
      <c r="L846" s="152"/>
      <c r="M846" s="152"/>
      <c r="N846" s="152"/>
      <c r="O846" s="152"/>
      <c r="P846" s="152"/>
      <c r="Q846" s="152"/>
      <c r="R846" s="152"/>
      <c r="S846" s="152"/>
      <c r="T846" s="152"/>
      <c r="U846" s="152"/>
      <c r="V846" s="152"/>
      <c r="W846" s="152"/>
      <c r="X846" s="152"/>
      <c r="Y846" s="152"/>
    </row>
    <row r="847">
      <c r="A847" s="152"/>
      <c r="B847" s="152"/>
      <c r="C847" s="152"/>
      <c r="D847" s="152"/>
      <c r="E847" s="152"/>
      <c r="F847" s="152"/>
      <c r="G847" s="152"/>
      <c r="H847" s="152"/>
      <c r="I847" s="152"/>
      <c r="J847" s="152"/>
      <c r="K847" s="152"/>
      <c r="L847" s="152"/>
      <c r="M847" s="152"/>
      <c r="N847" s="152"/>
      <c r="O847" s="152"/>
      <c r="P847" s="152"/>
      <c r="Q847" s="152"/>
      <c r="R847" s="152"/>
      <c r="S847" s="152"/>
      <c r="T847" s="152"/>
      <c r="U847" s="152"/>
      <c r="V847" s="152"/>
      <c r="W847" s="152"/>
      <c r="X847" s="152"/>
      <c r="Y847" s="152"/>
    </row>
    <row r="848">
      <c r="A848" s="152"/>
      <c r="B848" s="152"/>
      <c r="C848" s="152"/>
      <c r="D848" s="152"/>
      <c r="E848" s="152"/>
      <c r="F848" s="152"/>
      <c r="G848" s="152"/>
      <c r="H848" s="152"/>
      <c r="I848" s="152"/>
      <c r="J848" s="152"/>
      <c r="K848" s="152"/>
      <c r="L848" s="152"/>
      <c r="M848" s="152"/>
      <c r="N848" s="152"/>
      <c r="O848" s="152"/>
      <c r="P848" s="152"/>
      <c r="Q848" s="152"/>
      <c r="R848" s="152"/>
      <c r="S848" s="152"/>
      <c r="T848" s="152"/>
      <c r="U848" s="152"/>
      <c r="V848" s="152"/>
      <c r="W848" s="152"/>
      <c r="X848" s="152"/>
      <c r="Y848" s="152"/>
    </row>
    <row r="849">
      <c r="A849" s="152"/>
      <c r="B849" s="152"/>
      <c r="C849" s="152"/>
      <c r="D849" s="152"/>
      <c r="E849" s="152"/>
      <c r="F849" s="152"/>
      <c r="G849" s="152"/>
      <c r="H849" s="152"/>
      <c r="I849" s="152"/>
      <c r="J849" s="152"/>
      <c r="K849" s="152"/>
      <c r="L849" s="152"/>
      <c r="M849" s="152"/>
      <c r="N849" s="152"/>
      <c r="O849" s="152"/>
      <c r="P849" s="152"/>
      <c r="Q849" s="152"/>
      <c r="R849" s="152"/>
      <c r="S849" s="152"/>
      <c r="T849" s="152"/>
      <c r="U849" s="152"/>
      <c r="V849" s="152"/>
      <c r="W849" s="152"/>
      <c r="X849" s="152"/>
      <c r="Y849" s="152"/>
    </row>
    <row r="850">
      <c r="A850" s="152"/>
      <c r="B850" s="152"/>
      <c r="C850" s="152"/>
      <c r="D850" s="152"/>
      <c r="E850" s="152"/>
      <c r="F850" s="152"/>
      <c r="G850" s="152"/>
      <c r="H850" s="152"/>
      <c r="I850" s="152"/>
      <c r="J850" s="152"/>
      <c r="K850" s="152"/>
      <c r="L850" s="152"/>
      <c r="M850" s="152"/>
      <c r="N850" s="152"/>
      <c r="O850" s="152"/>
      <c r="P850" s="152"/>
      <c r="Q850" s="152"/>
      <c r="R850" s="152"/>
      <c r="S850" s="152"/>
      <c r="T850" s="152"/>
      <c r="U850" s="152"/>
      <c r="V850" s="152"/>
      <c r="W850" s="152"/>
      <c r="X850" s="152"/>
      <c r="Y850" s="152"/>
    </row>
    <row r="851">
      <c r="A851" s="152"/>
      <c r="B851" s="152"/>
      <c r="C851" s="152"/>
      <c r="D851" s="152"/>
      <c r="E851" s="152"/>
      <c r="F851" s="152"/>
      <c r="G851" s="152"/>
      <c r="H851" s="152"/>
      <c r="I851" s="152"/>
      <c r="J851" s="152"/>
      <c r="K851" s="152"/>
      <c r="L851" s="152"/>
      <c r="M851" s="152"/>
      <c r="N851" s="152"/>
      <c r="O851" s="152"/>
      <c r="P851" s="152"/>
      <c r="Q851" s="152"/>
      <c r="R851" s="152"/>
      <c r="S851" s="152"/>
      <c r="T851" s="152"/>
      <c r="U851" s="152"/>
      <c r="V851" s="152"/>
      <c r="W851" s="152"/>
      <c r="X851" s="152"/>
      <c r="Y851" s="152"/>
    </row>
    <row r="852">
      <c r="A852" s="152"/>
      <c r="B852" s="152"/>
      <c r="C852" s="152"/>
      <c r="D852" s="152"/>
      <c r="E852" s="152"/>
      <c r="F852" s="152"/>
      <c r="G852" s="152"/>
      <c r="H852" s="152"/>
      <c r="I852" s="152"/>
      <c r="J852" s="152"/>
      <c r="K852" s="152"/>
      <c r="L852" s="152"/>
      <c r="M852" s="152"/>
      <c r="N852" s="152"/>
      <c r="O852" s="152"/>
      <c r="P852" s="152"/>
      <c r="Q852" s="152"/>
      <c r="R852" s="152"/>
      <c r="S852" s="152"/>
      <c r="T852" s="152"/>
      <c r="U852" s="152"/>
      <c r="V852" s="152"/>
      <c r="W852" s="152"/>
      <c r="X852" s="152"/>
      <c r="Y852" s="152"/>
    </row>
    <row r="853">
      <c r="A853" s="152"/>
      <c r="B853" s="152"/>
      <c r="C853" s="152"/>
      <c r="D853" s="152"/>
      <c r="E853" s="152"/>
      <c r="F853" s="152"/>
      <c r="G853" s="152"/>
      <c r="H853" s="152"/>
      <c r="I853" s="152"/>
      <c r="J853" s="152"/>
      <c r="K853" s="152"/>
      <c r="L853" s="152"/>
      <c r="M853" s="152"/>
      <c r="N853" s="152"/>
      <c r="O853" s="152"/>
      <c r="P853" s="152"/>
      <c r="Q853" s="152"/>
      <c r="R853" s="152"/>
      <c r="S853" s="152"/>
      <c r="T853" s="152"/>
      <c r="U853" s="152"/>
      <c r="V853" s="152"/>
      <c r="W853" s="152"/>
      <c r="X853" s="152"/>
      <c r="Y853" s="152"/>
    </row>
    <row r="854">
      <c r="A854" s="152"/>
      <c r="B854" s="152"/>
      <c r="C854" s="152"/>
      <c r="D854" s="152"/>
      <c r="E854" s="152"/>
      <c r="F854" s="152"/>
      <c r="G854" s="152"/>
      <c r="H854" s="152"/>
      <c r="I854" s="152"/>
      <c r="J854" s="152"/>
      <c r="K854" s="152"/>
      <c r="L854" s="152"/>
      <c r="M854" s="152"/>
      <c r="N854" s="152"/>
      <c r="O854" s="152"/>
      <c r="P854" s="152"/>
      <c r="Q854" s="152"/>
      <c r="R854" s="152"/>
      <c r="S854" s="152"/>
      <c r="T854" s="152"/>
      <c r="U854" s="152"/>
      <c r="V854" s="152"/>
      <c r="W854" s="152"/>
      <c r="X854" s="152"/>
      <c r="Y854" s="152"/>
    </row>
    <row r="855">
      <c r="A855" s="152"/>
      <c r="B855" s="152"/>
      <c r="C855" s="152"/>
      <c r="D855" s="152"/>
      <c r="E855" s="152"/>
      <c r="F855" s="152"/>
      <c r="G855" s="152"/>
      <c r="H855" s="152"/>
      <c r="I855" s="152"/>
      <c r="J855" s="152"/>
      <c r="K855" s="152"/>
      <c r="L855" s="152"/>
      <c r="M855" s="152"/>
      <c r="N855" s="152"/>
      <c r="O855" s="152"/>
      <c r="P855" s="152"/>
      <c r="Q855" s="152"/>
      <c r="R855" s="152"/>
      <c r="S855" s="152"/>
      <c r="T855" s="152"/>
      <c r="U855" s="152"/>
      <c r="V855" s="152"/>
      <c r="W855" s="152"/>
      <c r="X855" s="152"/>
      <c r="Y855" s="152"/>
    </row>
    <row r="856">
      <c r="A856" s="152"/>
      <c r="B856" s="152"/>
      <c r="C856" s="152"/>
      <c r="D856" s="152"/>
      <c r="E856" s="152"/>
      <c r="F856" s="152"/>
      <c r="G856" s="152"/>
      <c r="H856" s="152"/>
      <c r="I856" s="152"/>
      <c r="J856" s="152"/>
      <c r="K856" s="152"/>
      <c r="L856" s="152"/>
      <c r="M856" s="152"/>
      <c r="N856" s="152"/>
      <c r="O856" s="152"/>
      <c r="P856" s="152"/>
      <c r="Q856" s="152"/>
      <c r="R856" s="152"/>
      <c r="S856" s="152"/>
      <c r="T856" s="152"/>
      <c r="U856" s="152"/>
      <c r="V856" s="152"/>
      <c r="W856" s="152"/>
      <c r="X856" s="152"/>
      <c r="Y856" s="152"/>
    </row>
    <row r="857">
      <c r="A857" s="152"/>
      <c r="B857" s="152"/>
      <c r="C857" s="152"/>
      <c r="D857" s="152"/>
      <c r="E857" s="152"/>
      <c r="F857" s="152"/>
      <c r="G857" s="152"/>
      <c r="H857" s="152"/>
      <c r="I857" s="152"/>
      <c r="J857" s="152"/>
      <c r="K857" s="152"/>
      <c r="L857" s="152"/>
      <c r="M857" s="152"/>
      <c r="N857" s="152"/>
      <c r="O857" s="152"/>
      <c r="P857" s="152"/>
      <c r="Q857" s="152"/>
      <c r="R857" s="152"/>
      <c r="S857" s="152"/>
      <c r="T857" s="152"/>
      <c r="U857" s="152"/>
      <c r="V857" s="152"/>
      <c r="W857" s="152"/>
      <c r="X857" s="152"/>
      <c r="Y857" s="152"/>
    </row>
    <row r="858">
      <c r="A858" s="152"/>
      <c r="B858" s="152"/>
      <c r="C858" s="152"/>
      <c r="D858" s="152"/>
      <c r="E858" s="152"/>
      <c r="F858" s="152"/>
      <c r="G858" s="152"/>
      <c r="H858" s="152"/>
      <c r="I858" s="152"/>
      <c r="J858" s="152"/>
      <c r="K858" s="152"/>
      <c r="L858" s="152"/>
      <c r="M858" s="152"/>
      <c r="N858" s="152"/>
      <c r="O858" s="152"/>
      <c r="P858" s="152"/>
      <c r="Q858" s="152"/>
      <c r="R858" s="152"/>
      <c r="S858" s="152"/>
      <c r="T858" s="152"/>
      <c r="U858" s="152"/>
      <c r="V858" s="152"/>
      <c r="W858" s="152"/>
      <c r="X858" s="152"/>
      <c r="Y858" s="152"/>
    </row>
    <row r="859">
      <c r="A859" s="152"/>
      <c r="B859" s="152"/>
      <c r="C859" s="152"/>
      <c r="D859" s="152"/>
      <c r="E859" s="152"/>
      <c r="F859" s="152"/>
      <c r="G859" s="152"/>
      <c r="H859" s="152"/>
      <c r="I859" s="152"/>
      <c r="J859" s="152"/>
      <c r="K859" s="152"/>
      <c r="L859" s="152"/>
      <c r="M859" s="152"/>
      <c r="N859" s="152"/>
      <c r="O859" s="152"/>
      <c r="P859" s="152"/>
      <c r="Q859" s="152"/>
      <c r="R859" s="152"/>
      <c r="S859" s="152"/>
      <c r="T859" s="152"/>
      <c r="U859" s="152"/>
      <c r="V859" s="152"/>
      <c r="W859" s="152"/>
      <c r="X859" s="152"/>
      <c r="Y859" s="152"/>
    </row>
    <row r="860">
      <c r="A860" s="152"/>
      <c r="B860" s="152"/>
      <c r="C860" s="152"/>
      <c r="D860" s="152"/>
      <c r="E860" s="152"/>
      <c r="F860" s="152"/>
      <c r="G860" s="152"/>
      <c r="H860" s="152"/>
      <c r="I860" s="152"/>
      <c r="J860" s="152"/>
      <c r="K860" s="152"/>
      <c r="L860" s="152"/>
      <c r="M860" s="152"/>
      <c r="N860" s="152"/>
      <c r="O860" s="152"/>
      <c r="P860" s="152"/>
      <c r="Q860" s="152"/>
      <c r="R860" s="152"/>
      <c r="S860" s="152"/>
      <c r="T860" s="152"/>
      <c r="U860" s="152"/>
      <c r="V860" s="152"/>
      <c r="W860" s="152"/>
      <c r="X860" s="152"/>
      <c r="Y860" s="152"/>
    </row>
    <row r="861">
      <c r="A861" s="152"/>
      <c r="B861" s="152"/>
      <c r="C861" s="152"/>
      <c r="D861" s="152"/>
      <c r="E861" s="152"/>
      <c r="F861" s="152"/>
      <c r="G861" s="152"/>
      <c r="H861" s="152"/>
      <c r="I861" s="152"/>
      <c r="J861" s="152"/>
      <c r="K861" s="152"/>
      <c r="L861" s="152"/>
      <c r="M861" s="152"/>
      <c r="N861" s="152"/>
      <c r="O861" s="152"/>
      <c r="P861" s="152"/>
      <c r="Q861" s="152"/>
      <c r="R861" s="152"/>
      <c r="S861" s="152"/>
      <c r="T861" s="152"/>
      <c r="U861" s="152"/>
      <c r="V861" s="152"/>
      <c r="W861" s="152"/>
      <c r="X861" s="152"/>
      <c r="Y861" s="152"/>
    </row>
    <row r="862">
      <c r="A862" s="152"/>
      <c r="B862" s="152"/>
      <c r="C862" s="152"/>
      <c r="D862" s="152"/>
      <c r="E862" s="152"/>
      <c r="F862" s="152"/>
      <c r="G862" s="152"/>
      <c r="H862" s="152"/>
      <c r="I862" s="152"/>
      <c r="J862" s="152"/>
      <c r="K862" s="152"/>
      <c r="L862" s="152"/>
      <c r="M862" s="152"/>
      <c r="N862" s="152"/>
      <c r="O862" s="152"/>
      <c r="P862" s="152"/>
      <c r="Q862" s="152"/>
      <c r="R862" s="152"/>
      <c r="S862" s="152"/>
      <c r="T862" s="152"/>
      <c r="U862" s="152"/>
      <c r="V862" s="152"/>
      <c r="W862" s="152"/>
      <c r="X862" s="152"/>
      <c r="Y862" s="152"/>
    </row>
    <row r="863">
      <c r="A863" s="152"/>
      <c r="B863" s="152"/>
      <c r="C863" s="152"/>
      <c r="D863" s="152"/>
      <c r="E863" s="152"/>
      <c r="F863" s="152"/>
      <c r="G863" s="152"/>
      <c r="H863" s="152"/>
      <c r="I863" s="152"/>
      <c r="J863" s="152"/>
      <c r="K863" s="152"/>
      <c r="L863" s="152"/>
      <c r="M863" s="152"/>
      <c r="N863" s="152"/>
      <c r="O863" s="152"/>
      <c r="P863" s="152"/>
      <c r="Q863" s="152"/>
      <c r="R863" s="152"/>
      <c r="S863" s="152"/>
      <c r="T863" s="152"/>
      <c r="U863" s="152"/>
      <c r="V863" s="152"/>
      <c r="W863" s="152"/>
      <c r="X863" s="152"/>
      <c r="Y863" s="152"/>
    </row>
    <row r="864">
      <c r="A864" s="152"/>
      <c r="B864" s="152"/>
      <c r="C864" s="152"/>
      <c r="D864" s="152"/>
      <c r="E864" s="152"/>
      <c r="F864" s="152"/>
      <c r="G864" s="152"/>
      <c r="H864" s="152"/>
      <c r="I864" s="152"/>
      <c r="J864" s="152"/>
      <c r="K864" s="152"/>
      <c r="L864" s="152"/>
      <c r="M864" s="152"/>
      <c r="N864" s="152"/>
      <c r="O864" s="152"/>
      <c r="P864" s="152"/>
      <c r="Q864" s="152"/>
      <c r="R864" s="152"/>
      <c r="S864" s="152"/>
      <c r="T864" s="152"/>
      <c r="U864" s="152"/>
      <c r="V864" s="152"/>
      <c r="W864" s="152"/>
      <c r="X864" s="152"/>
      <c r="Y864" s="152"/>
    </row>
    <row r="865">
      <c r="A865" s="152"/>
      <c r="B865" s="152"/>
      <c r="C865" s="152"/>
      <c r="D865" s="152"/>
      <c r="E865" s="152"/>
      <c r="F865" s="152"/>
      <c r="G865" s="152"/>
      <c r="H865" s="152"/>
      <c r="I865" s="152"/>
      <c r="J865" s="152"/>
      <c r="K865" s="152"/>
      <c r="L865" s="152"/>
      <c r="M865" s="152"/>
      <c r="N865" s="152"/>
      <c r="O865" s="152"/>
      <c r="P865" s="152"/>
      <c r="Q865" s="152"/>
      <c r="R865" s="152"/>
      <c r="S865" s="152"/>
      <c r="T865" s="152"/>
      <c r="U865" s="152"/>
      <c r="V865" s="152"/>
      <c r="W865" s="152"/>
      <c r="X865" s="152"/>
      <c r="Y865" s="152"/>
    </row>
    <row r="866">
      <c r="A866" s="152"/>
      <c r="B866" s="152"/>
      <c r="C866" s="152"/>
      <c r="D866" s="152"/>
      <c r="E866" s="152"/>
      <c r="F866" s="152"/>
      <c r="G866" s="152"/>
      <c r="H866" s="152"/>
      <c r="I866" s="152"/>
      <c r="J866" s="152"/>
      <c r="K866" s="152"/>
      <c r="L866" s="152"/>
      <c r="M866" s="152"/>
      <c r="N866" s="152"/>
      <c r="O866" s="152"/>
      <c r="P866" s="152"/>
      <c r="Q866" s="152"/>
      <c r="R866" s="152"/>
      <c r="S866" s="152"/>
      <c r="T866" s="152"/>
      <c r="U866" s="152"/>
      <c r="V866" s="152"/>
      <c r="W866" s="152"/>
      <c r="X866" s="152"/>
      <c r="Y866" s="152"/>
    </row>
    <row r="867">
      <c r="A867" s="152"/>
      <c r="B867" s="152"/>
      <c r="C867" s="152"/>
      <c r="D867" s="152"/>
      <c r="E867" s="152"/>
      <c r="F867" s="152"/>
      <c r="G867" s="152"/>
      <c r="H867" s="152"/>
      <c r="I867" s="152"/>
      <c r="J867" s="152"/>
      <c r="K867" s="152"/>
      <c r="L867" s="152"/>
      <c r="M867" s="152"/>
      <c r="N867" s="152"/>
      <c r="O867" s="152"/>
      <c r="P867" s="152"/>
      <c r="Q867" s="152"/>
      <c r="R867" s="152"/>
      <c r="S867" s="152"/>
      <c r="T867" s="152"/>
      <c r="U867" s="152"/>
      <c r="V867" s="152"/>
      <c r="W867" s="152"/>
      <c r="X867" s="152"/>
      <c r="Y867" s="152"/>
    </row>
    <row r="868">
      <c r="A868" s="152"/>
      <c r="B868" s="152"/>
      <c r="C868" s="152"/>
      <c r="D868" s="152"/>
      <c r="E868" s="152"/>
      <c r="F868" s="152"/>
      <c r="G868" s="152"/>
      <c r="H868" s="152"/>
      <c r="I868" s="152"/>
      <c r="J868" s="152"/>
      <c r="K868" s="152"/>
      <c r="L868" s="152"/>
      <c r="M868" s="152"/>
      <c r="N868" s="152"/>
      <c r="O868" s="152"/>
      <c r="P868" s="152"/>
      <c r="Q868" s="152"/>
      <c r="R868" s="152"/>
      <c r="S868" s="152"/>
      <c r="T868" s="152"/>
      <c r="U868" s="152"/>
      <c r="V868" s="152"/>
      <c r="W868" s="152"/>
      <c r="X868" s="152"/>
      <c r="Y868" s="152"/>
    </row>
    <row r="869">
      <c r="A869" s="152"/>
      <c r="B869" s="152"/>
      <c r="C869" s="152"/>
      <c r="D869" s="152"/>
      <c r="E869" s="152"/>
      <c r="F869" s="152"/>
      <c r="G869" s="152"/>
      <c r="H869" s="152"/>
      <c r="I869" s="152"/>
      <c r="J869" s="152"/>
      <c r="K869" s="152"/>
      <c r="L869" s="152"/>
      <c r="M869" s="152"/>
      <c r="N869" s="152"/>
      <c r="O869" s="152"/>
      <c r="P869" s="152"/>
      <c r="Q869" s="152"/>
      <c r="R869" s="152"/>
      <c r="S869" s="152"/>
      <c r="T869" s="152"/>
      <c r="U869" s="152"/>
      <c r="V869" s="152"/>
      <c r="W869" s="152"/>
      <c r="X869" s="152"/>
      <c r="Y869" s="152"/>
    </row>
    <row r="870">
      <c r="A870" s="152"/>
      <c r="B870" s="152"/>
      <c r="C870" s="152"/>
      <c r="D870" s="152"/>
      <c r="E870" s="152"/>
      <c r="F870" s="152"/>
      <c r="G870" s="152"/>
      <c r="H870" s="152"/>
      <c r="I870" s="152"/>
      <c r="J870" s="152"/>
      <c r="K870" s="152"/>
      <c r="L870" s="152"/>
      <c r="M870" s="152"/>
      <c r="N870" s="152"/>
      <c r="O870" s="152"/>
      <c r="P870" s="152"/>
      <c r="Q870" s="152"/>
      <c r="R870" s="152"/>
      <c r="S870" s="152"/>
      <c r="T870" s="152"/>
      <c r="U870" s="152"/>
      <c r="V870" s="152"/>
      <c r="W870" s="152"/>
      <c r="X870" s="152"/>
      <c r="Y870" s="152"/>
    </row>
    <row r="871">
      <c r="A871" s="152"/>
      <c r="B871" s="152"/>
      <c r="C871" s="152"/>
      <c r="D871" s="152"/>
      <c r="E871" s="152"/>
      <c r="F871" s="152"/>
      <c r="G871" s="152"/>
      <c r="H871" s="152"/>
      <c r="I871" s="152"/>
      <c r="J871" s="152"/>
      <c r="K871" s="152"/>
      <c r="L871" s="152"/>
      <c r="M871" s="152"/>
      <c r="N871" s="152"/>
      <c r="O871" s="152"/>
      <c r="P871" s="152"/>
      <c r="Q871" s="152"/>
      <c r="R871" s="152"/>
      <c r="S871" s="152"/>
      <c r="T871" s="152"/>
      <c r="U871" s="152"/>
      <c r="V871" s="152"/>
      <c r="W871" s="152"/>
      <c r="X871" s="152"/>
      <c r="Y871" s="152"/>
    </row>
    <row r="872">
      <c r="A872" s="152"/>
      <c r="B872" s="152"/>
      <c r="C872" s="152"/>
      <c r="D872" s="152"/>
      <c r="E872" s="152"/>
      <c r="F872" s="152"/>
      <c r="G872" s="152"/>
      <c r="H872" s="152"/>
      <c r="I872" s="152"/>
      <c r="J872" s="152"/>
      <c r="K872" s="152"/>
      <c r="L872" s="152"/>
      <c r="M872" s="152"/>
      <c r="N872" s="152"/>
      <c r="O872" s="152"/>
      <c r="P872" s="152"/>
      <c r="Q872" s="152"/>
      <c r="R872" s="152"/>
      <c r="S872" s="152"/>
      <c r="T872" s="152"/>
      <c r="U872" s="152"/>
      <c r="V872" s="152"/>
      <c r="W872" s="152"/>
      <c r="X872" s="152"/>
      <c r="Y872" s="152"/>
    </row>
    <row r="873">
      <c r="A873" s="152"/>
      <c r="B873" s="152"/>
      <c r="C873" s="152"/>
      <c r="D873" s="152"/>
      <c r="E873" s="152"/>
      <c r="F873" s="152"/>
      <c r="G873" s="152"/>
      <c r="H873" s="152"/>
      <c r="I873" s="152"/>
      <c r="J873" s="152"/>
      <c r="K873" s="152"/>
      <c r="L873" s="152"/>
      <c r="M873" s="152"/>
      <c r="N873" s="152"/>
      <c r="O873" s="152"/>
      <c r="P873" s="152"/>
      <c r="Q873" s="152"/>
      <c r="R873" s="152"/>
      <c r="S873" s="152"/>
      <c r="T873" s="152"/>
      <c r="U873" s="152"/>
      <c r="V873" s="152"/>
      <c r="W873" s="152"/>
      <c r="X873" s="152"/>
      <c r="Y873" s="152"/>
    </row>
    <row r="874">
      <c r="A874" s="152"/>
      <c r="B874" s="152"/>
      <c r="C874" s="152"/>
      <c r="D874" s="152"/>
      <c r="E874" s="152"/>
      <c r="F874" s="152"/>
      <c r="G874" s="152"/>
      <c r="H874" s="152"/>
      <c r="I874" s="152"/>
      <c r="J874" s="152"/>
      <c r="K874" s="152"/>
      <c r="L874" s="152"/>
      <c r="M874" s="152"/>
      <c r="N874" s="152"/>
      <c r="O874" s="152"/>
      <c r="P874" s="152"/>
      <c r="Q874" s="152"/>
      <c r="R874" s="152"/>
      <c r="S874" s="152"/>
      <c r="T874" s="152"/>
      <c r="U874" s="152"/>
      <c r="V874" s="152"/>
      <c r="W874" s="152"/>
      <c r="X874" s="152"/>
      <c r="Y874" s="152"/>
    </row>
    <row r="875">
      <c r="A875" s="152"/>
      <c r="B875" s="152"/>
      <c r="C875" s="152"/>
      <c r="D875" s="152"/>
      <c r="E875" s="152"/>
      <c r="F875" s="152"/>
      <c r="G875" s="152"/>
      <c r="H875" s="152"/>
      <c r="I875" s="152"/>
      <c r="J875" s="152"/>
      <c r="K875" s="152"/>
      <c r="L875" s="152"/>
      <c r="M875" s="152"/>
      <c r="N875" s="152"/>
      <c r="O875" s="152"/>
      <c r="P875" s="152"/>
      <c r="Q875" s="152"/>
      <c r="R875" s="152"/>
      <c r="S875" s="152"/>
      <c r="T875" s="152"/>
      <c r="U875" s="152"/>
      <c r="V875" s="152"/>
      <c r="W875" s="152"/>
      <c r="X875" s="152"/>
      <c r="Y875" s="152"/>
    </row>
    <row r="876">
      <c r="A876" s="152"/>
      <c r="B876" s="152"/>
      <c r="C876" s="152"/>
      <c r="D876" s="152"/>
      <c r="E876" s="152"/>
      <c r="F876" s="152"/>
      <c r="G876" s="152"/>
      <c r="H876" s="152"/>
      <c r="I876" s="152"/>
      <c r="J876" s="152"/>
      <c r="K876" s="152"/>
      <c r="L876" s="152"/>
      <c r="M876" s="152"/>
      <c r="N876" s="152"/>
      <c r="O876" s="152"/>
      <c r="P876" s="152"/>
      <c r="Q876" s="152"/>
      <c r="R876" s="152"/>
      <c r="S876" s="152"/>
      <c r="T876" s="152"/>
      <c r="U876" s="152"/>
      <c r="V876" s="152"/>
      <c r="W876" s="152"/>
      <c r="X876" s="152"/>
      <c r="Y876" s="152"/>
    </row>
    <row r="877">
      <c r="A877" s="152"/>
      <c r="B877" s="152"/>
      <c r="C877" s="152"/>
      <c r="D877" s="152"/>
      <c r="E877" s="152"/>
      <c r="F877" s="152"/>
      <c r="G877" s="152"/>
      <c r="H877" s="152"/>
      <c r="I877" s="152"/>
      <c r="J877" s="152"/>
      <c r="K877" s="152"/>
      <c r="L877" s="152"/>
      <c r="M877" s="152"/>
      <c r="N877" s="152"/>
      <c r="O877" s="152"/>
      <c r="P877" s="152"/>
      <c r="Q877" s="152"/>
      <c r="R877" s="152"/>
      <c r="S877" s="152"/>
      <c r="T877" s="152"/>
      <c r="U877" s="152"/>
      <c r="V877" s="152"/>
      <c r="W877" s="152"/>
      <c r="X877" s="152"/>
      <c r="Y877" s="152"/>
    </row>
    <row r="878">
      <c r="A878" s="152"/>
      <c r="B878" s="152"/>
      <c r="C878" s="152"/>
      <c r="D878" s="152"/>
      <c r="E878" s="152"/>
      <c r="F878" s="152"/>
      <c r="G878" s="152"/>
      <c r="H878" s="152"/>
      <c r="I878" s="152"/>
      <c r="J878" s="152"/>
      <c r="K878" s="152"/>
      <c r="L878" s="152"/>
      <c r="M878" s="152"/>
      <c r="N878" s="152"/>
      <c r="O878" s="152"/>
      <c r="P878" s="152"/>
      <c r="Q878" s="152"/>
      <c r="R878" s="152"/>
      <c r="S878" s="152"/>
      <c r="T878" s="152"/>
      <c r="U878" s="152"/>
      <c r="V878" s="152"/>
      <c r="W878" s="152"/>
      <c r="X878" s="152"/>
      <c r="Y878" s="152"/>
    </row>
    <row r="879">
      <c r="A879" s="152"/>
      <c r="B879" s="152"/>
      <c r="C879" s="152"/>
      <c r="D879" s="152"/>
      <c r="E879" s="152"/>
      <c r="F879" s="152"/>
      <c r="G879" s="152"/>
      <c r="H879" s="152"/>
      <c r="I879" s="152"/>
      <c r="J879" s="152"/>
      <c r="K879" s="152"/>
      <c r="L879" s="152"/>
      <c r="M879" s="152"/>
      <c r="N879" s="152"/>
      <c r="O879" s="152"/>
      <c r="P879" s="152"/>
      <c r="Q879" s="152"/>
      <c r="R879" s="152"/>
      <c r="S879" s="152"/>
      <c r="T879" s="152"/>
      <c r="U879" s="152"/>
      <c r="V879" s="152"/>
      <c r="W879" s="152"/>
      <c r="X879" s="152"/>
      <c r="Y879" s="152"/>
    </row>
    <row r="880">
      <c r="A880" s="152"/>
      <c r="B880" s="152"/>
      <c r="C880" s="152"/>
      <c r="D880" s="152"/>
      <c r="E880" s="152"/>
      <c r="F880" s="152"/>
      <c r="G880" s="152"/>
      <c r="H880" s="152"/>
      <c r="I880" s="152"/>
      <c r="J880" s="152"/>
      <c r="K880" s="152"/>
      <c r="L880" s="152"/>
      <c r="M880" s="152"/>
      <c r="N880" s="152"/>
      <c r="O880" s="152"/>
      <c r="P880" s="152"/>
      <c r="Q880" s="152"/>
      <c r="R880" s="152"/>
      <c r="S880" s="152"/>
      <c r="T880" s="152"/>
      <c r="U880" s="152"/>
      <c r="V880" s="152"/>
      <c r="W880" s="152"/>
      <c r="X880" s="152"/>
      <c r="Y880" s="152"/>
    </row>
    <row r="881">
      <c r="A881" s="152"/>
      <c r="B881" s="152"/>
      <c r="C881" s="152"/>
      <c r="D881" s="152"/>
      <c r="E881" s="152"/>
      <c r="F881" s="152"/>
      <c r="G881" s="152"/>
      <c r="H881" s="152"/>
      <c r="I881" s="152"/>
      <c r="J881" s="152"/>
      <c r="K881" s="152"/>
      <c r="L881" s="152"/>
      <c r="M881" s="152"/>
      <c r="N881" s="152"/>
      <c r="O881" s="152"/>
      <c r="P881" s="152"/>
      <c r="Q881" s="152"/>
      <c r="R881" s="152"/>
      <c r="S881" s="152"/>
      <c r="T881" s="152"/>
      <c r="U881" s="152"/>
      <c r="V881" s="152"/>
      <c r="W881" s="152"/>
      <c r="X881" s="152"/>
      <c r="Y881" s="152"/>
    </row>
    <row r="882">
      <c r="A882" s="152"/>
      <c r="B882" s="152"/>
      <c r="C882" s="152"/>
      <c r="D882" s="152"/>
      <c r="E882" s="152"/>
      <c r="F882" s="152"/>
      <c r="G882" s="152"/>
      <c r="H882" s="152"/>
      <c r="I882" s="152"/>
      <c r="J882" s="152"/>
      <c r="K882" s="152"/>
      <c r="L882" s="152"/>
      <c r="M882" s="152"/>
      <c r="N882" s="152"/>
      <c r="O882" s="152"/>
      <c r="P882" s="152"/>
      <c r="Q882" s="152"/>
      <c r="R882" s="152"/>
      <c r="S882" s="152"/>
      <c r="T882" s="152"/>
      <c r="U882" s="152"/>
      <c r="V882" s="152"/>
      <c r="W882" s="152"/>
      <c r="X882" s="152"/>
      <c r="Y882" s="152"/>
    </row>
    <row r="883">
      <c r="A883" s="152"/>
      <c r="B883" s="152"/>
      <c r="C883" s="152"/>
      <c r="D883" s="152"/>
      <c r="E883" s="152"/>
      <c r="F883" s="152"/>
      <c r="G883" s="152"/>
      <c r="H883" s="152"/>
      <c r="I883" s="152"/>
      <c r="J883" s="152"/>
      <c r="K883" s="152"/>
      <c r="L883" s="152"/>
      <c r="M883" s="152"/>
      <c r="N883" s="152"/>
      <c r="O883" s="152"/>
      <c r="P883" s="152"/>
      <c r="Q883" s="152"/>
      <c r="R883" s="152"/>
      <c r="S883" s="152"/>
      <c r="T883" s="152"/>
      <c r="U883" s="152"/>
      <c r="V883" s="152"/>
      <c r="W883" s="152"/>
      <c r="X883" s="152"/>
      <c r="Y883" s="152"/>
    </row>
    <row r="884">
      <c r="A884" s="152"/>
      <c r="B884" s="152"/>
      <c r="C884" s="152"/>
      <c r="D884" s="152"/>
      <c r="E884" s="152"/>
      <c r="F884" s="152"/>
      <c r="G884" s="152"/>
      <c r="H884" s="152"/>
      <c r="I884" s="152"/>
      <c r="J884" s="152"/>
      <c r="K884" s="152"/>
      <c r="L884" s="152"/>
      <c r="M884" s="152"/>
      <c r="N884" s="152"/>
      <c r="O884" s="152"/>
      <c r="P884" s="152"/>
      <c r="Q884" s="152"/>
      <c r="R884" s="152"/>
      <c r="S884" s="152"/>
      <c r="T884" s="152"/>
      <c r="U884" s="152"/>
      <c r="V884" s="152"/>
      <c r="W884" s="152"/>
      <c r="X884" s="152"/>
      <c r="Y884" s="152"/>
    </row>
    <row r="885">
      <c r="A885" s="152"/>
      <c r="B885" s="152"/>
      <c r="C885" s="152"/>
      <c r="D885" s="152"/>
      <c r="E885" s="152"/>
      <c r="F885" s="152"/>
      <c r="G885" s="152"/>
      <c r="H885" s="152"/>
      <c r="I885" s="152"/>
      <c r="J885" s="152"/>
      <c r="K885" s="152"/>
      <c r="L885" s="152"/>
      <c r="M885" s="152"/>
      <c r="N885" s="152"/>
      <c r="O885" s="152"/>
      <c r="P885" s="152"/>
      <c r="Q885" s="152"/>
      <c r="R885" s="152"/>
      <c r="S885" s="152"/>
      <c r="T885" s="152"/>
      <c r="U885" s="152"/>
      <c r="V885" s="152"/>
      <c r="W885" s="152"/>
      <c r="X885" s="152"/>
      <c r="Y885" s="152"/>
    </row>
    <row r="886">
      <c r="A886" s="152"/>
      <c r="B886" s="152"/>
      <c r="C886" s="152"/>
      <c r="D886" s="152"/>
      <c r="E886" s="152"/>
      <c r="F886" s="152"/>
      <c r="G886" s="152"/>
      <c r="H886" s="152"/>
      <c r="I886" s="152"/>
      <c r="J886" s="152"/>
      <c r="K886" s="152"/>
      <c r="L886" s="152"/>
      <c r="M886" s="152"/>
      <c r="N886" s="152"/>
      <c r="O886" s="152"/>
      <c r="P886" s="152"/>
      <c r="Q886" s="152"/>
      <c r="R886" s="152"/>
      <c r="S886" s="152"/>
      <c r="T886" s="152"/>
      <c r="U886" s="152"/>
      <c r="V886" s="152"/>
      <c r="W886" s="152"/>
      <c r="X886" s="152"/>
      <c r="Y886" s="152"/>
    </row>
    <row r="887">
      <c r="A887" s="152"/>
      <c r="B887" s="152"/>
      <c r="C887" s="152"/>
      <c r="D887" s="152"/>
      <c r="E887" s="152"/>
      <c r="F887" s="152"/>
      <c r="G887" s="152"/>
      <c r="H887" s="152"/>
      <c r="I887" s="152"/>
      <c r="J887" s="152"/>
      <c r="K887" s="152"/>
      <c r="L887" s="152"/>
      <c r="M887" s="152"/>
      <c r="N887" s="152"/>
      <c r="O887" s="152"/>
      <c r="P887" s="152"/>
      <c r="Q887" s="152"/>
      <c r="R887" s="152"/>
      <c r="S887" s="152"/>
      <c r="T887" s="152"/>
      <c r="U887" s="152"/>
      <c r="V887" s="152"/>
      <c r="W887" s="152"/>
      <c r="X887" s="152"/>
      <c r="Y887" s="152"/>
    </row>
    <row r="888">
      <c r="A888" s="152"/>
      <c r="B888" s="152"/>
      <c r="C888" s="152"/>
      <c r="D888" s="152"/>
      <c r="E888" s="152"/>
      <c r="F888" s="152"/>
      <c r="G888" s="152"/>
      <c r="H888" s="152"/>
      <c r="I888" s="152"/>
      <c r="J888" s="152"/>
      <c r="K888" s="152"/>
      <c r="L888" s="152"/>
      <c r="M888" s="152"/>
      <c r="N888" s="152"/>
      <c r="O888" s="152"/>
      <c r="P888" s="152"/>
      <c r="Q888" s="152"/>
      <c r="R888" s="152"/>
      <c r="S888" s="152"/>
      <c r="T888" s="152"/>
      <c r="U888" s="152"/>
      <c r="V888" s="152"/>
      <c r="W888" s="152"/>
      <c r="X888" s="152"/>
      <c r="Y888" s="152"/>
    </row>
    <row r="889">
      <c r="A889" s="152"/>
      <c r="B889" s="152"/>
      <c r="C889" s="152"/>
      <c r="D889" s="152"/>
      <c r="E889" s="152"/>
      <c r="F889" s="152"/>
      <c r="G889" s="152"/>
      <c r="H889" s="152"/>
      <c r="I889" s="152"/>
      <c r="J889" s="152"/>
      <c r="K889" s="152"/>
      <c r="L889" s="152"/>
      <c r="M889" s="152"/>
      <c r="N889" s="152"/>
      <c r="O889" s="152"/>
      <c r="P889" s="152"/>
      <c r="Q889" s="152"/>
      <c r="R889" s="152"/>
      <c r="S889" s="152"/>
      <c r="T889" s="152"/>
      <c r="U889" s="152"/>
      <c r="V889" s="152"/>
      <c r="W889" s="152"/>
      <c r="X889" s="152"/>
      <c r="Y889" s="152"/>
    </row>
    <row r="890">
      <c r="A890" s="152"/>
      <c r="B890" s="152"/>
      <c r="C890" s="152"/>
      <c r="D890" s="152"/>
      <c r="E890" s="152"/>
      <c r="F890" s="152"/>
      <c r="G890" s="152"/>
      <c r="H890" s="152"/>
      <c r="I890" s="152"/>
      <c r="J890" s="152"/>
      <c r="K890" s="152"/>
      <c r="L890" s="152"/>
      <c r="M890" s="152"/>
      <c r="N890" s="152"/>
      <c r="O890" s="152"/>
      <c r="P890" s="152"/>
      <c r="Q890" s="152"/>
      <c r="R890" s="152"/>
      <c r="S890" s="152"/>
      <c r="T890" s="152"/>
      <c r="U890" s="152"/>
      <c r="V890" s="152"/>
      <c r="W890" s="152"/>
      <c r="X890" s="152"/>
      <c r="Y890" s="152"/>
    </row>
    <row r="891">
      <c r="A891" s="152"/>
      <c r="B891" s="152"/>
      <c r="C891" s="152"/>
      <c r="D891" s="152"/>
      <c r="E891" s="152"/>
      <c r="F891" s="152"/>
      <c r="G891" s="152"/>
      <c r="H891" s="152"/>
      <c r="I891" s="152"/>
      <c r="J891" s="152"/>
      <c r="K891" s="152"/>
      <c r="L891" s="152"/>
      <c r="M891" s="152"/>
      <c r="N891" s="152"/>
      <c r="O891" s="152"/>
      <c r="P891" s="152"/>
      <c r="Q891" s="152"/>
      <c r="R891" s="152"/>
      <c r="S891" s="152"/>
      <c r="T891" s="152"/>
      <c r="U891" s="152"/>
      <c r="V891" s="152"/>
      <c r="W891" s="152"/>
      <c r="X891" s="152"/>
      <c r="Y891" s="152"/>
    </row>
    <row r="892">
      <c r="A892" s="152"/>
      <c r="B892" s="152"/>
      <c r="C892" s="152"/>
      <c r="D892" s="152"/>
      <c r="E892" s="152"/>
      <c r="F892" s="152"/>
      <c r="G892" s="152"/>
      <c r="H892" s="152"/>
      <c r="I892" s="152"/>
      <c r="J892" s="152"/>
      <c r="K892" s="152"/>
      <c r="L892" s="152"/>
      <c r="M892" s="152"/>
      <c r="N892" s="152"/>
      <c r="O892" s="152"/>
      <c r="P892" s="152"/>
      <c r="Q892" s="152"/>
      <c r="R892" s="152"/>
      <c r="S892" s="152"/>
      <c r="T892" s="152"/>
      <c r="U892" s="152"/>
      <c r="V892" s="152"/>
      <c r="W892" s="152"/>
      <c r="X892" s="152"/>
      <c r="Y892" s="152"/>
    </row>
    <row r="893">
      <c r="A893" s="152"/>
      <c r="B893" s="152"/>
      <c r="C893" s="152"/>
      <c r="D893" s="152"/>
      <c r="E893" s="152"/>
      <c r="F893" s="152"/>
      <c r="G893" s="152"/>
      <c r="H893" s="152"/>
      <c r="I893" s="152"/>
      <c r="J893" s="152"/>
      <c r="K893" s="152"/>
      <c r="L893" s="152"/>
      <c r="M893" s="152"/>
      <c r="N893" s="152"/>
      <c r="O893" s="152"/>
      <c r="P893" s="152"/>
      <c r="Q893" s="152"/>
      <c r="R893" s="152"/>
      <c r="S893" s="152"/>
      <c r="T893" s="152"/>
      <c r="U893" s="152"/>
      <c r="V893" s="152"/>
      <c r="W893" s="152"/>
      <c r="X893" s="152"/>
      <c r="Y893" s="152"/>
    </row>
    <row r="894">
      <c r="A894" s="152"/>
      <c r="B894" s="152"/>
      <c r="C894" s="152"/>
      <c r="D894" s="152"/>
      <c r="E894" s="152"/>
      <c r="F894" s="152"/>
      <c r="G894" s="152"/>
      <c r="H894" s="152"/>
      <c r="I894" s="152"/>
      <c r="J894" s="152"/>
      <c r="K894" s="152"/>
      <c r="L894" s="152"/>
      <c r="M894" s="152"/>
      <c r="N894" s="152"/>
      <c r="O894" s="152"/>
      <c r="P894" s="152"/>
      <c r="Q894" s="152"/>
      <c r="R894" s="152"/>
      <c r="S894" s="152"/>
      <c r="T894" s="152"/>
      <c r="U894" s="152"/>
      <c r="V894" s="152"/>
      <c r="W894" s="152"/>
      <c r="X894" s="152"/>
      <c r="Y894" s="152"/>
    </row>
    <row r="895">
      <c r="A895" s="152"/>
      <c r="B895" s="152"/>
      <c r="C895" s="152"/>
      <c r="D895" s="152"/>
      <c r="E895" s="152"/>
      <c r="F895" s="152"/>
      <c r="G895" s="152"/>
      <c r="H895" s="152"/>
      <c r="I895" s="152"/>
      <c r="J895" s="152"/>
      <c r="K895" s="152"/>
      <c r="L895" s="152"/>
      <c r="M895" s="152"/>
      <c r="N895" s="152"/>
      <c r="O895" s="152"/>
      <c r="P895" s="152"/>
      <c r="Q895" s="152"/>
      <c r="R895" s="152"/>
      <c r="S895" s="152"/>
      <c r="T895" s="152"/>
      <c r="U895" s="152"/>
      <c r="V895" s="152"/>
      <c r="W895" s="152"/>
      <c r="X895" s="152"/>
      <c r="Y895" s="152"/>
    </row>
    <row r="896">
      <c r="A896" s="152"/>
      <c r="B896" s="152"/>
      <c r="C896" s="152"/>
      <c r="D896" s="152"/>
      <c r="E896" s="152"/>
      <c r="F896" s="152"/>
      <c r="G896" s="152"/>
      <c r="H896" s="152"/>
      <c r="I896" s="152"/>
      <c r="J896" s="152"/>
      <c r="K896" s="152"/>
      <c r="L896" s="152"/>
      <c r="M896" s="152"/>
      <c r="N896" s="152"/>
      <c r="O896" s="152"/>
      <c r="P896" s="152"/>
      <c r="Q896" s="152"/>
      <c r="R896" s="152"/>
      <c r="S896" s="152"/>
      <c r="T896" s="152"/>
      <c r="U896" s="152"/>
      <c r="V896" s="152"/>
      <c r="W896" s="152"/>
      <c r="X896" s="152"/>
      <c r="Y896" s="152"/>
    </row>
    <row r="897">
      <c r="A897" s="152"/>
      <c r="B897" s="152"/>
      <c r="C897" s="152"/>
      <c r="D897" s="152"/>
      <c r="E897" s="152"/>
      <c r="F897" s="152"/>
      <c r="G897" s="152"/>
      <c r="H897" s="152"/>
      <c r="I897" s="152"/>
      <c r="J897" s="152"/>
      <c r="K897" s="152"/>
      <c r="L897" s="152"/>
      <c r="M897" s="152"/>
      <c r="N897" s="152"/>
      <c r="O897" s="152"/>
      <c r="P897" s="152"/>
      <c r="Q897" s="152"/>
      <c r="R897" s="152"/>
      <c r="S897" s="152"/>
      <c r="T897" s="152"/>
      <c r="U897" s="152"/>
      <c r="V897" s="152"/>
      <c r="W897" s="152"/>
      <c r="X897" s="152"/>
      <c r="Y897" s="152"/>
    </row>
    <row r="898">
      <c r="A898" s="152"/>
      <c r="B898" s="152"/>
      <c r="C898" s="152"/>
      <c r="D898" s="152"/>
      <c r="E898" s="152"/>
      <c r="F898" s="152"/>
      <c r="G898" s="152"/>
      <c r="H898" s="152"/>
      <c r="I898" s="152"/>
      <c r="J898" s="152"/>
      <c r="K898" s="152"/>
      <c r="L898" s="152"/>
      <c r="M898" s="152"/>
      <c r="N898" s="152"/>
      <c r="O898" s="152"/>
      <c r="P898" s="152"/>
      <c r="Q898" s="152"/>
      <c r="R898" s="152"/>
      <c r="S898" s="152"/>
      <c r="T898" s="152"/>
      <c r="U898" s="152"/>
      <c r="V898" s="152"/>
      <c r="W898" s="152"/>
      <c r="X898" s="152"/>
      <c r="Y898" s="152"/>
    </row>
    <row r="899">
      <c r="A899" s="152"/>
      <c r="B899" s="152"/>
      <c r="C899" s="152"/>
      <c r="D899" s="152"/>
      <c r="E899" s="152"/>
      <c r="F899" s="152"/>
      <c r="G899" s="152"/>
      <c r="H899" s="152"/>
      <c r="I899" s="152"/>
      <c r="J899" s="152"/>
      <c r="K899" s="152"/>
      <c r="L899" s="152"/>
      <c r="M899" s="152"/>
      <c r="N899" s="152"/>
      <c r="O899" s="152"/>
      <c r="P899" s="152"/>
      <c r="Q899" s="152"/>
      <c r="R899" s="152"/>
      <c r="S899" s="152"/>
      <c r="T899" s="152"/>
      <c r="U899" s="152"/>
      <c r="V899" s="152"/>
      <c r="W899" s="152"/>
      <c r="X899" s="152"/>
      <c r="Y899" s="152"/>
    </row>
    <row r="900">
      <c r="A900" s="152"/>
      <c r="B900" s="152"/>
      <c r="C900" s="152"/>
      <c r="D900" s="152"/>
      <c r="E900" s="152"/>
      <c r="F900" s="152"/>
      <c r="G900" s="152"/>
      <c r="H900" s="152"/>
      <c r="I900" s="152"/>
      <c r="J900" s="152"/>
      <c r="K900" s="152"/>
      <c r="L900" s="152"/>
      <c r="M900" s="152"/>
      <c r="N900" s="152"/>
      <c r="O900" s="152"/>
      <c r="P900" s="152"/>
      <c r="Q900" s="152"/>
      <c r="R900" s="152"/>
      <c r="S900" s="152"/>
      <c r="T900" s="152"/>
      <c r="U900" s="152"/>
      <c r="V900" s="152"/>
      <c r="W900" s="152"/>
      <c r="X900" s="152"/>
      <c r="Y900" s="152"/>
    </row>
    <row r="901">
      <c r="A901" s="152"/>
      <c r="B901" s="152"/>
      <c r="C901" s="152"/>
      <c r="D901" s="152"/>
      <c r="E901" s="152"/>
      <c r="F901" s="152"/>
      <c r="G901" s="152"/>
      <c r="H901" s="152"/>
      <c r="I901" s="152"/>
      <c r="J901" s="152"/>
      <c r="K901" s="152"/>
      <c r="L901" s="152"/>
      <c r="M901" s="152"/>
      <c r="N901" s="152"/>
      <c r="O901" s="152"/>
      <c r="P901" s="152"/>
      <c r="Q901" s="152"/>
      <c r="R901" s="152"/>
      <c r="S901" s="152"/>
      <c r="T901" s="152"/>
      <c r="U901" s="152"/>
      <c r="V901" s="152"/>
      <c r="W901" s="152"/>
      <c r="X901" s="152"/>
      <c r="Y901" s="152"/>
    </row>
    <row r="902">
      <c r="A902" s="152"/>
      <c r="B902" s="152"/>
      <c r="C902" s="152"/>
      <c r="D902" s="152"/>
      <c r="E902" s="152"/>
      <c r="F902" s="152"/>
      <c r="G902" s="152"/>
      <c r="H902" s="152"/>
      <c r="I902" s="152"/>
      <c r="J902" s="152"/>
      <c r="K902" s="152"/>
      <c r="L902" s="152"/>
      <c r="M902" s="152"/>
      <c r="N902" s="152"/>
      <c r="O902" s="152"/>
      <c r="P902" s="152"/>
      <c r="Q902" s="152"/>
      <c r="R902" s="152"/>
      <c r="S902" s="152"/>
      <c r="T902" s="152"/>
      <c r="U902" s="152"/>
      <c r="V902" s="152"/>
      <c r="W902" s="152"/>
      <c r="X902" s="152"/>
      <c r="Y902" s="152"/>
    </row>
    <row r="903">
      <c r="A903" s="152"/>
      <c r="B903" s="152"/>
      <c r="C903" s="152"/>
      <c r="D903" s="152"/>
      <c r="E903" s="152"/>
      <c r="F903" s="152"/>
      <c r="G903" s="152"/>
      <c r="H903" s="152"/>
      <c r="I903" s="152"/>
      <c r="J903" s="152"/>
      <c r="K903" s="152"/>
      <c r="L903" s="152"/>
      <c r="M903" s="152"/>
      <c r="N903" s="152"/>
      <c r="O903" s="152"/>
      <c r="P903" s="152"/>
      <c r="Q903" s="152"/>
      <c r="R903" s="152"/>
      <c r="S903" s="152"/>
      <c r="T903" s="152"/>
      <c r="U903" s="152"/>
      <c r="V903" s="152"/>
      <c r="W903" s="152"/>
      <c r="X903" s="152"/>
      <c r="Y903" s="152"/>
    </row>
    <row r="904">
      <c r="A904" s="152"/>
      <c r="B904" s="152"/>
      <c r="C904" s="152"/>
      <c r="D904" s="152"/>
      <c r="E904" s="152"/>
      <c r="F904" s="152"/>
      <c r="G904" s="152"/>
      <c r="H904" s="152"/>
      <c r="I904" s="152"/>
      <c r="J904" s="152"/>
      <c r="K904" s="152"/>
      <c r="L904" s="152"/>
      <c r="M904" s="152"/>
      <c r="N904" s="152"/>
      <c r="O904" s="152"/>
      <c r="P904" s="152"/>
      <c r="Q904" s="152"/>
      <c r="R904" s="152"/>
      <c r="S904" s="152"/>
      <c r="T904" s="152"/>
      <c r="U904" s="152"/>
      <c r="V904" s="152"/>
      <c r="W904" s="152"/>
      <c r="X904" s="152"/>
      <c r="Y904" s="152"/>
    </row>
    <row r="905">
      <c r="A905" s="152"/>
      <c r="B905" s="152"/>
      <c r="C905" s="152"/>
      <c r="D905" s="152"/>
      <c r="E905" s="152"/>
      <c r="F905" s="152"/>
      <c r="G905" s="152"/>
      <c r="H905" s="152"/>
      <c r="I905" s="152"/>
      <c r="J905" s="152"/>
      <c r="K905" s="152"/>
      <c r="L905" s="152"/>
      <c r="M905" s="152"/>
      <c r="N905" s="152"/>
      <c r="O905" s="152"/>
      <c r="P905" s="152"/>
      <c r="Q905" s="152"/>
      <c r="R905" s="152"/>
      <c r="S905" s="152"/>
      <c r="T905" s="152"/>
      <c r="U905" s="152"/>
      <c r="V905" s="152"/>
      <c r="W905" s="152"/>
      <c r="X905" s="152"/>
      <c r="Y905" s="152"/>
    </row>
    <row r="906">
      <c r="A906" s="152"/>
      <c r="B906" s="152"/>
      <c r="C906" s="152"/>
      <c r="D906" s="152"/>
      <c r="E906" s="152"/>
      <c r="F906" s="152"/>
      <c r="G906" s="152"/>
      <c r="H906" s="152"/>
      <c r="I906" s="152"/>
      <c r="J906" s="152"/>
      <c r="K906" s="152"/>
      <c r="L906" s="152"/>
      <c r="M906" s="152"/>
      <c r="N906" s="152"/>
      <c r="O906" s="152"/>
      <c r="P906" s="152"/>
      <c r="Q906" s="152"/>
      <c r="R906" s="152"/>
      <c r="S906" s="152"/>
      <c r="T906" s="152"/>
      <c r="U906" s="152"/>
      <c r="V906" s="152"/>
      <c r="W906" s="152"/>
      <c r="X906" s="152"/>
      <c r="Y906" s="152"/>
    </row>
    <row r="907">
      <c r="A907" s="152"/>
      <c r="B907" s="152"/>
      <c r="C907" s="152"/>
      <c r="D907" s="152"/>
      <c r="E907" s="152"/>
      <c r="F907" s="152"/>
      <c r="G907" s="152"/>
      <c r="H907" s="152"/>
      <c r="I907" s="152"/>
      <c r="J907" s="152"/>
      <c r="K907" s="152"/>
      <c r="L907" s="152"/>
      <c r="M907" s="152"/>
      <c r="N907" s="152"/>
      <c r="O907" s="152"/>
      <c r="P907" s="152"/>
      <c r="Q907" s="152"/>
      <c r="R907" s="152"/>
      <c r="S907" s="152"/>
      <c r="T907" s="152"/>
      <c r="U907" s="152"/>
      <c r="V907" s="152"/>
      <c r="W907" s="152"/>
      <c r="X907" s="152"/>
      <c r="Y907" s="152"/>
    </row>
    <row r="908">
      <c r="A908" s="152"/>
      <c r="B908" s="152"/>
      <c r="C908" s="152"/>
      <c r="D908" s="152"/>
      <c r="E908" s="152"/>
      <c r="F908" s="152"/>
      <c r="G908" s="152"/>
      <c r="H908" s="152"/>
      <c r="I908" s="152"/>
      <c r="J908" s="152"/>
      <c r="K908" s="152"/>
      <c r="L908" s="152"/>
      <c r="M908" s="152"/>
      <c r="N908" s="152"/>
      <c r="O908" s="152"/>
      <c r="P908" s="152"/>
      <c r="Q908" s="152"/>
      <c r="R908" s="152"/>
      <c r="S908" s="152"/>
      <c r="T908" s="152"/>
      <c r="U908" s="152"/>
      <c r="V908" s="152"/>
      <c r="W908" s="152"/>
      <c r="X908" s="152"/>
      <c r="Y908" s="152"/>
    </row>
    <row r="909">
      <c r="A909" s="152"/>
      <c r="B909" s="152"/>
      <c r="C909" s="152"/>
      <c r="D909" s="152"/>
      <c r="E909" s="152"/>
      <c r="F909" s="152"/>
      <c r="G909" s="152"/>
      <c r="H909" s="152"/>
      <c r="I909" s="152"/>
      <c r="J909" s="152"/>
      <c r="K909" s="152"/>
      <c r="L909" s="152"/>
      <c r="M909" s="152"/>
      <c r="N909" s="152"/>
      <c r="O909" s="152"/>
      <c r="P909" s="152"/>
      <c r="Q909" s="152"/>
      <c r="R909" s="152"/>
      <c r="S909" s="152"/>
      <c r="T909" s="152"/>
      <c r="U909" s="152"/>
      <c r="V909" s="152"/>
      <c r="W909" s="152"/>
      <c r="X909" s="152"/>
      <c r="Y909" s="152"/>
    </row>
    <row r="910">
      <c r="A910" s="152"/>
      <c r="B910" s="152"/>
      <c r="C910" s="152"/>
      <c r="D910" s="152"/>
      <c r="E910" s="152"/>
      <c r="F910" s="152"/>
      <c r="G910" s="152"/>
      <c r="H910" s="152"/>
      <c r="I910" s="152"/>
      <c r="J910" s="152"/>
      <c r="K910" s="152"/>
      <c r="L910" s="152"/>
      <c r="M910" s="152"/>
      <c r="N910" s="152"/>
      <c r="O910" s="152"/>
      <c r="P910" s="152"/>
      <c r="Q910" s="152"/>
      <c r="R910" s="152"/>
      <c r="S910" s="152"/>
      <c r="T910" s="152"/>
      <c r="U910" s="152"/>
      <c r="V910" s="152"/>
      <c r="W910" s="152"/>
      <c r="X910" s="152"/>
      <c r="Y910" s="152"/>
    </row>
    <row r="911">
      <c r="A911" s="152"/>
      <c r="B911" s="152"/>
      <c r="C911" s="152"/>
      <c r="D911" s="152"/>
      <c r="E911" s="152"/>
      <c r="F911" s="152"/>
      <c r="G911" s="152"/>
      <c r="H911" s="152"/>
      <c r="I911" s="152"/>
      <c r="J911" s="152"/>
      <c r="K911" s="152"/>
      <c r="L911" s="152"/>
      <c r="M911" s="152"/>
      <c r="N911" s="152"/>
      <c r="O911" s="152"/>
      <c r="P911" s="152"/>
      <c r="Q911" s="152"/>
      <c r="R911" s="152"/>
      <c r="S911" s="152"/>
      <c r="T911" s="152"/>
      <c r="U911" s="152"/>
      <c r="V911" s="152"/>
      <c r="W911" s="152"/>
      <c r="X911" s="152"/>
      <c r="Y911" s="152"/>
    </row>
    <row r="912">
      <c r="A912" s="152"/>
      <c r="B912" s="152"/>
      <c r="C912" s="152"/>
      <c r="D912" s="152"/>
      <c r="E912" s="152"/>
      <c r="F912" s="152"/>
      <c r="G912" s="152"/>
      <c r="H912" s="152"/>
      <c r="I912" s="152"/>
      <c r="J912" s="152"/>
      <c r="K912" s="152"/>
      <c r="L912" s="152"/>
      <c r="M912" s="152"/>
      <c r="N912" s="152"/>
      <c r="O912" s="152"/>
      <c r="P912" s="152"/>
      <c r="Q912" s="152"/>
      <c r="R912" s="152"/>
      <c r="S912" s="152"/>
      <c r="T912" s="152"/>
      <c r="U912" s="152"/>
      <c r="V912" s="152"/>
      <c r="W912" s="152"/>
      <c r="X912" s="152"/>
      <c r="Y912" s="152"/>
    </row>
    <row r="913">
      <c r="A913" s="152"/>
      <c r="B913" s="152"/>
      <c r="C913" s="152"/>
      <c r="D913" s="152"/>
      <c r="E913" s="152"/>
      <c r="F913" s="152"/>
      <c r="G913" s="152"/>
      <c r="H913" s="152"/>
      <c r="I913" s="152"/>
      <c r="J913" s="152"/>
      <c r="K913" s="152"/>
      <c r="L913" s="152"/>
      <c r="M913" s="152"/>
      <c r="N913" s="152"/>
      <c r="O913" s="152"/>
      <c r="P913" s="152"/>
      <c r="Q913" s="152"/>
      <c r="R913" s="152"/>
      <c r="S913" s="152"/>
      <c r="T913" s="152"/>
      <c r="U913" s="152"/>
      <c r="V913" s="152"/>
      <c r="W913" s="152"/>
      <c r="X913" s="152"/>
      <c r="Y913" s="152"/>
    </row>
    <row r="914">
      <c r="A914" s="152"/>
      <c r="B914" s="152"/>
      <c r="C914" s="152"/>
      <c r="D914" s="152"/>
      <c r="E914" s="152"/>
      <c r="F914" s="152"/>
      <c r="G914" s="152"/>
      <c r="H914" s="152"/>
      <c r="I914" s="152"/>
      <c r="J914" s="152"/>
      <c r="K914" s="152"/>
      <c r="L914" s="152"/>
      <c r="M914" s="152"/>
      <c r="N914" s="152"/>
      <c r="O914" s="152"/>
      <c r="P914" s="152"/>
      <c r="Q914" s="152"/>
      <c r="R914" s="152"/>
      <c r="S914" s="152"/>
      <c r="T914" s="152"/>
      <c r="U914" s="152"/>
      <c r="V914" s="152"/>
      <c r="W914" s="152"/>
      <c r="X914" s="152"/>
      <c r="Y914" s="152"/>
    </row>
    <row r="915">
      <c r="A915" s="152"/>
      <c r="B915" s="152"/>
      <c r="C915" s="152"/>
      <c r="D915" s="152"/>
      <c r="E915" s="152"/>
      <c r="F915" s="152"/>
      <c r="G915" s="152"/>
      <c r="H915" s="152"/>
      <c r="I915" s="152"/>
      <c r="J915" s="152"/>
      <c r="K915" s="152"/>
      <c r="L915" s="152"/>
      <c r="M915" s="152"/>
      <c r="N915" s="152"/>
      <c r="O915" s="152"/>
      <c r="P915" s="152"/>
      <c r="Q915" s="152"/>
      <c r="R915" s="152"/>
      <c r="S915" s="152"/>
      <c r="T915" s="152"/>
      <c r="U915" s="152"/>
      <c r="V915" s="152"/>
      <c r="W915" s="152"/>
      <c r="X915" s="152"/>
      <c r="Y915" s="152"/>
    </row>
    <row r="916">
      <c r="A916" s="152"/>
      <c r="B916" s="152"/>
      <c r="C916" s="152"/>
      <c r="D916" s="152"/>
      <c r="E916" s="152"/>
      <c r="F916" s="152"/>
      <c r="G916" s="152"/>
      <c r="H916" s="152"/>
      <c r="I916" s="152"/>
      <c r="J916" s="152"/>
      <c r="K916" s="152"/>
      <c r="L916" s="152"/>
      <c r="M916" s="152"/>
      <c r="N916" s="152"/>
      <c r="O916" s="152"/>
      <c r="P916" s="152"/>
      <c r="Q916" s="152"/>
      <c r="R916" s="152"/>
      <c r="S916" s="152"/>
      <c r="T916" s="152"/>
      <c r="U916" s="152"/>
      <c r="V916" s="152"/>
      <c r="W916" s="152"/>
      <c r="X916" s="152"/>
      <c r="Y916" s="152"/>
    </row>
    <row r="917">
      <c r="A917" s="152"/>
      <c r="B917" s="152"/>
      <c r="C917" s="152"/>
      <c r="D917" s="152"/>
      <c r="E917" s="152"/>
      <c r="F917" s="152"/>
      <c r="G917" s="152"/>
      <c r="H917" s="152"/>
      <c r="I917" s="152"/>
      <c r="J917" s="152"/>
      <c r="K917" s="152"/>
      <c r="L917" s="152"/>
      <c r="M917" s="152"/>
      <c r="N917" s="152"/>
      <c r="O917" s="152"/>
      <c r="P917" s="152"/>
      <c r="Q917" s="152"/>
      <c r="R917" s="152"/>
      <c r="S917" s="152"/>
      <c r="T917" s="152"/>
      <c r="U917" s="152"/>
      <c r="V917" s="152"/>
      <c r="W917" s="152"/>
      <c r="X917" s="152"/>
      <c r="Y917" s="152"/>
    </row>
    <row r="918">
      <c r="A918" s="152"/>
      <c r="B918" s="152"/>
      <c r="C918" s="152"/>
      <c r="D918" s="152"/>
      <c r="E918" s="152"/>
      <c r="F918" s="152"/>
      <c r="G918" s="152"/>
      <c r="H918" s="152"/>
      <c r="I918" s="152"/>
      <c r="J918" s="152"/>
      <c r="K918" s="152"/>
      <c r="L918" s="152"/>
      <c r="M918" s="152"/>
      <c r="N918" s="152"/>
      <c r="O918" s="152"/>
      <c r="P918" s="152"/>
      <c r="Q918" s="152"/>
      <c r="R918" s="152"/>
      <c r="S918" s="152"/>
      <c r="T918" s="152"/>
      <c r="U918" s="152"/>
      <c r="V918" s="152"/>
      <c r="W918" s="152"/>
      <c r="X918" s="152"/>
      <c r="Y918" s="152"/>
    </row>
    <row r="919">
      <c r="A919" s="152"/>
      <c r="B919" s="152"/>
      <c r="C919" s="152"/>
      <c r="D919" s="152"/>
      <c r="E919" s="152"/>
      <c r="F919" s="152"/>
      <c r="G919" s="152"/>
      <c r="H919" s="152"/>
      <c r="I919" s="152"/>
      <c r="J919" s="152"/>
      <c r="K919" s="152"/>
      <c r="L919" s="152"/>
      <c r="M919" s="152"/>
      <c r="N919" s="152"/>
      <c r="O919" s="152"/>
      <c r="P919" s="152"/>
      <c r="Q919" s="152"/>
      <c r="R919" s="152"/>
      <c r="S919" s="152"/>
      <c r="T919" s="152"/>
      <c r="U919" s="152"/>
      <c r="V919" s="152"/>
      <c r="W919" s="152"/>
      <c r="X919" s="152"/>
      <c r="Y919" s="152"/>
    </row>
    <row r="920">
      <c r="A920" s="152"/>
      <c r="B920" s="152"/>
      <c r="C920" s="152"/>
      <c r="D920" s="152"/>
      <c r="E920" s="152"/>
      <c r="F920" s="152"/>
      <c r="G920" s="152"/>
      <c r="H920" s="152"/>
      <c r="I920" s="152"/>
      <c r="J920" s="152"/>
      <c r="K920" s="152"/>
      <c r="L920" s="152"/>
      <c r="M920" s="152"/>
      <c r="N920" s="152"/>
      <c r="O920" s="152"/>
      <c r="P920" s="152"/>
      <c r="Q920" s="152"/>
      <c r="R920" s="152"/>
      <c r="S920" s="152"/>
      <c r="T920" s="152"/>
      <c r="U920" s="152"/>
      <c r="V920" s="152"/>
      <c r="W920" s="152"/>
      <c r="X920" s="152"/>
      <c r="Y920" s="152"/>
    </row>
    <row r="921">
      <c r="A921" s="152"/>
      <c r="B921" s="152"/>
      <c r="C921" s="152"/>
      <c r="D921" s="152"/>
      <c r="E921" s="152"/>
      <c r="F921" s="152"/>
      <c r="G921" s="152"/>
      <c r="H921" s="152"/>
      <c r="I921" s="152"/>
      <c r="J921" s="152"/>
      <c r="K921" s="152"/>
      <c r="L921" s="152"/>
      <c r="M921" s="152"/>
      <c r="N921" s="152"/>
      <c r="O921" s="152"/>
      <c r="P921" s="152"/>
      <c r="Q921" s="152"/>
      <c r="R921" s="152"/>
      <c r="S921" s="152"/>
      <c r="T921" s="152"/>
      <c r="U921" s="152"/>
      <c r="V921" s="152"/>
      <c r="W921" s="152"/>
      <c r="X921" s="152"/>
      <c r="Y921" s="152"/>
    </row>
    <row r="922">
      <c r="A922" s="152"/>
      <c r="B922" s="152"/>
      <c r="C922" s="152"/>
      <c r="D922" s="152"/>
      <c r="E922" s="152"/>
      <c r="F922" s="152"/>
      <c r="G922" s="152"/>
      <c r="H922" s="152"/>
      <c r="I922" s="152"/>
      <c r="J922" s="152"/>
      <c r="K922" s="152"/>
      <c r="L922" s="152"/>
      <c r="M922" s="152"/>
      <c r="N922" s="152"/>
      <c r="O922" s="152"/>
      <c r="P922" s="152"/>
      <c r="Q922" s="152"/>
      <c r="R922" s="152"/>
      <c r="S922" s="152"/>
      <c r="T922" s="152"/>
      <c r="U922" s="152"/>
      <c r="V922" s="152"/>
      <c r="W922" s="152"/>
      <c r="X922" s="152"/>
      <c r="Y922" s="152"/>
    </row>
    <row r="923">
      <c r="A923" s="152"/>
      <c r="B923" s="152"/>
      <c r="C923" s="152"/>
      <c r="D923" s="152"/>
      <c r="E923" s="152"/>
      <c r="F923" s="152"/>
      <c r="G923" s="152"/>
      <c r="H923" s="152"/>
      <c r="I923" s="152"/>
      <c r="J923" s="152"/>
      <c r="K923" s="152"/>
      <c r="L923" s="152"/>
      <c r="M923" s="152"/>
      <c r="N923" s="152"/>
      <c r="O923" s="152"/>
      <c r="P923" s="152"/>
      <c r="Q923" s="152"/>
      <c r="R923" s="152"/>
      <c r="S923" s="152"/>
      <c r="T923" s="152"/>
      <c r="U923" s="152"/>
      <c r="V923" s="152"/>
      <c r="W923" s="152"/>
      <c r="X923" s="152"/>
      <c r="Y923" s="152"/>
    </row>
    <row r="924">
      <c r="A924" s="152"/>
      <c r="B924" s="152"/>
      <c r="C924" s="152"/>
      <c r="D924" s="152"/>
      <c r="E924" s="152"/>
      <c r="F924" s="152"/>
      <c r="G924" s="152"/>
      <c r="H924" s="152"/>
      <c r="I924" s="152"/>
      <c r="J924" s="152"/>
      <c r="K924" s="152"/>
      <c r="L924" s="152"/>
      <c r="M924" s="152"/>
      <c r="N924" s="152"/>
      <c r="O924" s="152"/>
      <c r="P924" s="152"/>
      <c r="Q924" s="152"/>
      <c r="R924" s="152"/>
      <c r="S924" s="152"/>
      <c r="T924" s="152"/>
      <c r="U924" s="152"/>
      <c r="V924" s="152"/>
      <c r="W924" s="152"/>
      <c r="X924" s="152"/>
      <c r="Y924" s="152"/>
    </row>
    <row r="925">
      <c r="A925" s="152"/>
      <c r="B925" s="152"/>
      <c r="C925" s="152"/>
      <c r="D925" s="152"/>
      <c r="E925" s="152"/>
      <c r="F925" s="152"/>
      <c r="G925" s="152"/>
      <c r="H925" s="152"/>
      <c r="I925" s="152"/>
      <c r="J925" s="152"/>
      <c r="K925" s="152"/>
      <c r="L925" s="152"/>
      <c r="M925" s="152"/>
      <c r="N925" s="152"/>
      <c r="O925" s="152"/>
      <c r="P925" s="152"/>
      <c r="Q925" s="152"/>
      <c r="R925" s="152"/>
      <c r="S925" s="152"/>
      <c r="T925" s="152"/>
      <c r="U925" s="152"/>
      <c r="V925" s="152"/>
      <c r="W925" s="152"/>
      <c r="X925" s="152"/>
      <c r="Y925" s="152"/>
    </row>
    <row r="926">
      <c r="A926" s="152"/>
      <c r="B926" s="152"/>
      <c r="C926" s="152"/>
      <c r="D926" s="152"/>
      <c r="E926" s="152"/>
      <c r="F926" s="152"/>
      <c r="G926" s="152"/>
      <c r="H926" s="152"/>
      <c r="I926" s="152"/>
      <c r="J926" s="152"/>
      <c r="K926" s="152"/>
      <c r="L926" s="152"/>
      <c r="M926" s="152"/>
      <c r="N926" s="152"/>
      <c r="O926" s="152"/>
      <c r="P926" s="152"/>
      <c r="Q926" s="152"/>
      <c r="R926" s="152"/>
      <c r="S926" s="152"/>
      <c r="T926" s="152"/>
      <c r="U926" s="152"/>
      <c r="V926" s="152"/>
      <c r="W926" s="152"/>
      <c r="X926" s="152"/>
      <c r="Y926" s="152"/>
    </row>
    <row r="927">
      <c r="A927" s="152"/>
      <c r="B927" s="152"/>
      <c r="C927" s="152"/>
      <c r="D927" s="152"/>
      <c r="E927" s="152"/>
      <c r="F927" s="152"/>
      <c r="G927" s="152"/>
      <c r="H927" s="152"/>
      <c r="I927" s="152"/>
      <c r="J927" s="152"/>
      <c r="K927" s="152"/>
      <c r="L927" s="152"/>
      <c r="M927" s="152"/>
      <c r="N927" s="152"/>
      <c r="O927" s="152"/>
      <c r="P927" s="152"/>
      <c r="Q927" s="152"/>
      <c r="R927" s="152"/>
      <c r="S927" s="152"/>
      <c r="T927" s="152"/>
      <c r="U927" s="152"/>
      <c r="V927" s="152"/>
      <c r="W927" s="152"/>
      <c r="X927" s="152"/>
      <c r="Y927" s="152"/>
    </row>
    <row r="928">
      <c r="A928" s="152"/>
      <c r="B928" s="152"/>
      <c r="C928" s="152"/>
      <c r="D928" s="152"/>
      <c r="E928" s="152"/>
      <c r="F928" s="152"/>
      <c r="G928" s="152"/>
      <c r="H928" s="152"/>
      <c r="I928" s="152"/>
      <c r="J928" s="152"/>
      <c r="K928" s="152"/>
      <c r="L928" s="152"/>
      <c r="M928" s="152"/>
      <c r="N928" s="152"/>
      <c r="O928" s="152"/>
      <c r="P928" s="152"/>
      <c r="Q928" s="152"/>
      <c r="R928" s="152"/>
      <c r="S928" s="152"/>
      <c r="T928" s="152"/>
      <c r="U928" s="152"/>
      <c r="V928" s="152"/>
      <c r="W928" s="152"/>
      <c r="X928" s="152"/>
      <c r="Y928" s="152"/>
    </row>
    <row r="929">
      <c r="A929" s="152"/>
      <c r="B929" s="152"/>
      <c r="C929" s="152"/>
      <c r="D929" s="152"/>
      <c r="E929" s="152"/>
      <c r="F929" s="152"/>
      <c r="G929" s="152"/>
      <c r="H929" s="152"/>
      <c r="I929" s="152"/>
      <c r="J929" s="152"/>
      <c r="K929" s="152"/>
      <c r="L929" s="152"/>
      <c r="M929" s="152"/>
      <c r="N929" s="152"/>
      <c r="O929" s="152"/>
      <c r="P929" s="152"/>
      <c r="Q929" s="152"/>
      <c r="R929" s="152"/>
      <c r="S929" s="152"/>
      <c r="T929" s="152"/>
      <c r="U929" s="152"/>
      <c r="V929" s="152"/>
      <c r="W929" s="152"/>
      <c r="X929" s="152"/>
      <c r="Y929" s="152"/>
    </row>
    <row r="930">
      <c r="A930" s="152"/>
      <c r="B930" s="152"/>
      <c r="C930" s="152"/>
      <c r="D930" s="152"/>
      <c r="E930" s="152"/>
      <c r="F930" s="152"/>
      <c r="G930" s="152"/>
      <c r="H930" s="152"/>
      <c r="I930" s="152"/>
      <c r="J930" s="152"/>
      <c r="K930" s="152"/>
      <c r="L930" s="152"/>
      <c r="M930" s="152"/>
      <c r="N930" s="152"/>
      <c r="O930" s="152"/>
      <c r="P930" s="152"/>
      <c r="Q930" s="152"/>
      <c r="R930" s="152"/>
      <c r="S930" s="152"/>
      <c r="T930" s="152"/>
      <c r="U930" s="152"/>
      <c r="V930" s="152"/>
      <c r="W930" s="152"/>
      <c r="X930" s="152"/>
      <c r="Y930" s="152"/>
    </row>
    <row r="931">
      <c r="A931" s="152"/>
      <c r="B931" s="152"/>
      <c r="C931" s="152"/>
      <c r="D931" s="152"/>
      <c r="E931" s="152"/>
      <c r="F931" s="152"/>
      <c r="G931" s="152"/>
      <c r="H931" s="152"/>
      <c r="I931" s="152"/>
      <c r="J931" s="152"/>
      <c r="K931" s="152"/>
      <c r="L931" s="152"/>
      <c r="M931" s="152"/>
      <c r="N931" s="152"/>
      <c r="O931" s="152"/>
      <c r="P931" s="152"/>
      <c r="Q931" s="152"/>
      <c r="R931" s="152"/>
      <c r="S931" s="152"/>
      <c r="T931" s="152"/>
      <c r="U931" s="152"/>
      <c r="V931" s="152"/>
      <c r="W931" s="152"/>
      <c r="X931" s="152"/>
      <c r="Y931" s="152"/>
    </row>
    <row r="932">
      <c r="A932" s="152"/>
      <c r="B932" s="152"/>
      <c r="C932" s="152"/>
      <c r="D932" s="152"/>
      <c r="E932" s="152"/>
      <c r="F932" s="152"/>
      <c r="G932" s="152"/>
      <c r="H932" s="152"/>
      <c r="I932" s="152"/>
      <c r="J932" s="152"/>
      <c r="K932" s="152"/>
      <c r="L932" s="152"/>
      <c r="M932" s="152"/>
      <c r="N932" s="152"/>
      <c r="O932" s="152"/>
      <c r="P932" s="152"/>
      <c r="Q932" s="152"/>
      <c r="R932" s="152"/>
      <c r="S932" s="152"/>
      <c r="T932" s="152"/>
      <c r="U932" s="152"/>
      <c r="V932" s="152"/>
      <c r="W932" s="152"/>
      <c r="X932" s="152"/>
      <c r="Y932" s="152"/>
    </row>
    <row r="933">
      <c r="A933" s="152"/>
      <c r="B933" s="152"/>
      <c r="C933" s="152"/>
      <c r="D933" s="152"/>
      <c r="E933" s="152"/>
      <c r="F933" s="152"/>
      <c r="G933" s="152"/>
      <c r="H933" s="152"/>
      <c r="I933" s="152"/>
      <c r="J933" s="152"/>
      <c r="K933" s="152"/>
      <c r="L933" s="152"/>
      <c r="M933" s="152"/>
      <c r="N933" s="152"/>
      <c r="O933" s="152"/>
      <c r="P933" s="152"/>
      <c r="Q933" s="152"/>
      <c r="R933" s="152"/>
      <c r="S933" s="152"/>
      <c r="T933" s="152"/>
      <c r="U933" s="152"/>
      <c r="V933" s="152"/>
      <c r="W933" s="152"/>
      <c r="X933" s="152"/>
      <c r="Y933" s="152"/>
    </row>
    <row r="934">
      <c r="A934" s="152"/>
      <c r="B934" s="152"/>
      <c r="C934" s="152"/>
      <c r="D934" s="152"/>
      <c r="E934" s="152"/>
      <c r="F934" s="152"/>
      <c r="G934" s="152"/>
      <c r="H934" s="152"/>
      <c r="I934" s="152"/>
      <c r="J934" s="152"/>
      <c r="K934" s="152"/>
      <c r="L934" s="152"/>
      <c r="M934" s="152"/>
      <c r="N934" s="152"/>
      <c r="O934" s="152"/>
      <c r="P934" s="152"/>
      <c r="Q934" s="152"/>
      <c r="R934" s="152"/>
      <c r="S934" s="152"/>
      <c r="T934" s="152"/>
      <c r="U934" s="152"/>
      <c r="V934" s="152"/>
      <c r="W934" s="152"/>
      <c r="X934" s="152"/>
      <c r="Y934" s="152"/>
    </row>
    <row r="935">
      <c r="A935" s="152"/>
      <c r="B935" s="152"/>
      <c r="C935" s="152"/>
      <c r="D935" s="152"/>
      <c r="E935" s="152"/>
      <c r="F935" s="152"/>
      <c r="G935" s="152"/>
      <c r="H935" s="152"/>
      <c r="I935" s="152"/>
      <c r="J935" s="152"/>
      <c r="K935" s="152"/>
      <c r="L935" s="152"/>
      <c r="M935" s="152"/>
      <c r="N935" s="152"/>
      <c r="O935" s="152"/>
      <c r="P935" s="152"/>
      <c r="Q935" s="152"/>
      <c r="R935" s="152"/>
      <c r="S935" s="152"/>
      <c r="T935" s="152"/>
      <c r="U935" s="152"/>
      <c r="V935" s="152"/>
      <c r="W935" s="152"/>
      <c r="X935" s="152"/>
      <c r="Y935" s="152"/>
    </row>
    <row r="936">
      <c r="A936" s="152"/>
      <c r="B936" s="152"/>
      <c r="C936" s="152"/>
      <c r="D936" s="152"/>
      <c r="E936" s="152"/>
      <c r="F936" s="152"/>
      <c r="G936" s="152"/>
      <c r="H936" s="152"/>
      <c r="I936" s="152"/>
      <c r="J936" s="152"/>
      <c r="K936" s="152"/>
      <c r="L936" s="152"/>
      <c r="M936" s="152"/>
      <c r="N936" s="152"/>
      <c r="O936" s="152"/>
      <c r="P936" s="152"/>
      <c r="Q936" s="152"/>
      <c r="R936" s="152"/>
      <c r="S936" s="152"/>
      <c r="T936" s="152"/>
      <c r="U936" s="152"/>
      <c r="V936" s="152"/>
      <c r="W936" s="152"/>
      <c r="X936" s="152"/>
      <c r="Y936" s="152"/>
    </row>
    <row r="937">
      <c r="A937" s="152"/>
      <c r="B937" s="152"/>
      <c r="C937" s="152"/>
      <c r="D937" s="152"/>
      <c r="E937" s="152"/>
      <c r="F937" s="152"/>
      <c r="G937" s="152"/>
      <c r="H937" s="152"/>
      <c r="I937" s="152"/>
      <c r="J937" s="152"/>
      <c r="K937" s="152"/>
      <c r="L937" s="152"/>
      <c r="M937" s="152"/>
      <c r="N937" s="152"/>
      <c r="O937" s="152"/>
      <c r="P937" s="152"/>
      <c r="Q937" s="152"/>
      <c r="R937" s="152"/>
      <c r="S937" s="152"/>
      <c r="T937" s="152"/>
      <c r="U937" s="152"/>
      <c r="V937" s="152"/>
      <c r="W937" s="152"/>
      <c r="X937" s="152"/>
      <c r="Y937" s="152"/>
    </row>
    <row r="938">
      <c r="A938" s="152"/>
      <c r="B938" s="152"/>
      <c r="C938" s="152"/>
      <c r="D938" s="152"/>
      <c r="E938" s="152"/>
      <c r="F938" s="152"/>
      <c r="G938" s="152"/>
      <c r="H938" s="152"/>
      <c r="I938" s="152"/>
      <c r="J938" s="152"/>
      <c r="K938" s="152"/>
      <c r="L938" s="152"/>
      <c r="M938" s="152"/>
      <c r="N938" s="152"/>
      <c r="O938" s="152"/>
      <c r="P938" s="152"/>
      <c r="Q938" s="152"/>
      <c r="R938" s="152"/>
      <c r="S938" s="152"/>
      <c r="T938" s="152"/>
      <c r="U938" s="152"/>
      <c r="V938" s="152"/>
      <c r="W938" s="152"/>
      <c r="X938" s="152"/>
      <c r="Y938" s="152"/>
    </row>
    <row r="939">
      <c r="A939" s="152"/>
      <c r="B939" s="152"/>
      <c r="C939" s="152"/>
      <c r="D939" s="152"/>
      <c r="E939" s="152"/>
      <c r="F939" s="152"/>
      <c r="G939" s="152"/>
      <c r="H939" s="152"/>
      <c r="I939" s="152"/>
      <c r="J939" s="152"/>
      <c r="K939" s="152"/>
      <c r="L939" s="152"/>
      <c r="M939" s="152"/>
      <c r="N939" s="152"/>
      <c r="O939" s="152"/>
      <c r="P939" s="152"/>
      <c r="Q939" s="152"/>
      <c r="R939" s="152"/>
      <c r="S939" s="152"/>
      <c r="T939" s="152"/>
      <c r="U939" s="152"/>
      <c r="V939" s="152"/>
      <c r="W939" s="152"/>
      <c r="X939" s="152"/>
      <c r="Y939" s="152"/>
    </row>
    <row r="940">
      <c r="A940" s="152"/>
      <c r="B940" s="152"/>
      <c r="C940" s="152"/>
      <c r="D940" s="152"/>
      <c r="E940" s="152"/>
      <c r="F940" s="152"/>
      <c r="G940" s="152"/>
      <c r="H940" s="152"/>
      <c r="I940" s="152"/>
      <c r="J940" s="152"/>
      <c r="K940" s="152"/>
      <c r="L940" s="152"/>
      <c r="M940" s="152"/>
      <c r="N940" s="152"/>
      <c r="O940" s="152"/>
      <c r="P940" s="152"/>
      <c r="Q940" s="152"/>
      <c r="R940" s="152"/>
      <c r="S940" s="152"/>
      <c r="T940" s="152"/>
      <c r="U940" s="152"/>
      <c r="V940" s="152"/>
      <c r="W940" s="152"/>
      <c r="X940" s="152"/>
      <c r="Y940" s="152"/>
    </row>
    <row r="941">
      <c r="A941" s="152"/>
      <c r="B941" s="152"/>
      <c r="C941" s="152"/>
      <c r="D941" s="152"/>
      <c r="E941" s="152"/>
      <c r="F941" s="152"/>
      <c r="G941" s="152"/>
      <c r="H941" s="152"/>
      <c r="I941" s="152"/>
      <c r="J941" s="152"/>
      <c r="K941" s="152"/>
      <c r="L941" s="152"/>
      <c r="M941" s="152"/>
      <c r="N941" s="152"/>
      <c r="O941" s="152"/>
      <c r="P941" s="152"/>
      <c r="Q941" s="152"/>
      <c r="R941" s="152"/>
      <c r="S941" s="152"/>
      <c r="T941" s="152"/>
      <c r="U941" s="152"/>
      <c r="V941" s="152"/>
      <c r="W941" s="152"/>
      <c r="X941" s="152"/>
      <c r="Y941" s="152"/>
    </row>
    <row r="942">
      <c r="A942" s="152"/>
      <c r="B942" s="152"/>
      <c r="C942" s="152"/>
      <c r="D942" s="152"/>
      <c r="E942" s="152"/>
      <c r="F942" s="152"/>
      <c r="G942" s="152"/>
      <c r="H942" s="152"/>
      <c r="I942" s="152"/>
      <c r="J942" s="152"/>
      <c r="K942" s="152"/>
      <c r="L942" s="152"/>
      <c r="M942" s="152"/>
      <c r="N942" s="152"/>
      <c r="O942" s="152"/>
      <c r="P942" s="152"/>
      <c r="Q942" s="152"/>
      <c r="R942" s="152"/>
      <c r="S942" s="152"/>
      <c r="T942" s="152"/>
      <c r="U942" s="152"/>
      <c r="V942" s="152"/>
      <c r="W942" s="152"/>
      <c r="X942" s="152"/>
      <c r="Y942" s="152"/>
    </row>
    <row r="943">
      <c r="A943" s="152"/>
      <c r="B943" s="152"/>
      <c r="C943" s="152"/>
      <c r="D943" s="152"/>
      <c r="E943" s="152"/>
      <c r="F943" s="152"/>
      <c r="G943" s="152"/>
      <c r="H943" s="152"/>
      <c r="I943" s="152"/>
      <c r="J943" s="152"/>
      <c r="K943" s="152"/>
      <c r="L943" s="152"/>
      <c r="M943" s="152"/>
      <c r="N943" s="152"/>
      <c r="O943" s="152"/>
      <c r="P943" s="152"/>
      <c r="Q943" s="152"/>
      <c r="R943" s="152"/>
      <c r="S943" s="152"/>
      <c r="T943" s="152"/>
      <c r="U943" s="152"/>
      <c r="V943" s="152"/>
      <c r="W943" s="152"/>
      <c r="X943" s="152"/>
      <c r="Y943" s="152"/>
    </row>
    <row r="944">
      <c r="A944" s="152"/>
      <c r="B944" s="152"/>
      <c r="C944" s="152"/>
      <c r="D944" s="152"/>
      <c r="E944" s="152"/>
      <c r="F944" s="152"/>
      <c r="G944" s="152"/>
      <c r="H944" s="152"/>
      <c r="I944" s="152"/>
      <c r="J944" s="152"/>
      <c r="K944" s="152"/>
      <c r="L944" s="152"/>
      <c r="M944" s="152"/>
      <c r="N944" s="152"/>
      <c r="O944" s="152"/>
      <c r="P944" s="152"/>
      <c r="Q944" s="152"/>
      <c r="R944" s="152"/>
      <c r="S944" s="152"/>
      <c r="T944" s="152"/>
      <c r="U944" s="152"/>
      <c r="V944" s="152"/>
      <c r="W944" s="152"/>
      <c r="X944" s="152"/>
      <c r="Y944" s="152"/>
    </row>
    <row r="945">
      <c r="A945" s="152"/>
      <c r="B945" s="152"/>
      <c r="C945" s="152"/>
      <c r="D945" s="152"/>
      <c r="E945" s="152"/>
      <c r="F945" s="152"/>
      <c r="G945" s="152"/>
      <c r="H945" s="152"/>
      <c r="I945" s="152"/>
      <c r="J945" s="152"/>
      <c r="K945" s="152"/>
      <c r="L945" s="152"/>
      <c r="M945" s="152"/>
      <c r="N945" s="152"/>
      <c r="O945" s="152"/>
      <c r="P945" s="152"/>
      <c r="Q945" s="152"/>
      <c r="R945" s="152"/>
      <c r="S945" s="152"/>
      <c r="T945" s="152"/>
      <c r="U945" s="152"/>
      <c r="V945" s="152"/>
      <c r="W945" s="152"/>
      <c r="X945" s="152"/>
      <c r="Y945" s="152"/>
    </row>
    <row r="946">
      <c r="A946" s="152"/>
      <c r="B946" s="152"/>
      <c r="C946" s="152"/>
      <c r="D946" s="152"/>
      <c r="E946" s="152"/>
      <c r="F946" s="152"/>
      <c r="G946" s="152"/>
      <c r="H946" s="152"/>
      <c r="I946" s="152"/>
      <c r="J946" s="152"/>
      <c r="K946" s="152"/>
      <c r="L946" s="152"/>
      <c r="M946" s="152"/>
      <c r="N946" s="152"/>
      <c r="O946" s="152"/>
      <c r="P946" s="152"/>
      <c r="Q946" s="152"/>
      <c r="R946" s="152"/>
      <c r="S946" s="152"/>
      <c r="T946" s="152"/>
      <c r="U946" s="152"/>
      <c r="V946" s="152"/>
      <c r="W946" s="152"/>
      <c r="X946" s="152"/>
      <c r="Y946" s="152"/>
    </row>
    <row r="947">
      <c r="A947" s="152"/>
      <c r="B947" s="152"/>
      <c r="C947" s="152"/>
      <c r="D947" s="152"/>
      <c r="E947" s="152"/>
      <c r="F947" s="152"/>
      <c r="G947" s="152"/>
      <c r="H947" s="152"/>
      <c r="I947" s="152"/>
      <c r="J947" s="152"/>
      <c r="K947" s="152"/>
      <c r="L947" s="152"/>
      <c r="M947" s="152"/>
      <c r="N947" s="152"/>
      <c r="O947" s="152"/>
      <c r="P947" s="152"/>
      <c r="Q947" s="152"/>
      <c r="R947" s="152"/>
      <c r="S947" s="152"/>
      <c r="T947" s="152"/>
      <c r="U947" s="152"/>
      <c r="V947" s="152"/>
      <c r="W947" s="152"/>
      <c r="X947" s="152"/>
      <c r="Y947" s="152"/>
    </row>
    <row r="948">
      <c r="A948" s="152"/>
      <c r="B948" s="152"/>
      <c r="C948" s="152"/>
      <c r="D948" s="152"/>
      <c r="E948" s="152"/>
      <c r="F948" s="152"/>
      <c r="G948" s="152"/>
      <c r="H948" s="152"/>
      <c r="I948" s="152"/>
      <c r="J948" s="152"/>
      <c r="K948" s="152"/>
      <c r="L948" s="152"/>
      <c r="M948" s="152"/>
      <c r="N948" s="152"/>
      <c r="O948" s="152"/>
      <c r="P948" s="152"/>
      <c r="Q948" s="152"/>
      <c r="R948" s="152"/>
      <c r="S948" s="152"/>
      <c r="T948" s="152"/>
      <c r="U948" s="152"/>
      <c r="V948" s="152"/>
      <c r="W948" s="152"/>
      <c r="X948" s="152"/>
      <c r="Y948" s="152"/>
    </row>
    <row r="949">
      <c r="A949" s="152"/>
      <c r="B949" s="152"/>
      <c r="C949" s="152"/>
      <c r="D949" s="152"/>
      <c r="E949" s="152"/>
      <c r="F949" s="152"/>
      <c r="G949" s="152"/>
      <c r="H949" s="152"/>
      <c r="I949" s="152"/>
      <c r="J949" s="152"/>
      <c r="K949" s="152"/>
      <c r="L949" s="152"/>
      <c r="M949" s="152"/>
      <c r="N949" s="152"/>
      <c r="O949" s="152"/>
      <c r="P949" s="152"/>
      <c r="Q949" s="152"/>
      <c r="R949" s="152"/>
      <c r="S949" s="152"/>
      <c r="T949" s="152"/>
      <c r="U949" s="152"/>
      <c r="V949" s="152"/>
      <c r="W949" s="152"/>
      <c r="X949" s="152"/>
      <c r="Y949" s="152"/>
    </row>
    <row r="950">
      <c r="A950" s="152"/>
      <c r="B950" s="152"/>
      <c r="C950" s="152"/>
      <c r="D950" s="152"/>
      <c r="E950" s="152"/>
      <c r="F950" s="152"/>
      <c r="G950" s="152"/>
      <c r="H950" s="152"/>
      <c r="I950" s="152"/>
      <c r="J950" s="152"/>
      <c r="K950" s="152"/>
      <c r="L950" s="152"/>
      <c r="M950" s="152"/>
      <c r="N950" s="152"/>
      <c r="O950" s="152"/>
      <c r="P950" s="152"/>
      <c r="Q950" s="152"/>
      <c r="R950" s="152"/>
      <c r="S950" s="152"/>
      <c r="T950" s="152"/>
      <c r="U950" s="152"/>
      <c r="V950" s="152"/>
      <c r="W950" s="152"/>
      <c r="X950" s="152"/>
      <c r="Y950" s="152"/>
    </row>
    <row r="951">
      <c r="A951" s="152"/>
      <c r="B951" s="152"/>
      <c r="C951" s="152"/>
      <c r="D951" s="152"/>
      <c r="E951" s="152"/>
      <c r="F951" s="152"/>
      <c r="G951" s="152"/>
      <c r="H951" s="152"/>
      <c r="I951" s="152"/>
      <c r="J951" s="152"/>
      <c r="K951" s="152"/>
      <c r="L951" s="152"/>
      <c r="M951" s="152"/>
      <c r="N951" s="152"/>
      <c r="O951" s="152"/>
      <c r="P951" s="152"/>
      <c r="Q951" s="152"/>
      <c r="R951" s="152"/>
      <c r="S951" s="152"/>
      <c r="T951" s="152"/>
      <c r="U951" s="152"/>
      <c r="V951" s="152"/>
      <c r="W951" s="152"/>
      <c r="X951" s="152"/>
      <c r="Y951" s="152"/>
    </row>
    <row r="952">
      <c r="A952" s="152"/>
      <c r="B952" s="152"/>
      <c r="C952" s="152"/>
      <c r="D952" s="152"/>
      <c r="E952" s="152"/>
      <c r="F952" s="152"/>
      <c r="G952" s="152"/>
      <c r="H952" s="152"/>
      <c r="I952" s="152"/>
      <c r="J952" s="152"/>
      <c r="K952" s="152"/>
      <c r="L952" s="152"/>
      <c r="M952" s="152"/>
      <c r="N952" s="152"/>
      <c r="O952" s="152"/>
      <c r="P952" s="152"/>
      <c r="Q952" s="152"/>
      <c r="R952" s="152"/>
      <c r="S952" s="152"/>
      <c r="T952" s="152"/>
      <c r="U952" s="152"/>
      <c r="V952" s="152"/>
      <c r="W952" s="152"/>
      <c r="X952" s="152"/>
      <c r="Y952" s="152"/>
    </row>
    <row r="953">
      <c r="A953" s="152"/>
      <c r="B953" s="152"/>
      <c r="C953" s="152"/>
      <c r="D953" s="152"/>
      <c r="E953" s="152"/>
      <c r="F953" s="152"/>
      <c r="G953" s="152"/>
      <c r="H953" s="152"/>
      <c r="I953" s="152"/>
      <c r="J953" s="152"/>
      <c r="K953" s="152"/>
      <c r="L953" s="152"/>
      <c r="M953" s="152"/>
      <c r="N953" s="152"/>
      <c r="O953" s="152"/>
      <c r="P953" s="152"/>
      <c r="Q953" s="152"/>
      <c r="R953" s="152"/>
      <c r="S953" s="152"/>
      <c r="T953" s="152"/>
      <c r="U953" s="152"/>
      <c r="V953" s="152"/>
      <c r="W953" s="152"/>
      <c r="X953" s="152"/>
      <c r="Y953" s="152"/>
    </row>
    <row r="954">
      <c r="A954" s="152"/>
      <c r="B954" s="152"/>
      <c r="C954" s="152"/>
      <c r="D954" s="152"/>
      <c r="E954" s="152"/>
      <c r="F954" s="152"/>
      <c r="G954" s="152"/>
      <c r="H954" s="152"/>
      <c r="I954" s="152"/>
      <c r="J954" s="152"/>
      <c r="K954" s="152"/>
      <c r="L954" s="152"/>
      <c r="M954" s="152"/>
      <c r="N954" s="152"/>
      <c r="O954" s="152"/>
      <c r="P954" s="152"/>
      <c r="Q954" s="152"/>
      <c r="R954" s="152"/>
      <c r="S954" s="152"/>
      <c r="T954" s="152"/>
      <c r="U954" s="152"/>
      <c r="V954" s="152"/>
      <c r="W954" s="152"/>
      <c r="X954" s="152"/>
      <c r="Y954" s="152"/>
    </row>
    <row r="955">
      <c r="A955" s="152"/>
      <c r="B955" s="152"/>
      <c r="C955" s="152"/>
      <c r="D955" s="152"/>
      <c r="E955" s="152"/>
      <c r="F955" s="152"/>
      <c r="G955" s="152"/>
      <c r="H955" s="152"/>
      <c r="I955" s="152"/>
      <c r="J955" s="152"/>
      <c r="K955" s="152"/>
      <c r="L955" s="152"/>
      <c r="M955" s="152"/>
      <c r="N955" s="152"/>
      <c r="O955" s="152"/>
      <c r="P955" s="152"/>
      <c r="Q955" s="152"/>
      <c r="R955" s="152"/>
      <c r="S955" s="152"/>
      <c r="T955" s="152"/>
      <c r="U955" s="152"/>
      <c r="V955" s="152"/>
      <c r="W955" s="152"/>
      <c r="X955" s="152"/>
      <c r="Y955" s="152"/>
    </row>
    <row r="956">
      <c r="A956" s="152"/>
      <c r="B956" s="152"/>
      <c r="C956" s="152"/>
      <c r="D956" s="152"/>
      <c r="E956" s="152"/>
      <c r="F956" s="152"/>
      <c r="G956" s="152"/>
      <c r="H956" s="152"/>
      <c r="I956" s="152"/>
      <c r="J956" s="152"/>
      <c r="K956" s="152"/>
      <c r="L956" s="152"/>
      <c r="M956" s="152"/>
      <c r="N956" s="152"/>
      <c r="O956" s="152"/>
      <c r="P956" s="152"/>
      <c r="Q956" s="152"/>
      <c r="R956" s="152"/>
      <c r="S956" s="152"/>
      <c r="T956" s="152"/>
      <c r="U956" s="152"/>
      <c r="V956" s="152"/>
      <c r="W956" s="152"/>
      <c r="X956" s="152"/>
      <c r="Y956" s="152"/>
    </row>
    <row r="957">
      <c r="A957" s="152"/>
      <c r="B957" s="152"/>
      <c r="C957" s="152"/>
      <c r="D957" s="152"/>
      <c r="E957" s="152"/>
      <c r="F957" s="152"/>
      <c r="G957" s="152"/>
      <c r="H957" s="152"/>
      <c r="I957" s="152"/>
      <c r="J957" s="152"/>
      <c r="K957" s="152"/>
      <c r="L957" s="152"/>
      <c r="M957" s="152"/>
      <c r="N957" s="152"/>
      <c r="O957" s="152"/>
      <c r="P957" s="152"/>
      <c r="Q957" s="152"/>
      <c r="R957" s="152"/>
      <c r="S957" s="152"/>
      <c r="T957" s="152"/>
      <c r="U957" s="152"/>
      <c r="V957" s="152"/>
      <c r="W957" s="152"/>
      <c r="X957" s="152"/>
      <c r="Y957" s="152"/>
    </row>
    <row r="958">
      <c r="A958" s="152"/>
      <c r="B958" s="152"/>
      <c r="C958" s="152"/>
      <c r="D958" s="152"/>
      <c r="E958" s="152"/>
      <c r="F958" s="152"/>
      <c r="G958" s="152"/>
      <c r="H958" s="152"/>
      <c r="I958" s="152"/>
      <c r="J958" s="152"/>
      <c r="K958" s="152"/>
      <c r="L958" s="152"/>
      <c r="M958" s="152"/>
      <c r="N958" s="152"/>
      <c r="O958" s="152"/>
      <c r="P958" s="152"/>
      <c r="Q958" s="152"/>
      <c r="R958" s="152"/>
      <c r="S958" s="152"/>
      <c r="T958" s="152"/>
      <c r="U958" s="152"/>
      <c r="V958" s="152"/>
      <c r="W958" s="152"/>
      <c r="X958" s="152"/>
      <c r="Y958" s="152"/>
    </row>
    <row r="959">
      <c r="A959" s="152"/>
      <c r="B959" s="152"/>
      <c r="C959" s="152"/>
      <c r="D959" s="152"/>
      <c r="E959" s="152"/>
      <c r="F959" s="152"/>
      <c r="G959" s="152"/>
      <c r="H959" s="152"/>
      <c r="I959" s="152"/>
      <c r="J959" s="152"/>
      <c r="K959" s="152"/>
      <c r="L959" s="152"/>
      <c r="M959" s="152"/>
      <c r="N959" s="152"/>
      <c r="O959" s="152"/>
      <c r="P959" s="152"/>
      <c r="Q959" s="152"/>
      <c r="R959" s="152"/>
      <c r="S959" s="152"/>
      <c r="T959" s="152"/>
      <c r="U959" s="152"/>
      <c r="V959" s="152"/>
      <c r="W959" s="152"/>
      <c r="X959" s="152"/>
      <c r="Y959" s="152"/>
    </row>
    <row r="960">
      <c r="A960" s="152"/>
      <c r="B960" s="152"/>
      <c r="C960" s="152"/>
      <c r="D960" s="152"/>
      <c r="E960" s="152"/>
      <c r="F960" s="152"/>
      <c r="G960" s="152"/>
      <c r="H960" s="152"/>
      <c r="I960" s="152"/>
      <c r="J960" s="152"/>
      <c r="K960" s="152"/>
      <c r="L960" s="152"/>
      <c r="M960" s="152"/>
      <c r="N960" s="152"/>
      <c r="O960" s="152"/>
      <c r="P960" s="152"/>
      <c r="Q960" s="152"/>
      <c r="R960" s="152"/>
      <c r="S960" s="152"/>
      <c r="T960" s="152"/>
      <c r="U960" s="152"/>
      <c r="V960" s="152"/>
      <c r="W960" s="152"/>
      <c r="X960" s="152"/>
      <c r="Y960" s="152"/>
    </row>
    <row r="961">
      <c r="A961" s="152"/>
      <c r="B961" s="152"/>
      <c r="C961" s="152"/>
      <c r="D961" s="152"/>
      <c r="E961" s="152"/>
      <c r="F961" s="152"/>
      <c r="G961" s="152"/>
      <c r="H961" s="152"/>
      <c r="I961" s="152"/>
      <c r="J961" s="152"/>
      <c r="K961" s="152"/>
      <c r="L961" s="152"/>
      <c r="M961" s="152"/>
      <c r="N961" s="152"/>
      <c r="O961" s="152"/>
      <c r="P961" s="152"/>
      <c r="Q961" s="152"/>
      <c r="R961" s="152"/>
      <c r="S961" s="152"/>
      <c r="T961" s="152"/>
      <c r="U961" s="152"/>
      <c r="V961" s="152"/>
      <c r="W961" s="152"/>
      <c r="X961" s="152"/>
      <c r="Y961" s="152"/>
    </row>
    <row r="962">
      <c r="A962" s="152"/>
      <c r="B962" s="152"/>
      <c r="C962" s="152"/>
      <c r="D962" s="152"/>
      <c r="E962" s="152"/>
      <c r="F962" s="152"/>
      <c r="G962" s="152"/>
      <c r="H962" s="152"/>
      <c r="I962" s="152"/>
      <c r="J962" s="152"/>
      <c r="K962" s="152"/>
      <c r="L962" s="152"/>
      <c r="M962" s="152"/>
      <c r="N962" s="152"/>
      <c r="O962" s="152"/>
      <c r="P962" s="152"/>
      <c r="Q962" s="152"/>
      <c r="R962" s="152"/>
      <c r="S962" s="152"/>
      <c r="T962" s="152"/>
      <c r="U962" s="152"/>
      <c r="V962" s="152"/>
      <c r="W962" s="152"/>
      <c r="X962" s="152"/>
      <c r="Y962" s="152"/>
    </row>
    <row r="963">
      <c r="A963" s="152"/>
      <c r="B963" s="152"/>
      <c r="C963" s="152"/>
      <c r="D963" s="152"/>
      <c r="E963" s="152"/>
      <c r="F963" s="152"/>
      <c r="G963" s="152"/>
      <c r="H963" s="152"/>
      <c r="I963" s="152"/>
      <c r="J963" s="152"/>
      <c r="K963" s="152"/>
      <c r="L963" s="152"/>
      <c r="M963" s="152"/>
      <c r="N963" s="152"/>
      <c r="O963" s="152"/>
      <c r="P963" s="152"/>
      <c r="Q963" s="152"/>
      <c r="R963" s="152"/>
      <c r="S963" s="152"/>
      <c r="T963" s="152"/>
      <c r="U963" s="152"/>
      <c r="V963" s="152"/>
      <c r="W963" s="152"/>
      <c r="X963" s="152"/>
      <c r="Y963" s="152"/>
    </row>
    <row r="964">
      <c r="A964" s="152"/>
      <c r="B964" s="152"/>
      <c r="C964" s="152"/>
      <c r="D964" s="152"/>
      <c r="E964" s="152"/>
      <c r="F964" s="152"/>
      <c r="G964" s="152"/>
      <c r="H964" s="152"/>
      <c r="I964" s="152"/>
      <c r="J964" s="152"/>
      <c r="K964" s="152"/>
      <c r="L964" s="152"/>
      <c r="M964" s="152"/>
      <c r="N964" s="152"/>
      <c r="O964" s="152"/>
      <c r="P964" s="152"/>
      <c r="Q964" s="152"/>
      <c r="R964" s="152"/>
      <c r="S964" s="152"/>
      <c r="T964" s="152"/>
      <c r="U964" s="152"/>
      <c r="V964" s="152"/>
      <c r="W964" s="152"/>
      <c r="X964" s="152"/>
      <c r="Y964" s="152"/>
    </row>
    <row r="965">
      <c r="A965" s="152"/>
      <c r="B965" s="152"/>
      <c r="C965" s="152"/>
      <c r="D965" s="152"/>
      <c r="E965" s="152"/>
      <c r="F965" s="152"/>
      <c r="G965" s="152"/>
      <c r="H965" s="152"/>
      <c r="I965" s="152"/>
      <c r="J965" s="152"/>
      <c r="K965" s="152"/>
      <c r="L965" s="152"/>
      <c r="M965" s="152"/>
      <c r="N965" s="152"/>
      <c r="O965" s="152"/>
      <c r="P965" s="152"/>
      <c r="Q965" s="152"/>
      <c r="R965" s="152"/>
      <c r="S965" s="152"/>
      <c r="T965" s="152"/>
      <c r="U965" s="152"/>
      <c r="V965" s="152"/>
      <c r="W965" s="152"/>
      <c r="X965" s="152"/>
      <c r="Y965" s="152"/>
    </row>
    <row r="966">
      <c r="A966" s="152"/>
      <c r="B966" s="152"/>
      <c r="C966" s="152"/>
      <c r="D966" s="152"/>
      <c r="E966" s="152"/>
      <c r="F966" s="152"/>
      <c r="G966" s="152"/>
      <c r="H966" s="152"/>
      <c r="I966" s="152"/>
      <c r="J966" s="152"/>
      <c r="K966" s="152"/>
      <c r="L966" s="152"/>
      <c r="M966" s="152"/>
      <c r="N966" s="152"/>
      <c r="O966" s="152"/>
      <c r="P966" s="152"/>
      <c r="Q966" s="152"/>
      <c r="R966" s="152"/>
      <c r="S966" s="152"/>
      <c r="T966" s="152"/>
      <c r="U966" s="152"/>
      <c r="V966" s="152"/>
      <c r="W966" s="152"/>
      <c r="X966" s="152"/>
      <c r="Y966" s="152"/>
    </row>
    <row r="967">
      <c r="A967" s="152"/>
      <c r="B967" s="152"/>
      <c r="C967" s="152"/>
      <c r="D967" s="152"/>
      <c r="E967" s="152"/>
      <c r="F967" s="152"/>
      <c r="G967" s="152"/>
      <c r="H967" s="152"/>
      <c r="I967" s="152"/>
      <c r="J967" s="152"/>
      <c r="K967" s="152"/>
      <c r="L967" s="152"/>
      <c r="M967" s="152"/>
      <c r="N967" s="152"/>
      <c r="O967" s="152"/>
      <c r="P967" s="152"/>
      <c r="Q967" s="152"/>
      <c r="R967" s="152"/>
      <c r="S967" s="152"/>
      <c r="T967" s="152"/>
      <c r="U967" s="152"/>
      <c r="V967" s="152"/>
      <c r="W967" s="152"/>
      <c r="X967" s="152"/>
      <c r="Y967" s="152"/>
    </row>
    <row r="968">
      <c r="A968" s="152"/>
      <c r="B968" s="152"/>
      <c r="C968" s="152"/>
      <c r="D968" s="152"/>
      <c r="E968" s="152"/>
      <c r="F968" s="152"/>
      <c r="G968" s="152"/>
      <c r="H968" s="152"/>
      <c r="I968" s="152"/>
      <c r="J968" s="152"/>
      <c r="K968" s="152"/>
      <c r="L968" s="152"/>
      <c r="M968" s="152"/>
      <c r="N968" s="152"/>
      <c r="O968" s="152"/>
      <c r="P968" s="152"/>
      <c r="Q968" s="152"/>
      <c r="R968" s="152"/>
      <c r="S968" s="152"/>
      <c r="T968" s="152"/>
      <c r="U968" s="152"/>
      <c r="V968" s="152"/>
      <c r="W968" s="152"/>
      <c r="X968" s="152"/>
      <c r="Y968" s="152"/>
    </row>
    <row r="969">
      <c r="A969" s="152"/>
      <c r="B969" s="152"/>
      <c r="C969" s="152"/>
      <c r="D969" s="152"/>
      <c r="E969" s="152"/>
      <c r="F969" s="152"/>
      <c r="G969" s="152"/>
      <c r="H969" s="152"/>
      <c r="I969" s="152"/>
      <c r="J969" s="152"/>
      <c r="K969" s="152"/>
      <c r="L969" s="152"/>
      <c r="M969" s="152"/>
      <c r="N969" s="152"/>
      <c r="O969" s="152"/>
      <c r="P969" s="152"/>
      <c r="Q969" s="152"/>
      <c r="R969" s="152"/>
      <c r="S969" s="152"/>
      <c r="T969" s="152"/>
      <c r="U969" s="152"/>
      <c r="V969" s="152"/>
      <c r="W969" s="152"/>
      <c r="X969" s="152"/>
      <c r="Y969" s="152"/>
    </row>
    <row r="970">
      <c r="A970" s="152"/>
      <c r="B970" s="152"/>
      <c r="C970" s="152"/>
      <c r="D970" s="152"/>
      <c r="E970" s="152"/>
      <c r="F970" s="152"/>
      <c r="G970" s="152"/>
      <c r="H970" s="152"/>
      <c r="I970" s="152"/>
      <c r="J970" s="152"/>
      <c r="K970" s="152"/>
      <c r="L970" s="152"/>
      <c r="M970" s="152"/>
      <c r="N970" s="152"/>
      <c r="O970" s="152"/>
      <c r="P970" s="152"/>
      <c r="Q970" s="152"/>
      <c r="R970" s="152"/>
      <c r="S970" s="152"/>
      <c r="T970" s="152"/>
      <c r="U970" s="152"/>
      <c r="V970" s="152"/>
      <c r="W970" s="152"/>
      <c r="X970" s="152"/>
      <c r="Y970" s="152"/>
    </row>
    <row r="971">
      <c r="A971" s="152"/>
      <c r="B971" s="152"/>
      <c r="C971" s="152"/>
      <c r="D971" s="152"/>
      <c r="E971" s="152"/>
      <c r="F971" s="152"/>
      <c r="G971" s="152"/>
      <c r="H971" s="152"/>
      <c r="I971" s="152"/>
      <c r="J971" s="152"/>
      <c r="K971" s="152"/>
      <c r="L971" s="152"/>
      <c r="M971" s="152"/>
      <c r="N971" s="152"/>
      <c r="O971" s="152"/>
      <c r="P971" s="152"/>
      <c r="Q971" s="152"/>
      <c r="R971" s="152"/>
      <c r="S971" s="152"/>
      <c r="T971" s="152"/>
      <c r="U971" s="152"/>
      <c r="V971" s="152"/>
      <c r="W971" s="152"/>
      <c r="X971" s="152"/>
      <c r="Y971" s="152"/>
    </row>
    <row r="972">
      <c r="A972" s="152"/>
      <c r="B972" s="152"/>
      <c r="C972" s="152"/>
      <c r="D972" s="152"/>
      <c r="E972" s="152"/>
      <c r="F972" s="152"/>
      <c r="G972" s="152"/>
      <c r="H972" s="152"/>
      <c r="I972" s="152"/>
      <c r="J972" s="152"/>
      <c r="K972" s="152"/>
      <c r="L972" s="152"/>
      <c r="M972" s="152"/>
      <c r="N972" s="152"/>
      <c r="O972" s="152"/>
      <c r="P972" s="152"/>
      <c r="Q972" s="152"/>
      <c r="R972" s="152"/>
      <c r="S972" s="152"/>
      <c r="T972" s="152"/>
      <c r="U972" s="152"/>
      <c r="V972" s="152"/>
      <c r="W972" s="152"/>
      <c r="X972" s="152"/>
      <c r="Y972" s="152"/>
    </row>
    <row r="973">
      <c r="A973" s="152"/>
      <c r="B973" s="152"/>
      <c r="C973" s="152"/>
      <c r="D973" s="152"/>
      <c r="E973" s="152"/>
      <c r="F973" s="152"/>
      <c r="G973" s="152"/>
      <c r="H973" s="152"/>
      <c r="I973" s="152"/>
      <c r="J973" s="152"/>
      <c r="K973" s="152"/>
      <c r="L973" s="152"/>
      <c r="M973" s="152"/>
      <c r="N973" s="152"/>
      <c r="O973" s="152"/>
      <c r="P973" s="152"/>
      <c r="Q973" s="152"/>
      <c r="R973" s="152"/>
      <c r="S973" s="152"/>
      <c r="T973" s="152"/>
      <c r="U973" s="152"/>
      <c r="V973" s="152"/>
      <c r="W973" s="152"/>
      <c r="X973" s="152"/>
      <c r="Y973" s="152"/>
    </row>
    <row r="974">
      <c r="A974" s="152"/>
      <c r="B974" s="152"/>
      <c r="C974" s="152"/>
      <c r="D974" s="152"/>
      <c r="E974" s="152"/>
      <c r="F974" s="152"/>
      <c r="G974" s="152"/>
      <c r="H974" s="152"/>
      <c r="I974" s="152"/>
      <c r="J974" s="152"/>
      <c r="K974" s="152"/>
      <c r="L974" s="152"/>
      <c r="M974" s="152"/>
      <c r="N974" s="152"/>
      <c r="O974" s="152"/>
      <c r="P974" s="152"/>
      <c r="Q974" s="152"/>
      <c r="R974" s="152"/>
      <c r="S974" s="152"/>
      <c r="T974" s="152"/>
      <c r="U974" s="152"/>
      <c r="V974" s="152"/>
      <c r="W974" s="152"/>
      <c r="X974" s="152"/>
      <c r="Y974" s="152"/>
    </row>
    <row r="975">
      <c r="A975" s="152"/>
      <c r="B975" s="152"/>
      <c r="C975" s="152"/>
      <c r="D975" s="152"/>
      <c r="E975" s="152"/>
      <c r="F975" s="152"/>
      <c r="G975" s="152"/>
      <c r="H975" s="152"/>
      <c r="I975" s="152"/>
      <c r="J975" s="152"/>
      <c r="K975" s="152"/>
      <c r="L975" s="152"/>
      <c r="M975" s="152"/>
      <c r="N975" s="152"/>
      <c r="O975" s="152"/>
      <c r="P975" s="152"/>
      <c r="Q975" s="152"/>
      <c r="R975" s="152"/>
      <c r="S975" s="152"/>
      <c r="T975" s="152"/>
      <c r="U975" s="152"/>
      <c r="V975" s="152"/>
      <c r="W975" s="152"/>
      <c r="X975" s="152"/>
      <c r="Y975" s="152"/>
    </row>
    <row r="976">
      <c r="A976" s="152"/>
      <c r="B976" s="152"/>
      <c r="C976" s="152"/>
      <c r="D976" s="152"/>
      <c r="E976" s="152"/>
      <c r="F976" s="152"/>
      <c r="G976" s="152"/>
      <c r="H976" s="152"/>
      <c r="I976" s="152"/>
      <c r="J976" s="152"/>
      <c r="K976" s="152"/>
      <c r="L976" s="152"/>
      <c r="M976" s="152"/>
      <c r="N976" s="152"/>
      <c r="O976" s="152"/>
      <c r="P976" s="152"/>
      <c r="Q976" s="152"/>
      <c r="R976" s="152"/>
      <c r="S976" s="152"/>
      <c r="T976" s="152"/>
      <c r="U976" s="152"/>
      <c r="V976" s="152"/>
      <c r="W976" s="152"/>
      <c r="X976" s="152"/>
      <c r="Y976" s="152"/>
    </row>
    <row r="977">
      <c r="A977" s="152"/>
      <c r="B977" s="152"/>
      <c r="C977" s="152"/>
      <c r="D977" s="152"/>
      <c r="E977" s="152"/>
      <c r="F977" s="152"/>
      <c r="G977" s="152"/>
      <c r="H977" s="152"/>
      <c r="I977" s="152"/>
      <c r="J977" s="152"/>
      <c r="K977" s="152"/>
      <c r="L977" s="152"/>
      <c r="M977" s="152"/>
      <c r="N977" s="152"/>
      <c r="O977" s="152"/>
      <c r="P977" s="152"/>
      <c r="Q977" s="152"/>
      <c r="R977" s="152"/>
      <c r="S977" s="152"/>
      <c r="T977" s="152"/>
      <c r="U977" s="152"/>
      <c r="V977" s="152"/>
      <c r="W977" s="152"/>
      <c r="X977" s="152"/>
      <c r="Y977" s="152"/>
    </row>
    <row r="978">
      <c r="A978" s="152"/>
      <c r="B978" s="152"/>
      <c r="C978" s="152"/>
      <c r="D978" s="152"/>
      <c r="E978" s="152"/>
      <c r="F978" s="152"/>
      <c r="G978" s="152"/>
      <c r="H978" s="152"/>
      <c r="I978" s="152"/>
      <c r="J978" s="152"/>
      <c r="K978" s="152"/>
      <c r="L978" s="152"/>
      <c r="M978" s="152"/>
      <c r="N978" s="152"/>
      <c r="O978" s="152"/>
      <c r="P978" s="152"/>
      <c r="Q978" s="152"/>
      <c r="R978" s="152"/>
      <c r="S978" s="152"/>
      <c r="T978" s="152"/>
      <c r="U978" s="152"/>
      <c r="V978" s="152"/>
      <c r="W978" s="152"/>
      <c r="X978" s="152"/>
      <c r="Y978" s="152"/>
    </row>
    <row r="979">
      <c r="A979" s="152"/>
      <c r="B979" s="152"/>
      <c r="C979" s="152"/>
      <c r="D979" s="152"/>
      <c r="E979" s="152"/>
      <c r="F979" s="152"/>
      <c r="G979" s="152"/>
      <c r="H979" s="152"/>
      <c r="I979" s="152"/>
      <c r="J979" s="152"/>
      <c r="K979" s="152"/>
      <c r="L979" s="152"/>
      <c r="M979" s="152"/>
      <c r="N979" s="152"/>
      <c r="O979" s="152"/>
      <c r="P979" s="152"/>
      <c r="Q979" s="152"/>
      <c r="R979" s="152"/>
      <c r="S979" s="152"/>
      <c r="T979" s="152"/>
      <c r="U979" s="152"/>
      <c r="V979" s="152"/>
      <c r="W979" s="152"/>
      <c r="X979" s="152"/>
      <c r="Y979" s="152"/>
    </row>
    <row r="980">
      <c r="A980" s="152"/>
      <c r="B980" s="152"/>
      <c r="C980" s="152"/>
      <c r="D980" s="152"/>
      <c r="E980" s="152"/>
      <c r="F980" s="152"/>
      <c r="G980" s="152"/>
      <c r="H980" s="152"/>
      <c r="I980" s="152"/>
      <c r="J980" s="152"/>
      <c r="K980" s="152"/>
      <c r="L980" s="152"/>
      <c r="M980" s="152"/>
      <c r="N980" s="152"/>
      <c r="O980" s="152"/>
      <c r="P980" s="152"/>
      <c r="Q980" s="152"/>
      <c r="R980" s="152"/>
      <c r="S980" s="152"/>
      <c r="T980" s="152"/>
      <c r="U980" s="152"/>
      <c r="V980" s="152"/>
      <c r="W980" s="152"/>
      <c r="X980" s="152"/>
      <c r="Y980" s="152"/>
    </row>
    <row r="981">
      <c r="A981" s="152"/>
      <c r="B981" s="152"/>
      <c r="C981" s="152"/>
      <c r="D981" s="152"/>
      <c r="E981" s="152"/>
      <c r="F981" s="152"/>
      <c r="G981" s="152"/>
      <c r="H981" s="152"/>
      <c r="I981" s="152"/>
      <c r="J981" s="152"/>
      <c r="K981" s="152"/>
      <c r="L981" s="152"/>
      <c r="M981" s="152"/>
      <c r="N981" s="152"/>
      <c r="O981" s="152"/>
      <c r="P981" s="152"/>
      <c r="Q981" s="152"/>
      <c r="R981" s="152"/>
      <c r="S981" s="152"/>
      <c r="T981" s="152"/>
      <c r="U981" s="152"/>
      <c r="V981" s="152"/>
      <c r="W981" s="152"/>
      <c r="X981" s="152"/>
      <c r="Y981" s="152"/>
    </row>
    <row r="982">
      <c r="A982" s="152"/>
      <c r="B982" s="152"/>
      <c r="C982" s="152"/>
      <c r="D982" s="152"/>
      <c r="E982" s="152"/>
      <c r="F982" s="152"/>
      <c r="G982" s="152"/>
      <c r="H982" s="152"/>
      <c r="I982" s="152"/>
      <c r="J982" s="152"/>
      <c r="K982" s="152"/>
      <c r="L982" s="152"/>
      <c r="M982" s="152"/>
      <c r="N982" s="152"/>
      <c r="O982" s="152"/>
      <c r="P982" s="152"/>
      <c r="Q982" s="152"/>
      <c r="R982" s="152"/>
      <c r="S982" s="152"/>
      <c r="T982" s="152"/>
      <c r="U982" s="152"/>
      <c r="V982" s="152"/>
      <c r="W982" s="152"/>
      <c r="X982" s="152"/>
      <c r="Y982" s="152"/>
    </row>
    <row r="983">
      <c r="A983" s="152"/>
      <c r="B983" s="152"/>
      <c r="C983" s="152"/>
      <c r="D983" s="152"/>
      <c r="E983" s="152"/>
      <c r="F983" s="152"/>
      <c r="G983" s="152"/>
      <c r="H983" s="152"/>
      <c r="I983" s="152"/>
      <c r="J983" s="152"/>
      <c r="K983" s="152"/>
      <c r="L983" s="152"/>
      <c r="M983" s="152"/>
      <c r="N983" s="152"/>
      <c r="O983" s="152"/>
      <c r="P983" s="152"/>
      <c r="Q983" s="152"/>
      <c r="R983" s="152"/>
      <c r="S983" s="152"/>
      <c r="T983" s="152"/>
      <c r="U983" s="152"/>
      <c r="V983" s="152"/>
      <c r="W983" s="152"/>
      <c r="X983" s="152"/>
      <c r="Y983" s="152"/>
    </row>
    <row r="984">
      <c r="A984" s="152"/>
      <c r="B984" s="152"/>
      <c r="C984" s="152"/>
      <c r="D984" s="152"/>
      <c r="E984" s="152"/>
      <c r="F984" s="152"/>
      <c r="G984" s="152"/>
      <c r="H984" s="152"/>
      <c r="I984" s="152"/>
      <c r="J984" s="152"/>
      <c r="K984" s="152"/>
      <c r="L984" s="152"/>
      <c r="M984" s="152"/>
      <c r="N984" s="152"/>
      <c r="O984" s="152"/>
      <c r="P984" s="152"/>
      <c r="Q984" s="152"/>
      <c r="R984" s="152"/>
      <c r="S984" s="152"/>
      <c r="T984" s="152"/>
      <c r="U984" s="152"/>
      <c r="V984" s="152"/>
      <c r="W984" s="152"/>
      <c r="X984" s="152"/>
      <c r="Y984" s="152"/>
    </row>
    <row r="985">
      <c r="A985" s="152"/>
      <c r="B985" s="152"/>
      <c r="C985" s="152"/>
      <c r="D985" s="152"/>
      <c r="E985" s="152"/>
      <c r="F985" s="152"/>
      <c r="G985" s="152"/>
      <c r="H985" s="152"/>
      <c r="I985" s="152"/>
      <c r="J985" s="152"/>
      <c r="K985" s="152"/>
      <c r="L985" s="152"/>
      <c r="M985" s="152"/>
      <c r="N985" s="152"/>
      <c r="O985" s="152"/>
      <c r="P985" s="152"/>
      <c r="Q985" s="152"/>
      <c r="R985" s="152"/>
      <c r="S985" s="152"/>
      <c r="T985" s="152"/>
      <c r="U985" s="152"/>
      <c r="V985" s="152"/>
      <c r="W985" s="152"/>
      <c r="X985" s="152"/>
      <c r="Y985" s="152"/>
    </row>
    <row r="986">
      <c r="A986" s="152"/>
      <c r="B986" s="152"/>
      <c r="C986" s="152"/>
      <c r="D986" s="152"/>
      <c r="E986" s="152"/>
      <c r="F986" s="152"/>
      <c r="G986" s="152"/>
      <c r="H986" s="152"/>
      <c r="I986" s="152"/>
      <c r="J986" s="152"/>
      <c r="K986" s="152"/>
      <c r="L986" s="152"/>
      <c r="M986" s="152"/>
      <c r="N986" s="152"/>
      <c r="O986" s="152"/>
      <c r="P986" s="152"/>
      <c r="Q986" s="152"/>
      <c r="R986" s="152"/>
      <c r="S986" s="152"/>
      <c r="T986" s="152"/>
      <c r="U986" s="152"/>
      <c r="V986" s="152"/>
      <c r="W986" s="152"/>
      <c r="X986" s="152"/>
      <c r="Y986" s="152"/>
    </row>
    <row r="987">
      <c r="A987" s="152"/>
      <c r="B987" s="152"/>
      <c r="C987" s="152"/>
      <c r="D987" s="152"/>
      <c r="E987" s="152"/>
      <c r="F987" s="152"/>
      <c r="G987" s="152"/>
      <c r="H987" s="152"/>
      <c r="I987" s="152"/>
      <c r="J987" s="152"/>
      <c r="K987" s="152"/>
      <c r="L987" s="152"/>
      <c r="M987" s="152"/>
      <c r="N987" s="152"/>
      <c r="O987" s="152"/>
      <c r="P987" s="152"/>
      <c r="Q987" s="152"/>
      <c r="R987" s="152"/>
      <c r="S987" s="152"/>
      <c r="T987" s="152"/>
      <c r="U987" s="152"/>
      <c r="V987" s="152"/>
      <c r="W987" s="152"/>
      <c r="X987" s="152"/>
      <c r="Y987" s="152"/>
    </row>
    <row r="988">
      <c r="A988" s="152"/>
      <c r="B988" s="152"/>
      <c r="C988" s="152"/>
      <c r="D988" s="152"/>
      <c r="E988" s="152"/>
      <c r="F988" s="152"/>
      <c r="G988" s="152"/>
      <c r="H988" s="152"/>
      <c r="I988" s="152"/>
      <c r="J988" s="152"/>
      <c r="K988" s="152"/>
      <c r="L988" s="152"/>
      <c r="M988" s="152"/>
      <c r="N988" s="152"/>
      <c r="O988" s="152"/>
      <c r="P988" s="152"/>
      <c r="Q988" s="152"/>
      <c r="R988" s="152"/>
      <c r="S988" s="152"/>
      <c r="T988" s="152"/>
      <c r="U988" s="152"/>
      <c r="V988" s="152"/>
      <c r="W988" s="152"/>
      <c r="X988" s="152"/>
      <c r="Y988" s="152"/>
    </row>
    <row r="989">
      <c r="A989" s="152"/>
      <c r="B989" s="152"/>
      <c r="C989" s="152"/>
      <c r="D989" s="152"/>
      <c r="E989" s="152"/>
      <c r="F989" s="152"/>
      <c r="G989" s="152"/>
      <c r="H989" s="152"/>
      <c r="I989" s="152"/>
      <c r="J989" s="152"/>
      <c r="K989" s="152"/>
      <c r="L989" s="152"/>
      <c r="M989" s="152"/>
      <c r="N989" s="152"/>
      <c r="O989" s="152"/>
      <c r="P989" s="152"/>
      <c r="Q989" s="152"/>
      <c r="R989" s="152"/>
      <c r="S989" s="152"/>
      <c r="T989" s="152"/>
      <c r="U989" s="152"/>
      <c r="V989" s="152"/>
      <c r="W989" s="152"/>
      <c r="X989" s="152"/>
      <c r="Y989" s="152"/>
    </row>
    <row r="990">
      <c r="A990" s="152"/>
      <c r="B990" s="152"/>
      <c r="C990" s="152"/>
      <c r="D990" s="152"/>
      <c r="E990" s="152"/>
      <c r="F990" s="152"/>
      <c r="G990" s="152"/>
      <c r="H990" s="152"/>
      <c r="I990" s="152"/>
      <c r="J990" s="152"/>
      <c r="K990" s="152"/>
      <c r="L990" s="152"/>
      <c r="M990" s="152"/>
      <c r="N990" s="152"/>
      <c r="O990" s="152"/>
      <c r="P990" s="152"/>
      <c r="Q990" s="152"/>
      <c r="R990" s="152"/>
      <c r="S990" s="152"/>
      <c r="T990" s="152"/>
      <c r="U990" s="152"/>
      <c r="V990" s="152"/>
      <c r="W990" s="152"/>
      <c r="X990" s="152"/>
      <c r="Y990" s="152"/>
    </row>
    <row r="991">
      <c r="A991" s="152"/>
      <c r="B991" s="152"/>
      <c r="C991" s="152"/>
      <c r="D991" s="152"/>
      <c r="E991" s="152"/>
      <c r="F991" s="152"/>
      <c r="G991" s="152"/>
      <c r="H991" s="152"/>
      <c r="I991" s="152"/>
      <c r="J991" s="152"/>
      <c r="K991" s="152"/>
      <c r="L991" s="152"/>
      <c r="M991" s="152"/>
      <c r="N991" s="152"/>
      <c r="O991" s="152"/>
      <c r="P991" s="152"/>
      <c r="Q991" s="152"/>
      <c r="R991" s="152"/>
      <c r="S991" s="152"/>
      <c r="T991" s="152"/>
      <c r="U991" s="152"/>
      <c r="V991" s="152"/>
      <c r="W991" s="152"/>
      <c r="X991" s="152"/>
      <c r="Y991" s="152"/>
    </row>
    <row r="992">
      <c r="A992" s="152"/>
      <c r="B992" s="152"/>
      <c r="C992" s="152"/>
      <c r="D992" s="152"/>
      <c r="E992" s="152"/>
      <c r="F992" s="152"/>
      <c r="G992" s="152"/>
      <c r="H992" s="152"/>
      <c r="I992" s="152"/>
      <c r="J992" s="152"/>
      <c r="K992" s="152"/>
      <c r="L992" s="152"/>
      <c r="M992" s="152"/>
      <c r="N992" s="152"/>
      <c r="O992" s="152"/>
      <c r="P992" s="152"/>
      <c r="Q992" s="152"/>
      <c r="R992" s="152"/>
      <c r="S992" s="152"/>
      <c r="T992" s="152"/>
      <c r="U992" s="152"/>
      <c r="V992" s="152"/>
      <c r="W992" s="152"/>
      <c r="X992" s="152"/>
      <c r="Y992" s="152"/>
    </row>
    <row r="993">
      <c r="A993" s="152"/>
      <c r="B993" s="152"/>
      <c r="C993" s="152"/>
      <c r="D993" s="152"/>
      <c r="E993" s="152"/>
      <c r="F993" s="152"/>
      <c r="G993" s="152"/>
      <c r="H993" s="152"/>
      <c r="I993" s="152"/>
      <c r="J993" s="152"/>
      <c r="K993" s="152"/>
      <c r="L993" s="152"/>
      <c r="M993" s="152"/>
      <c r="N993" s="152"/>
      <c r="O993" s="152"/>
      <c r="P993" s="152"/>
      <c r="Q993" s="152"/>
      <c r="R993" s="152"/>
      <c r="S993" s="152"/>
      <c r="T993" s="152"/>
      <c r="U993" s="152"/>
      <c r="V993" s="152"/>
      <c r="W993" s="152"/>
      <c r="X993" s="152"/>
      <c r="Y993" s="152"/>
    </row>
    <row r="994">
      <c r="A994" s="152"/>
      <c r="B994" s="152"/>
      <c r="C994" s="152"/>
      <c r="D994" s="152"/>
      <c r="E994" s="152"/>
      <c r="F994" s="152"/>
      <c r="G994" s="152"/>
      <c r="H994" s="152"/>
      <c r="I994" s="152"/>
      <c r="J994" s="152"/>
      <c r="K994" s="152"/>
      <c r="L994" s="152"/>
      <c r="M994" s="152"/>
      <c r="N994" s="152"/>
      <c r="O994" s="152"/>
      <c r="P994" s="152"/>
      <c r="Q994" s="152"/>
      <c r="R994" s="152"/>
      <c r="S994" s="152"/>
      <c r="T994" s="152"/>
      <c r="U994" s="152"/>
      <c r="V994" s="152"/>
      <c r="W994" s="152"/>
      <c r="X994" s="152"/>
      <c r="Y994" s="152"/>
    </row>
    <row r="995">
      <c r="A995" s="152"/>
      <c r="B995" s="152"/>
      <c r="C995" s="152"/>
      <c r="D995" s="152"/>
      <c r="E995" s="152"/>
      <c r="F995" s="152"/>
      <c r="G995" s="152"/>
      <c r="H995" s="152"/>
      <c r="I995" s="152"/>
      <c r="J995" s="152"/>
      <c r="K995" s="152"/>
      <c r="L995" s="152"/>
      <c r="M995" s="152"/>
      <c r="N995" s="152"/>
      <c r="O995" s="152"/>
      <c r="P995" s="152"/>
      <c r="Q995" s="152"/>
      <c r="R995" s="152"/>
      <c r="S995" s="152"/>
      <c r="T995" s="152"/>
      <c r="U995" s="152"/>
      <c r="V995" s="152"/>
      <c r="W995" s="152"/>
      <c r="X995" s="152"/>
      <c r="Y995" s="152"/>
    </row>
    <row r="996">
      <c r="A996" s="152"/>
      <c r="B996" s="152"/>
      <c r="C996" s="152"/>
      <c r="D996" s="152"/>
      <c r="E996" s="152"/>
      <c r="F996" s="152"/>
      <c r="G996" s="152"/>
      <c r="H996" s="152"/>
      <c r="I996" s="152"/>
      <c r="J996" s="152"/>
      <c r="K996" s="152"/>
      <c r="L996" s="152"/>
      <c r="M996" s="152"/>
      <c r="N996" s="152"/>
      <c r="O996" s="152"/>
      <c r="P996" s="152"/>
      <c r="Q996" s="152"/>
      <c r="R996" s="152"/>
      <c r="S996" s="152"/>
      <c r="T996" s="152"/>
      <c r="U996" s="152"/>
      <c r="V996" s="152"/>
      <c r="W996" s="152"/>
      <c r="X996" s="152"/>
      <c r="Y996" s="152"/>
    </row>
    <row r="997">
      <c r="A997" s="152"/>
      <c r="B997" s="152"/>
      <c r="C997" s="152"/>
      <c r="D997" s="152"/>
      <c r="E997" s="152"/>
      <c r="F997" s="152"/>
      <c r="G997" s="152"/>
      <c r="H997" s="152"/>
      <c r="I997" s="152"/>
      <c r="J997" s="152"/>
      <c r="K997" s="152"/>
      <c r="L997" s="152"/>
      <c r="M997" s="152"/>
      <c r="N997" s="152"/>
      <c r="O997" s="152"/>
      <c r="P997" s="152"/>
      <c r="Q997" s="152"/>
      <c r="R997" s="152"/>
      <c r="S997" s="152"/>
      <c r="T997" s="152"/>
      <c r="U997" s="152"/>
      <c r="V997" s="152"/>
      <c r="W997" s="152"/>
      <c r="X997" s="152"/>
      <c r="Y997" s="152"/>
    </row>
    <row r="998">
      <c r="A998" s="152"/>
      <c r="B998" s="152"/>
      <c r="C998" s="152"/>
      <c r="D998" s="152"/>
      <c r="E998" s="152"/>
      <c r="F998" s="152"/>
      <c r="G998" s="152"/>
      <c r="H998" s="152"/>
      <c r="I998" s="152"/>
      <c r="J998" s="152"/>
      <c r="K998" s="152"/>
      <c r="L998" s="152"/>
      <c r="M998" s="152"/>
      <c r="N998" s="152"/>
      <c r="O998" s="152"/>
      <c r="P998" s="152"/>
      <c r="Q998" s="152"/>
      <c r="R998" s="152"/>
      <c r="S998" s="152"/>
      <c r="T998" s="152"/>
      <c r="U998" s="152"/>
      <c r="V998" s="152"/>
      <c r="W998" s="152"/>
      <c r="X998" s="152"/>
      <c r="Y998" s="152"/>
    </row>
    <row r="999">
      <c r="A999" s="152"/>
      <c r="B999" s="152"/>
      <c r="C999" s="152"/>
      <c r="D999" s="152"/>
      <c r="E999" s="152"/>
      <c r="F999" s="152"/>
      <c r="G999" s="152"/>
      <c r="H999" s="152"/>
      <c r="I999" s="152"/>
      <c r="J999" s="152"/>
      <c r="K999" s="152"/>
      <c r="L999" s="152"/>
      <c r="M999" s="152"/>
      <c r="N999" s="152"/>
      <c r="O999" s="152"/>
      <c r="P999" s="152"/>
      <c r="Q999" s="152"/>
      <c r="R999" s="152"/>
      <c r="S999" s="152"/>
      <c r="T999" s="152"/>
      <c r="U999" s="152"/>
      <c r="V999" s="152"/>
      <c r="W999" s="152"/>
      <c r="X999" s="152"/>
      <c r="Y999" s="152"/>
    </row>
    <row r="1000">
      <c r="A1000" s="152"/>
      <c r="B1000" s="152"/>
      <c r="C1000" s="152"/>
      <c r="D1000" s="152"/>
      <c r="E1000" s="152"/>
      <c r="F1000" s="152"/>
      <c r="G1000" s="152"/>
      <c r="H1000" s="152"/>
      <c r="I1000" s="152"/>
      <c r="J1000" s="152"/>
      <c r="K1000" s="152"/>
      <c r="L1000" s="152"/>
      <c r="M1000" s="152"/>
      <c r="N1000" s="152"/>
      <c r="O1000" s="152"/>
      <c r="P1000" s="152"/>
      <c r="Q1000" s="152"/>
      <c r="R1000" s="152"/>
      <c r="S1000" s="152"/>
      <c r="T1000" s="152"/>
      <c r="U1000" s="152"/>
      <c r="V1000" s="152"/>
      <c r="W1000" s="152"/>
      <c r="X1000" s="152"/>
      <c r="Y1000" s="152"/>
    </row>
    <row r="1001">
      <c r="A1001" s="152"/>
      <c r="B1001" s="152"/>
      <c r="C1001" s="152"/>
      <c r="D1001" s="152"/>
      <c r="E1001" s="152"/>
      <c r="F1001" s="152"/>
      <c r="G1001" s="152"/>
      <c r="H1001" s="152"/>
      <c r="I1001" s="152"/>
      <c r="J1001" s="152"/>
      <c r="K1001" s="152"/>
      <c r="L1001" s="152"/>
      <c r="M1001" s="152"/>
      <c r="N1001" s="152"/>
      <c r="O1001" s="152"/>
      <c r="P1001" s="152"/>
      <c r="Q1001" s="152"/>
      <c r="R1001" s="152"/>
      <c r="S1001" s="152"/>
      <c r="T1001" s="152"/>
      <c r="U1001" s="152"/>
      <c r="V1001" s="152"/>
      <c r="W1001" s="152"/>
      <c r="X1001" s="152"/>
      <c r="Y1001" s="152"/>
    </row>
    <row r="1002">
      <c r="A1002" s="152"/>
      <c r="B1002" s="152"/>
      <c r="C1002" s="152"/>
      <c r="D1002" s="152"/>
      <c r="E1002" s="152"/>
      <c r="F1002" s="152"/>
      <c r="G1002" s="152"/>
      <c r="H1002" s="152"/>
      <c r="I1002" s="152"/>
      <c r="J1002" s="152"/>
      <c r="K1002" s="152"/>
      <c r="L1002" s="152"/>
      <c r="M1002" s="152"/>
      <c r="N1002" s="152"/>
      <c r="O1002" s="152"/>
      <c r="P1002" s="152"/>
      <c r="Q1002" s="152"/>
      <c r="R1002" s="152"/>
      <c r="S1002" s="152"/>
      <c r="T1002" s="152"/>
      <c r="U1002" s="152"/>
      <c r="V1002" s="152"/>
      <c r="W1002" s="152"/>
      <c r="X1002" s="152"/>
      <c r="Y1002" s="15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33.88"/>
  </cols>
  <sheetData>
    <row r="3">
      <c r="A3" s="61" t="s">
        <v>5280</v>
      </c>
      <c r="B3" s="61" t="s">
        <v>5281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38"/>
    <col customWidth="1" min="2" max="2" width="24.0"/>
    <col customWidth="1" min="3" max="3" width="29.38"/>
    <col customWidth="1" min="4" max="4" width="17.88"/>
    <col customWidth="1" min="5" max="5" width="16.13"/>
    <col customWidth="1" min="6" max="6" width="25.63"/>
    <col customWidth="1" min="7" max="7" width="18.0"/>
    <col customWidth="1" min="8" max="8" width="11.38"/>
  </cols>
  <sheetData>
    <row r="1">
      <c r="A1" s="166" t="s">
        <v>5282</v>
      </c>
      <c r="B1" s="167" t="s">
        <v>5168</v>
      </c>
      <c r="C1" s="166" t="s">
        <v>5283</v>
      </c>
      <c r="D1" s="166" t="s">
        <v>4291</v>
      </c>
      <c r="E1" s="168" t="s">
        <v>5284</v>
      </c>
      <c r="F1" s="169" t="s">
        <v>5285</v>
      </c>
      <c r="G1" s="169" t="s">
        <v>5286</v>
      </c>
      <c r="H1" s="166" t="s">
        <v>5287</v>
      </c>
      <c r="I1" s="162"/>
      <c r="J1" s="162"/>
      <c r="K1" s="162"/>
      <c r="L1" s="162"/>
      <c r="M1" s="162"/>
      <c r="N1" s="162"/>
      <c r="O1" s="162"/>
      <c r="P1" s="162"/>
      <c r="Q1" s="162"/>
      <c r="R1" s="162"/>
      <c r="S1" s="162"/>
      <c r="T1" s="162"/>
      <c r="U1" s="162"/>
      <c r="V1" s="162"/>
    </row>
    <row r="2">
      <c r="A2" s="170">
        <v>45902.0</v>
      </c>
      <c r="B2" s="171" t="s">
        <v>5288</v>
      </c>
      <c r="C2" s="61" t="s">
        <v>5289</v>
      </c>
      <c r="D2" s="61" t="s">
        <v>5290</v>
      </c>
      <c r="E2" s="146" t="s">
        <v>5291</v>
      </c>
      <c r="F2" s="146"/>
      <c r="G2" s="146"/>
      <c r="H2" s="61" t="s">
        <v>5292</v>
      </c>
    </row>
    <row r="3">
      <c r="A3" s="170">
        <v>45903.0</v>
      </c>
      <c r="B3" s="171" t="s">
        <v>3281</v>
      </c>
      <c r="C3" s="61" t="s">
        <v>3280</v>
      </c>
      <c r="D3" s="61" t="s">
        <v>4485</v>
      </c>
      <c r="E3" s="146" t="s">
        <v>5293</v>
      </c>
      <c r="F3" s="146" t="s">
        <v>5294</v>
      </c>
      <c r="G3" s="146" t="s">
        <v>5295</v>
      </c>
      <c r="H3" s="61" t="s">
        <v>5292</v>
      </c>
    </row>
    <row r="4">
      <c r="A4" s="170">
        <v>45903.0</v>
      </c>
      <c r="B4" s="171" t="s">
        <v>4993</v>
      </c>
      <c r="C4" s="61" t="s">
        <v>5296</v>
      </c>
      <c r="D4" s="61" t="s">
        <v>5297</v>
      </c>
      <c r="E4" s="146" t="s">
        <v>5291</v>
      </c>
      <c r="F4" s="150"/>
      <c r="G4" s="146"/>
      <c r="H4" s="61" t="s">
        <v>5292</v>
      </c>
    </row>
    <row r="5">
      <c r="A5" s="170">
        <v>45903.0</v>
      </c>
      <c r="B5" s="171" t="s">
        <v>4904</v>
      </c>
      <c r="C5" s="61" t="s">
        <v>5298</v>
      </c>
      <c r="D5" s="61" t="s">
        <v>5299</v>
      </c>
      <c r="E5" s="146" t="s">
        <v>5291</v>
      </c>
      <c r="F5" s="146"/>
      <c r="G5" s="146"/>
      <c r="H5" s="61" t="s">
        <v>5292</v>
      </c>
    </row>
    <row r="6">
      <c r="A6" s="170">
        <v>45903.0</v>
      </c>
      <c r="B6" s="171" t="s">
        <v>1237</v>
      </c>
      <c r="C6" s="61" t="s">
        <v>3774</v>
      </c>
      <c r="D6" s="61" t="s">
        <v>4450</v>
      </c>
      <c r="E6" s="146" t="s">
        <v>5293</v>
      </c>
      <c r="F6" s="146" t="s">
        <v>5300</v>
      </c>
      <c r="G6" s="146" t="s">
        <v>5301</v>
      </c>
      <c r="H6" s="61" t="s">
        <v>5292</v>
      </c>
    </row>
    <row r="7">
      <c r="A7" s="170">
        <v>45903.0</v>
      </c>
      <c r="B7" s="171" t="s">
        <v>5302</v>
      </c>
      <c r="C7" s="61" t="s">
        <v>5303</v>
      </c>
      <c r="D7" s="61" t="s">
        <v>5304</v>
      </c>
      <c r="E7" s="146" t="s">
        <v>5291</v>
      </c>
      <c r="F7" s="146"/>
      <c r="G7" s="146"/>
      <c r="H7" s="61" t="s">
        <v>5292</v>
      </c>
    </row>
    <row r="8">
      <c r="A8" s="170">
        <v>45904.0</v>
      </c>
      <c r="B8" s="171" t="s">
        <v>5305</v>
      </c>
      <c r="C8" s="61" t="s">
        <v>5306</v>
      </c>
      <c r="D8" s="61" t="s">
        <v>5307</v>
      </c>
      <c r="E8" s="146" t="s">
        <v>5291</v>
      </c>
      <c r="F8" s="146"/>
      <c r="G8" s="146"/>
      <c r="H8" s="61" t="s">
        <v>5292</v>
      </c>
    </row>
    <row r="9">
      <c r="A9" s="170">
        <v>45904.0</v>
      </c>
      <c r="B9" s="171" t="s">
        <v>3872</v>
      </c>
      <c r="C9" s="61" t="s">
        <v>3871</v>
      </c>
      <c r="D9" s="61" t="s">
        <v>4512</v>
      </c>
      <c r="E9" s="146" t="s">
        <v>5293</v>
      </c>
      <c r="F9" s="146" t="s">
        <v>5300</v>
      </c>
      <c r="G9" s="146" t="s">
        <v>5308</v>
      </c>
      <c r="H9" s="61" t="s">
        <v>5292</v>
      </c>
    </row>
    <row r="10">
      <c r="A10" s="170">
        <v>45904.0</v>
      </c>
      <c r="B10" s="171" t="s">
        <v>5272</v>
      </c>
      <c r="C10" s="61" t="s">
        <v>5274</v>
      </c>
      <c r="D10" s="61" t="s">
        <v>5309</v>
      </c>
      <c r="E10" s="146" t="s">
        <v>5310</v>
      </c>
      <c r="F10" s="146"/>
      <c r="G10" s="146"/>
      <c r="H10" s="61" t="s">
        <v>5292</v>
      </c>
    </row>
    <row r="11">
      <c r="A11" s="170">
        <v>45904.0</v>
      </c>
      <c r="B11" s="171" t="s">
        <v>5311</v>
      </c>
      <c r="C11" s="61" t="s">
        <v>5312</v>
      </c>
      <c r="D11" s="61" t="s">
        <v>5309</v>
      </c>
      <c r="E11" s="146" t="s">
        <v>5310</v>
      </c>
      <c r="F11" s="146"/>
      <c r="G11" s="146"/>
      <c r="H11" s="61" t="s">
        <v>5292</v>
      </c>
    </row>
    <row r="12">
      <c r="A12" s="170">
        <v>45908.0</v>
      </c>
      <c r="B12" s="171" t="s">
        <v>3801</v>
      </c>
      <c r="C12" s="61" t="s">
        <v>3800</v>
      </c>
      <c r="D12" s="61" t="s">
        <v>5313</v>
      </c>
      <c r="E12" s="146" t="s">
        <v>5293</v>
      </c>
      <c r="F12" s="146" t="s">
        <v>5300</v>
      </c>
      <c r="G12" s="146" t="s">
        <v>5314</v>
      </c>
      <c r="H12" s="61" t="s">
        <v>5292</v>
      </c>
    </row>
    <row r="13">
      <c r="A13" s="170">
        <v>45908.0</v>
      </c>
      <c r="B13" s="171" t="s">
        <v>5315</v>
      </c>
      <c r="C13" s="61" t="s">
        <v>3841</v>
      </c>
      <c r="D13" s="61" t="s">
        <v>4573</v>
      </c>
      <c r="E13" s="146" t="s">
        <v>5293</v>
      </c>
      <c r="G13" s="146" t="s">
        <v>5316</v>
      </c>
      <c r="H13" s="61" t="s">
        <v>5292</v>
      </c>
    </row>
    <row r="14">
      <c r="A14" s="170">
        <v>45909.0</v>
      </c>
      <c r="B14" s="171" t="s">
        <v>1271</v>
      </c>
      <c r="C14" s="61" t="s">
        <v>1270</v>
      </c>
      <c r="D14" s="61" t="s">
        <v>4654</v>
      </c>
      <c r="E14" s="146" t="s">
        <v>5293</v>
      </c>
      <c r="F14" s="146" t="s">
        <v>5317</v>
      </c>
      <c r="G14" s="146" t="s">
        <v>5316</v>
      </c>
      <c r="H14" s="61" t="s">
        <v>5292</v>
      </c>
    </row>
    <row r="15">
      <c r="A15" s="170">
        <v>45910.0</v>
      </c>
      <c r="B15" s="171" t="s">
        <v>5318</v>
      </c>
      <c r="C15" s="61" t="s">
        <v>5319</v>
      </c>
      <c r="D15" s="61" t="s">
        <v>5309</v>
      </c>
      <c r="E15" s="146" t="s">
        <v>5293</v>
      </c>
      <c r="F15" s="146" t="s">
        <v>5317</v>
      </c>
      <c r="G15" s="146"/>
      <c r="H15" s="61" t="s">
        <v>5320</v>
      </c>
    </row>
    <row r="16">
      <c r="A16" s="170">
        <v>45910.0</v>
      </c>
      <c r="B16" s="171" t="s">
        <v>4020</v>
      </c>
      <c r="C16" s="61" t="s">
        <v>4019</v>
      </c>
      <c r="D16" s="61" t="s">
        <v>5321</v>
      </c>
      <c r="E16" s="146" t="s">
        <v>5293</v>
      </c>
      <c r="F16" s="146" t="s">
        <v>5317</v>
      </c>
      <c r="G16" s="146"/>
      <c r="H16" s="61" t="s">
        <v>5320</v>
      </c>
    </row>
    <row r="17">
      <c r="A17" s="170">
        <v>45910.0</v>
      </c>
      <c r="B17" s="171" t="s">
        <v>5322</v>
      </c>
      <c r="C17" s="61" t="s">
        <v>5323</v>
      </c>
      <c r="D17" s="61" t="s">
        <v>5309</v>
      </c>
      <c r="E17" s="146" t="s">
        <v>5293</v>
      </c>
      <c r="F17" s="146" t="s">
        <v>5317</v>
      </c>
      <c r="G17" s="146"/>
      <c r="H17" s="61" t="s">
        <v>5320</v>
      </c>
    </row>
    <row r="18">
      <c r="A18" s="170">
        <v>45911.0</v>
      </c>
      <c r="B18" s="171" t="s">
        <v>5324</v>
      </c>
      <c r="C18" s="61" t="s">
        <v>5325</v>
      </c>
      <c r="D18" s="61" t="s">
        <v>5326</v>
      </c>
      <c r="E18" s="146" t="s">
        <v>5327</v>
      </c>
      <c r="F18" s="146"/>
      <c r="G18" s="146" t="s">
        <v>5328</v>
      </c>
      <c r="H18" s="61" t="s">
        <v>5292</v>
      </c>
    </row>
    <row r="19">
      <c r="A19" s="170">
        <v>45911.0</v>
      </c>
      <c r="B19" s="171" t="s">
        <v>5065</v>
      </c>
      <c r="C19" s="61" t="s">
        <v>5329</v>
      </c>
      <c r="D19" s="61" t="s">
        <v>5330</v>
      </c>
      <c r="E19" s="146" t="s">
        <v>5291</v>
      </c>
      <c r="F19" s="146"/>
      <c r="G19" s="146"/>
      <c r="H19" s="61" t="s">
        <v>5292</v>
      </c>
    </row>
    <row r="20">
      <c r="A20" s="170">
        <v>45912.0</v>
      </c>
      <c r="B20" s="171" t="s">
        <v>5331</v>
      </c>
      <c r="C20" s="61" t="s">
        <v>5332</v>
      </c>
      <c r="D20" s="61" t="s">
        <v>5309</v>
      </c>
      <c r="E20" s="146" t="s">
        <v>5333</v>
      </c>
      <c r="F20" s="146"/>
      <c r="G20" s="146"/>
      <c r="H20" s="61" t="s">
        <v>5320</v>
      </c>
    </row>
    <row r="21">
      <c r="A21" s="170">
        <v>45915.0</v>
      </c>
      <c r="B21" s="171" t="s">
        <v>3583</v>
      </c>
      <c r="C21" s="61" t="s">
        <v>5334</v>
      </c>
      <c r="D21" s="61" t="s">
        <v>5335</v>
      </c>
      <c r="E21" s="146" t="s">
        <v>5293</v>
      </c>
      <c r="F21" s="146" t="s">
        <v>5300</v>
      </c>
      <c r="G21" s="146" t="s">
        <v>5314</v>
      </c>
      <c r="H21" s="61" t="s">
        <v>5292</v>
      </c>
    </row>
    <row r="22">
      <c r="A22" s="170">
        <v>45915.0</v>
      </c>
      <c r="B22" s="171" t="s">
        <v>3583</v>
      </c>
      <c r="C22" s="61" t="s">
        <v>5334</v>
      </c>
      <c r="D22" s="61" t="s">
        <v>4815</v>
      </c>
      <c r="E22" s="146" t="s">
        <v>5293</v>
      </c>
      <c r="F22" s="146" t="s">
        <v>5300</v>
      </c>
      <c r="G22" s="146" t="s">
        <v>5336</v>
      </c>
      <c r="H22" s="61" t="s">
        <v>5292</v>
      </c>
    </row>
    <row r="23">
      <c r="A23" s="170">
        <v>45915.0</v>
      </c>
      <c r="B23" s="171" t="s">
        <v>3615</v>
      </c>
      <c r="C23" s="61" t="s">
        <v>3614</v>
      </c>
      <c r="D23" s="61" t="s">
        <v>4571</v>
      </c>
      <c r="E23" s="146" t="s">
        <v>5293</v>
      </c>
      <c r="F23" s="146" t="s">
        <v>5300</v>
      </c>
      <c r="G23" s="146" t="s">
        <v>5337</v>
      </c>
      <c r="H23" s="61" t="s">
        <v>5292</v>
      </c>
    </row>
    <row r="24">
      <c r="A24" s="170">
        <v>45915.0</v>
      </c>
      <c r="B24" s="171" t="s">
        <v>1689</v>
      </c>
      <c r="C24" s="61" t="s">
        <v>1850</v>
      </c>
      <c r="D24" s="61" t="s">
        <v>4586</v>
      </c>
      <c r="E24" s="146" t="s">
        <v>5293</v>
      </c>
      <c r="F24" s="146" t="s">
        <v>5300</v>
      </c>
      <c r="G24" s="146" t="s">
        <v>5338</v>
      </c>
      <c r="H24" s="61" t="s">
        <v>5292</v>
      </c>
    </row>
    <row r="25" ht="42.75" customHeight="1">
      <c r="A25" s="170">
        <v>45916.0</v>
      </c>
      <c r="B25" s="171" t="s">
        <v>5339</v>
      </c>
      <c r="C25" s="172" t="s">
        <v>5340</v>
      </c>
      <c r="D25" s="61" t="s">
        <v>5309</v>
      </c>
      <c r="E25" s="146" t="s">
        <v>5310</v>
      </c>
      <c r="F25" s="173" t="s">
        <v>5341</v>
      </c>
      <c r="G25" s="146" t="s">
        <v>5342</v>
      </c>
      <c r="H25" s="61" t="s">
        <v>5292</v>
      </c>
    </row>
    <row r="26">
      <c r="A26" s="170">
        <v>45916.0</v>
      </c>
      <c r="B26" s="171" t="s">
        <v>5343</v>
      </c>
      <c r="C26" s="61" t="s">
        <v>3624</v>
      </c>
      <c r="D26" s="61" t="s">
        <v>5344</v>
      </c>
      <c r="E26" s="146" t="s">
        <v>5293</v>
      </c>
      <c r="F26" s="146" t="s">
        <v>5345</v>
      </c>
      <c r="G26" s="146" t="s">
        <v>5338</v>
      </c>
      <c r="H26" s="61" t="s">
        <v>5292</v>
      </c>
    </row>
    <row r="27">
      <c r="A27" s="170">
        <v>45917.0</v>
      </c>
      <c r="B27" s="171" t="s">
        <v>5346</v>
      </c>
      <c r="C27" s="61" t="s">
        <v>3060</v>
      </c>
      <c r="D27" s="61" t="s">
        <v>5347</v>
      </c>
      <c r="E27" s="146" t="s">
        <v>5348</v>
      </c>
      <c r="F27" s="146" t="s">
        <v>5349</v>
      </c>
      <c r="G27" s="146" t="s">
        <v>5350</v>
      </c>
      <c r="H27" s="61" t="s">
        <v>5292</v>
      </c>
    </row>
    <row r="28">
      <c r="A28" s="156">
        <v>45917.0</v>
      </c>
      <c r="B28" s="171" t="s">
        <v>5351</v>
      </c>
      <c r="C28" s="61" t="s">
        <v>5352</v>
      </c>
      <c r="D28" s="61" t="s">
        <v>5309</v>
      </c>
      <c r="E28" s="146" t="s">
        <v>5293</v>
      </c>
      <c r="F28" s="146" t="s">
        <v>5317</v>
      </c>
      <c r="G28" s="150"/>
      <c r="H28" s="61" t="s">
        <v>5320</v>
      </c>
    </row>
    <row r="29">
      <c r="A29" s="156">
        <v>45918.0</v>
      </c>
      <c r="B29" s="171" t="s">
        <v>286</v>
      </c>
      <c r="C29" s="61" t="s">
        <v>5353</v>
      </c>
      <c r="D29" s="61" t="s">
        <v>5354</v>
      </c>
      <c r="E29" s="146" t="s">
        <v>5293</v>
      </c>
      <c r="F29" s="146" t="s">
        <v>5317</v>
      </c>
      <c r="G29" s="146" t="s">
        <v>5355</v>
      </c>
      <c r="H29" s="61" t="s">
        <v>5292</v>
      </c>
    </row>
    <row r="30">
      <c r="A30" s="156">
        <v>45919.0</v>
      </c>
      <c r="B30" s="171" t="s">
        <v>4009</v>
      </c>
      <c r="C30" s="61" t="s">
        <v>5356</v>
      </c>
      <c r="D30" s="61" t="s">
        <v>4467</v>
      </c>
      <c r="E30" s="146" t="s">
        <v>5293</v>
      </c>
      <c r="F30" s="146" t="s">
        <v>5357</v>
      </c>
      <c r="G30" s="146" t="s">
        <v>5358</v>
      </c>
      <c r="H30" s="61" t="s">
        <v>5292</v>
      </c>
    </row>
    <row r="31">
      <c r="A31" s="156">
        <v>45922.0</v>
      </c>
      <c r="B31" s="171" t="s">
        <v>5359</v>
      </c>
      <c r="C31" s="61" t="s">
        <v>5360</v>
      </c>
      <c r="D31" s="61" t="s">
        <v>5309</v>
      </c>
      <c r="E31" s="146" t="s">
        <v>5293</v>
      </c>
      <c r="F31" s="146" t="s">
        <v>5361</v>
      </c>
      <c r="G31" s="150"/>
      <c r="H31" s="61" t="s">
        <v>5320</v>
      </c>
    </row>
    <row r="32">
      <c r="A32" s="156">
        <v>45923.0</v>
      </c>
      <c r="B32" s="171" t="s">
        <v>5278</v>
      </c>
      <c r="C32" s="61" t="s">
        <v>4029</v>
      </c>
      <c r="D32" s="61" t="s">
        <v>5309</v>
      </c>
      <c r="E32" s="146" t="s">
        <v>5293</v>
      </c>
      <c r="F32" s="146" t="s">
        <v>5317</v>
      </c>
      <c r="G32" s="150"/>
      <c r="H32" s="61" t="s">
        <v>5320</v>
      </c>
    </row>
    <row r="33">
      <c r="A33" s="156">
        <v>45923.0</v>
      </c>
      <c r="B33" s="171" t="s">
        <v>5362</v>
      </c>
      <c r="C33" s="61" t="s">
        <v>5363</v>
      </c>
      <c r="D33" s="61" t="s">
        <v>5309</v>
      </c>
      <c r="E33" s="146" t="s">
        <v>5293</v>
      </c>
      <c r="F33" s="146" t="s">
        <v>5361</v>
      </c>
      <c r="G33" s="150"/>
      <c r="H33" s="61" t="s">
        <v>5320</v>
      </c>
    </row>
    <row r="34">
      <c r="A34" s="156">
        <v>45924.0</v>
      </c>
      <c r="B34" s="171" t="s">
        <v>3982</v>
      </c>
      <c r="C34" s="61" t="s">
        <v>3981</v>
      </c>
      <c r="D34" s="61" t="s">
        <v>4680</v>
      </c>
      <c r="E34" s="146" t="s">
        <v>5293</v>
      </c>
      <c r="F34" s="146" t="s">
        <v>5317</v>
      </c>
      <c r="G34" s="150"/>
      <c r="H34" s="61" t="s">
        <v>5320</v>
      </c>
    </row>
    <row r="35">
      <c r="A35" s="156">
        <v>45925.0</v>
      </c>
      <c r="B35" s="171" t="s">
        <v>4954</v>
      </c>
      <c r="C35" s="61" t="s">
        <v>5364</v>
      </c>
      <c r="D35" s="61" t="s">
        <v>5365</v>
      </c>
      <c r="E35" s="146" t="s">
        <v>5291</v>
      </c>
      <c r="F35" s="146" t="s">
        <v>5366</v>
      </c>
      <c r="G35" s="146" t="s">
        <v>5367</v>
      </c>
      <c r="H35" s="61" t="s">
        <v>5292</v>
      </c>
    </row>
    <row r="36">
      <c r="A36" s="156">
        <v>45925.0</v>
      </c>
      <c r="B36" s="171" t="s">
        <v>4001</v>
      </c>
      <c r="C36" s="61" t="s">
        <v>5368</v>
      </c>
      <c r="D36" s="61" t="s">
        <v>4586</v>
      </c>
      <c r="E36" s="146" t="s">
        <v>5293</v>
      </c>
      <c r="F36" s="146" t="s">
        <v>5317</v>
      </c>
      <c r="G36" s="146" t="s">
        <v>5369</v>
      </c>
      <c r="H36" s="61" t="s">
        <v>5292</v>
      </c>
    </row>
    <row r="37">
      <c r="A37" s="156">
        <v>45926.0</v>
      </c>
      <c r="B37" s="171" t="s">
        <v>2798</v>
      </c>
      <c r="C37" s="61" t="s">
        <v>2797</v>
      </c>
      <c r="D37" s="61" t="s">
        <v>4655</v>
      </c>
      <c r="E37" s="146" t="s">
        <v>5293</v>
      </c>
      <c r="F37" s="146" t="s">
        <v>5317</v>
      </c>
      <c r="G37" s="146" t="s">
        <v>5369</v>
      </c>
      <c r="H37" s="61" t="s">
        <v>5292</v>
      </c>
    </row>
    <row r="38">
      <c r="A38" s="156">
        <v>45926.0</v>
      </c>
      <c r="B38" s="171" t="s">
        <v>3956</v>
      </c>
      <c r="C38" s="61" t="s">
        <v>3955</v>
      </c>
      <c r="D38" s="61" t="s">
        <v>4678</v>
      </c>
      <c r="E38" s="146" t="s">
        <v>5293</v>
      </c>
      <c r="F38" s="146" t="s">
        <v>5317</v>
      </c>
      <c r="G38" s="146" t="s">
        <v>5369</v>
      </c>
      <c r="H38" s="61" t="s">
        <v>5292</v>
      </c>
    </row>
    <row r="39">
      <c r="A39" s="156">
        <v>45926.0</v>
      </c>
      <c r="B39" s="171" t="s">
        <v>5370</v>
      </c>
      <c r="C39" s="61" t="s">
        <v>5371</v>
      </c>
      <c r="D39" s="61" t="s">
        <v>5309</v>
      </c>
      <c r="E39" s="146" t="s">
        <v>5293</v>
      </c>
      <c r="F39" s="146" t="s">
        <v>5361</v>
      </c>
      <c r="G39" s="150"/>
      <c r="H39" s="61" t="s">
        <v>5320</v>
      </c>
    </row>
    <row r="40">
      <c r="A40" s="156">
        <v>45928.0</v>
      </c>
      <c r="B40" s="171" t="s">
        <v>5372</v>
      </c>
      <c r="C40" s="61" t="s">
        <v>5373</v>
      </c>
      <c r="D40" s="61" t="s">
        <v>5374</v>
      </c>
      <c r="E40" s="146" t="s">
        <v>5293</v>
      </c>
      <c r="F40" s="146" t="s">
        <v>5317</v>
      </c>
      <c r="G40" s="150"/>
      <c r="H40" s="61" t="s">
        <v>5320</v>
      </c>
    </row>
    <row r="41">
      <c r="A41" s="156">
        <v>45929.0</v>
      </c>
      <c r="B41" s="171" t="s">
        <v>5375</v>
      </c>
      <c r="C41" s="61" t="s">
        <v>5376</v>
      </c>
      <c r="D41" s="61" t="s">
        <v>5309</v>
      </c>
      <c r="E41" s="146" t="s">
        <v>5293</v>
      </c>
      <c r="F41" s="146" t="s">
        <v>5317</v>
      </c>
      <c r="G41" s="150"/>
      <c r="H41" s="61" t="s">
        <v>5320</v>
      </c>
    </row>
    <row r="42">
      <c r="A42" s="156">
        <v>45935.0</v>
      </c>
      <c r="B42" s="171" t="s">
        <v>4234</v>
      </c>
      <c r="C42" s="61" t="s">
        <v>5377</v>
      </c>
      <c r="D42" s="61" t="s">
        <v>4446</v>
      </c>
      <c r="E42" s="146" t="s">
        <v>5327</v>
      </c>
      <c r="F42" s="146" t="s">
        <v>5378</v>
      </c>
      <c r="G42" s="146" t="s">
        <v>5379</v>
      </c>
      <c r="H42" s="61" t="s">
        <v>5292</v>
      </c>
    </row>
    <row r="43">
      <c r="A43" s="156">
        <v>45935.0</v>
      </c>
      <c r="B43" s="171" t="s">
        <v>1305</v>
      </c>
      <c r="C43" s="61" t="s">
        <v>1304</v>
      </c>
      <c r="D43" s="61" t="s">
        <v>5380</v>
      </c>
      <c r="E43" s="146" t="s">
        <v>5327</v>
      </c>
      <c r="F43" s="146" t="s">
        <v>5381</v>
      </c>
      <c r="G43" s="146" t="s">
        <v>5379</v>
      </c>
      <c r="H43" s="61" t="s">
        <v>5292</v>
      </c>
    </row>
    <row r="44">
      <c r="A44" s="156">
        <v>45936.0</v>
      </c>
      <c r="B44" s="171" t="s">
        <v>3306</v>
      </c>
      <c r="C44" s="61" t="s">
        <v>3305</v>
      </c>
      <c r="D44" s="61" t="s">
        <v>5382</v>
      </c>
      <c r="E44" s="146" t="s">
        <v>5327</v>
      </c>
      <c r="F44" s="146" t="s">
        <v>5383</v>
      </c>
      <c r="G44" s="146" t="s">
        <v>5384</v>
      </c>
      <c r="H44" s="61" t="s">
        <v>5292</v>
      </c>
    </row>
    <row r="45">
      <c r="A45" s="156">
        <v>45937.0</v>
      </c>
      <c r="B45" s="171" t="s">
        <v>5385</v>
      </c>
      <c r="C45" s="61" t="s">
        <v>5386</v>
      </c>
      <c r="D45" s="61" t="s">
        <v>5309</v>
      </c>
      <c r="E45" s="146" t="s">
        <v>5293</v>
      </c>
      <c r="F45" s="146" t="s">
        <v>5317</v>
      </c>
      <c r="G45" s="150"/>
      <c r="H45" s="61" t="s">
        <v>5320</v>
      </c>
    </row>
    <row r="46">
      <c r="A46" s="156">
        <v>45939.0</v>
      </c>
      <c r="B46" s="171" t="s">
        <v>5302</v>
      </c>
      <c r="C46" s="61" t="s">
        <v>5303</v>
      </c>
      <c r="D46" s="61" t="s">
        <v>5309</v>
      </c>
      <c r="E46" s="146" t="s">
        <v>5293</v>
      </c>
      <c r="F46" s="146" t="s">
        <v>5317</v>
      </c>
      <c r="G46" s="150"/>
      <c r="H46" s="61" t="s">
        <v>5320</v>
      </c>
    </row>
    <row r="47">
      <c r="A47" s="156">
        <v>45940.0</v>
      </c>
      <c r="B47" s="171" t="s">
        <v>5387</v>
      </c>
      <c r="C47" s="61" t="s">
        <v>5388</v>
      </c>
      <c r="D47" s="61" t="s">
        <v>5309</v>
      </c>
      <c r="E47" s="146" t="s">
        <v>5293</v>
      </c>
      <c r="F47" s="146" t="s">
        <v>5361</v>
      </c>
      <c r="G47" s="146"/>
      <c r="H47" s="61" t="s">
        <v>5320</v>
      </c>
    </row>
    <row r="48">
      <c r="A48" s="156">
        <v>45943.0</v>
      </c>
      <c r="B48" s="171" t="s">
        <v>1689</v>
      </c>
      <c r="C48" s="61" t="s">
        <v>1850</v>
      </c>
      <c r="D48" s="61" t="s">
        <v>4586</v>
      </c>
      <c r="E48" s="146" t="s">
        <v>5327</v>
      </c>
      <c r="F48" s="146" t="s">
        <v>5389</v>
      </c>
      <c r="G48" s="146" t="s">
        <v>5390</v>
      </c>
      <c r="H48" s="61" t="s">
        <v>5292</v>
      </c>
    </row>
    <row r="49">
      <c r="A49" s="156">
        <v>45944.0</v>
      </c>
      <c r="B49" s="171" t="s">
        <v>2586</v>
      </c>
      <c r="C49" s="61" t="s">
        <v>5391</v>
      </c>
      <c r="D49" s="61" t="s">
        <v>5309</v>
      </c>
      <c r="E49" s="146" t="s">
        <v>5293</v>
      </c>
      <c r="F49" s="146" t="s">
        <v>5317</v>
      </c>
      <c r="G49" s="150"/>
      <c r="H49" s="61" t="s">
        <v>5320</v>
      </c>
    </row>
    <row r="50">
      <c r="A50" s="156">
        <v>45944.0</v>
      </c>
      <c r="B50" s="171" t="s">
        <v>1689</v>
      </c>
      <c r="C50" s="61" t="s">
        <v>1850</v>
      </c>
      <c r="D50" s="61" t="s">
        <v>4597</v>
      </c>
      <c r="E50" s="146" t="s">
        <v>5327</v>
      </c>
      <c r="F50" s="146" t="s">
        <v>5392</v>
      </c>
      <c r="G50" s="146" t="s">
        <v>5393</v>
      </c>
      <c r="H50" s="61" t="s">
        <v>5292</v>
      </c>
    </row>
    <row r="51">
      <c r="A51" s="156">
        <v>45958.0</v>
      </c>
      <c r="B51" s="171" t="s">
        <v>1689</v>
      </c>
      <c r="C51" s="61" t="s">
        <v>1688</v>
      </c>
      <c r="D51" s="61" t="s">
        <v>4569</v>
      </c>
      <c r="E51" s="146" t="s">
        <v>5327</v>
      </c>
      <c r="F51" s="146" t="s">
        <v>5392</v>
      </c>
      <c r="G51" s="146" t="s">
        <v>5394</v>
      </c>
      <c r="H51" s="61" t="s">
        <v>5292</v>
      </c>
    </row>
    <row r="52">
      <c r="A52" s="156">
        <v>45959.0</v>
      </c>
      <c r="B52" s="171" t="s">
        <v>5395</v>
      </c>
      <c r="C52" s="61" t="s">
        <v>5353</v>
      </c>
      <c r="D52" s="61" t="s">
        <v>5354</v>
      </c>
      <c r="E52" s="146" t="s">
        <v>5348</v>
      </c>
      <c r="F52" s="146" t="s">
        <v>5396</v>
      </c>
      <c r="G52" s="146" t="s">
        <v>5397</v>
      </c>
      <c r="H52" s="61" t="s">
        <v>5292</v>
      </c>
    </row>
    <row r="53">
      <c r="A53" s="156">
        <v>45959.0</v>
      </c>
      <c r="B53" s="171" t="s">
        <v>3935</v>
      </c>
      <c r="C53" s="61" t="s">
        <v>5398</v>
      </c>
      <c r="D53" s="61" t="s">
        <v>4468</v>
      </c>
      <c r="E53" s="146" t="s">
        <v>5293</v>
      </c>
      <c r="F53" s="146" t="s">
        <v>5399</v>
      </c>
      <c r="G53" s="146" t="s">
        <v>5400</v>
      </c>
      <c r="H53" s="61" t="s">
        <v>5320</v>
      </c>
    </row>
    <row r="54">
      <c r="A54" s="156">
        <v>45961.0</v>
      </c>
      <c r="B54" s="171" t="s">
        <v>2315</v>
      </c>
      <c r="C54" s="61" t="s">
        <v>5401</v>
      </c>
      <c r="D54" s="61" t="s">
        <v>5309</v>
      </c>
      <c r="E54" s="146" t="s">
        <v>5293</v>
      </c>
      <c r="F54" s="146" t="s">
        <v>5317</v>
      </c>
      <c r="G54" s="150"/>
      <c r="H54" s="61" t="s">
        <v>5320</v>
      </c>
    </row>
    <row r="55">
      <c r="A55" s="156">
        <v>45964.0</v>
      </c>
      <c r="B55" s="171" t="s">
        <v>1689</v>
      </c>
      <c r="C55" s="61" t="s">
        <v>1850</v>
      </c>
      <c r="D55" s="61" t="s">
        <v>4659</v>
      </c>
      <c r="E55" s="146" t="s">
        <v>5293</v>
      </c>
      <c r="F55" s="146" t="s">
        <v>5402</v>
      </c>
      <c r="G55" s="146" t="s">
        <v>5403</v>
      </c>
      <c r="H55" s="61" t="s">
        <v>5292</v>
      </c>
    </row>
    <row r="56">
      <c r="A56" s="156">
        <v>45964.0</v>
      </c>
      <c r="B56" s="171" t="s">
        <v>5404</v>
      </c>
      <c r="C56" s="61" t="s">
        <v>1304</v>
      </c>
      <c r="D56" s="61" t="s">
        <v>5405</v>
      </c>
      <c r="E56" s="146" t="s">
        <v>5327</v>
      </c>
      <c r="F56" s="146" t="s">
        <v>5392</v>
      </c>
      <c r="G56" s="146" t="s">
        <v>5406</v>
      </c>
      <c r="H56" s="61" t="s">
        <v>5292</v>
      </c>
    </row>
    <row r="57">
      <c r="A57" s="156">
        <v>45966.0</v>
      </c>
      <c r="B57" s="171" t="s">
        <v>1689</v>
      </c>
      <c r="C57" s="61" t="s">
        <v>1850</v>
      </c>
      <c r="D57" s="61" t="s">
        <v>4586</v>
      </c>
      <c r="E57" s="146" t="s">
        <v>5327</v>
      </c>
      <c r="F57" s="146" t="s">
        <v>5407</v>
      </c>
      <c r="G57" s="146" t="s">
        <v>5408</v>
      </c>
      <c r="H57" s="61" t="s">
        <v>5292</v>
      </c>
    </row>
    <row r="58">
      <c r="A58" s="156">
        <v>45968.0</v>
      </c>
      <c r="B58" s="171" t="s">
        <v>5409</v>
      </c>
      <c r="C58" s="61" t="s">
        <v>5189</v>
      </c>
      <c r="D58" s="61" t="s">
        <v>5309</v>
      </c>
      <c r="E58" s="146" t="s">
        <v>5293</v>
      </c>
      <c r="F58" s="146" t="s">
        <v>5410</v>
      </c>
      <c r="G58" s="146" t="s">
        <v>5411</v>
      </c>
      <c r="H58" s="61" t="s">
        <v>5292</v>
      </c>
    </row>
    <row r="59">
      <c r="A59" s="156">
        <v>45972.0</v>
      </c>
      <c r="B59" s="171" t="s">
        <v>137</v>
      </c>
      <c r="C59" s="61" t="s">
        <v>136</v>
      </c>
      <c r="D59" s="61" t="s">
        <v>4338</v>
      </c>
      <c r="E59" s="146" t="s">
        <v>5291</v>
      </c>
      <c r="F59" s="146" t="s">
        <v>5412</v>
      </c>
      <c r="G59" s="146" t="s">
        <v>5413</v>
      </c>
      <c r="H59" s="61" t="s">
        <v>5292</v>
      </c>
    </row>
    <row r="60">
      <c r="A60" s="156">
        <v>45974.0</v>
      </c>
      <c r="B60" s="171" t="s">
        <v>4234</v>
      </c>
      <c r="C60" s="61" t="s">
        <v>5377</v>
      </c>
      <c r="D60" s="61" t="s">
        <v>4446</v>
      </c>
      <c r="E60" s="146" t="s">
        <v>5348</v>
      </c>
      <c r="F60" s="146" t="s">
        <v>5414</v>
      </c>
      <c r="G60" s="146" t="s">
        <v>5415</v>
      </c>
      <c r="H60" s="61" t="s">
        <v>5292</v>
      </c>
    </row>
    <row r="61">
      <c r="A61" s="156">
        <v>45978.0</v>
      </c>
      <c r="B61" s="171" t="s">
        <v>5210</v>
      </c>
      <c r="C61" s="61" t="s">
        <v>5211</v>
      </c>
      <c r="D61" s="61" t="s">
        <v>5416</v>
      </c>
      <c r="E61" s="146" t="s">
        <v>5291</v>
      </c>
      <c r="F61" s="146" t="s">
        <v>5412</v>
      </c>
      <c r="G61" s="146" t="s">
        <v>5413</v>
      </c>
      <c r="H61" s="61" t="s">
        <v>5292</v>
      </c>
    </row>
    <row r="62">
      <c r="A62" s="156">
        <v>45981.0</v>
      </c>
      <c r="B62" s="171" t="s">
        <v>1689</v>
      </c>
      <c r="C62" s="61" t="s">
        <v>1850</v>
      </c>
      <c r="D62" s="61" t="s">
        <v>5417</v>
      </c>
      <c r="E62" s="146" t="s">
        <v>5327</v>
      </c>
      <c r="F62" s="146" t="s">
        <v>5418</v>
      </c>
      <c r="G62" s="146" t="s">
        <v>5419</v>
      </c>
      <c r="H62" s="61" t="s">
        <v>5292</v>
      </c>
    </row>
    <row r="63">
      <c r="A63" s="156">
        <v>45985.0</v>
      </c>
      <c r="B63" s="171" t="s">
        <v>3306</v>
      </c>
      <c r="C63" s="61" t="s">
        <v>3305</v>
      </c>
      <c r="D63" s="61" t="s">
        <v>5382</v>
      </c>
      <c r="E63" s="146" t="s">
        <v>5327</v>
      </c>
      <c r="F63" s="146" t="s">
        <v>5418</v>
      </c>
      <c r="G63" s="146" t="s">
        <v>5420</v>
      </c>
      <c r="H63" s="61" t="s">
        <v>5292</v>
      </c>
    </row>
    <row r="64">
      <c r="A64" s="156">
        <v>45985.0</v>
      </c>
      <c r="B64" s="171" t="s">
        <v>5146</v>
      </c>
      <c r="C64" s="61" t="s">
        <v>5421</v>
      </c>
      <c r="D64" s="61" t="s">
        <v>5422</v>
      </c>
      <c r="E64" s="146" t="s">
        <v>5291</v>
      </c>
      <c r="F64" s="146" t="s">
        <v>5412</v>
      </c>
      <c r="G64" s="146" t="s">
        <v>5413</v>
      </c>
      <c r="H64" s="174" t="s">
        <v>5292</v>
      </c>
    </row>
    <row r="65">
      <c r="A65" s="156">
        <v>45991.0</v>
      </c>
      <c r="B65" s="171" t="s">
        <v>1786</v>
      </c>
      <c r="C65" s="61" t="s">
        <v>5423</v>
      </c>
      <c r="D65" s="61" t="s">
        <v>5424</v>
      </c>
      <c r="E65" s="146" t="s">
        <v>5327</v>
      </c>
      <c r="F65" s="146" t="s">
        <v>5425</v>
      </c>
      <c r="G65" s="146" t="s">
        <v>5420</v>
      </c>
      <c r="H65" s="174" t="s">
        <v>5292</v>
      </c>
    </row>
    <row r="66">
      <c r="A66" s="156">
        <v>45991.0</v>
      </c>
      <c r="B66" s="171" t="s">
        <v>1786</v>
      </c>
      <c r="C66" s="61" t="s">
        <v>5423</v>
      </c>
      <c r="D66" s="61" t="s">
        <v>5426</v>
      </c>
      <c r="E66" s="146" t="s">
        <v>5348</v>
      </c>
      <c r="F66" s="146" t="s">
        <v>5427</v>
      </c>
      <c r="G66" s="146" t="s">
        <v>5428</v>
      </c>
      <c r="H66" s="174" t="s">
        <v>5292</v>
      </c>
    </row>
    <row r="67">
      <c r="A67" s="156">
        <v>45991.0</v>
      </c>
      <c r="B67" s="171" t="s">
        <v>5429</v>
      </c>
      <c r="C67" s="61" t="s">
        <v>3602</v>
      </c>
      <c r="D67" s="61" t="s">
        <v>5430</v>
      </c>
      <c r="E67" s="146" t="s">
        <v>5293</v>
      </c>
      <c r="F67" s="146" t="s">
        <v>5431</v>
      </c>
      <c r="G67" s="146" t="s">
        <v>5432</v>
      </c>
      <c r="H67" s="61" t="s">
        <v>5320</v>
      </c>
    </row>
    <row r="68">
      <c r="A68" s="156">
        <v>45991.0</v>
      </c>
      <c r="B68" s="171" t="s">
        <v>5433</v>
      </c>
      <c r="C68" s="61" t="s">
        <v>5434</v>
      </c>
      <c r="D68" s="61" t="s">
        <v>5435</v>
      </c>
      <c r="E68" s="146" t="s">
        <v>5291</v>
      </c>
      <c r="F68" s="146" t="s">
        <v>5436</v>
      </c>
      <c r="G68" s="146" t="s">
        <v>5432</v>
      </c>
      <c r="H68" s="61" t="s">
        <v>5320</v>
      </c>
    </row>
    <row r="69">
      <c r="A69" s="156">
        <v>45991.0</v>
      </c>
      <c r="B69" s="171" t="s">
        <v>4222</v>
      </c>
      <c r="C69" s="61" t="s">
        <v>4221</v>
      </c>
      <c r="D69" s="61" t="s">
        <v>5437</v>
      </c>
      <c r="E69" s="146" t="s">
        <v>5293</v>
      </c>
      <c r="F69" s="146" t="s">
        <v>5438</v>
      </c>
      <c r="G69" s="146" t="s">
        <v>5432</v>
      </c>
      <c r="H69" s="61" t="s">
        <v>5320</v>
      </c>
    </row>
    <row r="70">
      <c r="B70" s="175"/>
      <c r="E70" s="150"/>
      <c r="F70" s="150"/>
      <c r="G70" s="150"/>
      <c r="H70" s="77"/>
    </row>
    <row r="71">
      <c r="B71" s="175"/>
      <c r="E71" s="150"/>
      <c r="F71" s="150"/>
      <c r="G71" s="150"/>
      <c r="H71" s="77"/>
    </row>
    <row r="72">
      <c r="B72" s="175"/>
      <c r="E72" s="150"/>
      <c r="F72" s="150"/>
      <c r="G72" s="150"/>
      <c r="H72" s="77"/>
    </row>
    <row r="73">
      <c r="B73" s="175"/>
      <c r="E73" s="150"/>
      <c r="F73" s="150"/>
      <c r="G73" s="150"/>
      <c r="H73" s="77"/>
    </row>
    <row r="74">
      <c r="B74" s="175"/>
      <c r="E74" s="150"/>
      <c r="F74" s="150"/>
      <c r="G74" s="150"/>
      <c r="H74" s="77"/>
    </row>
    <row r="75">
      <c r="B75" s="175"/>
      <c r="E75" s="150"/>
      <c r="F75" s="150"/>
      <c r="G75" s="150"/>
      <c r="H75" s="77"/>
    </row>
    <row r="76">
      <c r="B76" s="175"/>
      <c r="E76" s="150"/>
      <c r="F76" s="150"/>
      <c r="G76" s="150"/>
      <c r="H76" s="77"/>
    </row>
    <row r="77">
      <c r="B77" s="175"/>
      <c r="E77" s="150"/>
      <c r="F77" s="150"/>
      <c r="G77" s="150"/>
      <c r="H77" s="77"/>
    </row>
    <row r="78">
      <c r="B78" s="175"/>
      <c r="E78" s="150"/>
      <c r="F78" s="150"/>
      <c r="G78" s="150"/>
      <c r="H78" s="77"/>
    </row>
    <row r="79">
      <c r="B79" s="175"/>
      <c r="E79" s="150"/>
      <c r="F79" s="150"/>
      <c r="G79" s="150"/>
      <c r="H79" s="77"/>
    </row>
    <row r="80">
      <c r="B80" s="175"/>
      <c r="E80" s="150"/>
      <c r="F80" s="150"/>
      <c r="G80" s="150"/>
      <c r="H80" s="77"/>
    </row>
    <row r="81">
      <c r="B81" s="175"/>
      <c r="E81" s="150"/>
      <c r="F81" s="150"/>
      <c r="G81" s="150"/>
      <c r="H81" s="77"/>
    </row>
    <row r="82">
      <c r="B82" s="175"/>
      <c r="E82" s="150"/>
      <c r="F82" s="150"/>
      <c r="G82" s="150"/>
      <c r="H82" s="77"/>
    </row>
    <row r="83">
      <c r="B83" s="175"/>
      <c r="E83" s="150"/>
      <c r="F83" s="150"/>
      <c r="G83" s="150"/>
      <c r="H83" s="77"/>
    </row>
    <row r="84">
      <c r="B84" s="175"/>
      <c r="E84" s="150"/>
      <c r="F84" s="150"/>
      <c r="G84" s="150"/>
      <c r="H84" s="77"/>
    </row>
    <row r="85">
      <c r="B85" s="175"/>
      <c r="E85" s="150"/>
      <c r="F85" s="150"/>
      <c r="G85" s="150"/>
      <c r="H85" s="77"/>
    </row>
    <row r="86">
      <c r="B86" s="175"/>
      <c r="E86" s="150"/>
      <c r="F86" s="150"/>
      <c r="G86" s="150"/>
      <c r="H86" s="77"/>
    </row>
    <row r="87">
      <c r="B87" s="175"/>
      <c r="E87" s="150"/>
      <c r="F87" s="150"/>
      <c r="G87" s="150"/>
      <c r="H87" s="77"/>
    </row>
    <row r="88">
      <c r="B88" s="175"/>
      <c r="E88" s="150"/>
      <c r="F88" s="150"/>
      <c r="G88" s="150"/>
      <c r="H88" s="77"/>
    </row>
    <row r="89">
      <c r="B89" s="175"/>
      <c r="E89" s="150"/>
      <c r="F89" s="150"/>
      <c r="G89" s="150"/>
      <c r="H89" s="77"/>
    </row>
    <row r="90">
      <c r="B90" s="175"/>
      <c r="E90" s="150"/>
      <c r="F90" s="150"/>
      <c r="G90" s="150"/>
      <c r="H90" s="77"/>
    </row>
    <row r="91">
      <c r="B91" s="175"/>
      <c r="E91" s="150"/>
      <c r="F91" s="150"/>
      <c r="G91" s="150"/>
      <c r="H91" s="77"/>
    </row>
    <row r="92">
      <c r="B92" s="175"/>
      <c r="E92" s="150"/>
      <c r="F92" s="150"/>
      <c r="G92" s="150"/>
      <c r="H92" s="77"/>
    </row>
    <row r="93">
      <c r="B93" s="175"/>
      <c r="E93" s="150"/>
      <c r="F93" s="150"/>
      <c r="G93" s="150"/>
      <c r="H93" s="77"/>
    </row>
    <row r="94">
      <c r="B94" s="175"/>
      <c r="E94" s="150"/>
      <c r="F94" s="150"/>
      <c r="G94" s="150"/>
      <c r="H94" s="77"/>
    </row>
    <row r="95">
      <c r="B95" s="175"/>
      <c r="E95" s="150"/>
      <c r="F95" s="150"/>
      <c r="G95" s="150"/>
      <c r="H95" s="77"/>
    </row>
    <row r="96">
      <c r="B96" s="175"/>
      <c r="E96" s="150"/>
      <c r="F96" s="150"/>
      <c r="G96" s="150"/>
      <c r="H96" s="77"/>
    </row>
    <row r="97">
      <c r="B97" s="175"/>
      <c r="E97" s="150"/>
      <c r="F97" s="150"/>
      <c r="G97" s="150"/>
      <c r="H97" s="77"/>
    </row>
    <row r="98">
      <c r="B98" s="175"/>
      <c r="E98" s="150"/>
      <c r="F98" s="150"/>
      <c r="G98" s="150"/>
      <c r="H98" s="77"/>
    </row>
    <row r="99">
      <c r="B99" s="175"/>
      <c r="E99" s="150"/>
      <c r="F99" s="150"/>
      <c r="G99" s="150"/>
      <c r="H99" s="77"/>
    </row>
    <row r="100">
      <c r="B100" s="175"/>
      <c r="E100" s="150"/>
      <c r="F100" s="150"/>
      <c r="G100" s="150"/>
      <c r="H100" s="77"/>
    </row>
    <row r="101">
      <c r="B101" s="175"/>
      <c r="E101" s="150"/>
      <c r="F101" s="150"/>
      <c r="G101" s="150"/>
      <c r="H101" s="77"/>
    </row>
    <row r="102">
      <c r="B102" s="175"/>
      <c r="E102" s="150"/>
      <c r="F102" s="150"/>
      <c r="G102" s="150"/>
    </row>
    <row r="103">
      <c r="B103" s="175"/>
      <c r="E103" s="150"/>
      <c r="F103" s="150"/>
      <c r="G103" s="150"/>
    </row>
    <row r="104">
      <c r="B104" s="175"/>
      <c r="E104" s="150"/>
      <c r="F104" s="150"/>
      <c r="G104" s="150"/>
    </row>
    <row r="105">
      <c r="B105" s="175"/>
      <c r="E105" s="150"/>
      <c r="F105" s="150"/>
      <c r="G105" s="150"/>
    </row>
    <row r="106">
      <c r="B106" s="175"/>
      <c r="E106" s="150"/>
      <c r="F106" s="150"/>
      <c r="G106" s="150"/>
    </row>
    <row r="107">
      <c r="B107" s="175"/>
      <c r="E107" s="150"/>
      <c r="F107" s="150"/>
      <c r="G107" s="150"/>
    </row>
    <row r="108">
      <c r="B108" s="175"/>
      <c r="E108" s="150"/>
      <c r="F108" s="150"/>
      <c r="G108" s="150"/>
    </row>
    <row r="109">
      <c r="B109" s="175"/>
      <c r="E109" s="150"/>
      <c r="F109" s="150"/>
      <c r="G109" s="150"/>
    </row>
    <row r="110">
      <c r="B110" s="175"/>
      <c r="E110" s="150"/>
      <c r="F110" s="150"/>
      <c r="G110" s="150"/>
    </row>
    <row r="111">
      <c r="B111" s="175"/>
      <c r="E111" s="150"/>
      <c r="F111" s="150"/>
      <c r="G111" s="150"/>
    </row>
    <row r="112">
      <c r="B112" s="175"/>
      <c r="E112" s="150"/>
      <c r="F112" s="150"/>
      <c r="G112" s="150"/>
    </row>
    <row r="113">
      <c r="B113" s="175"/>
      <c r="E113" s="150"/>
      <c r="F113" s="150"/>
      <c r="G113" s="150"/>
    </row>
    <row r="114">
      <c r="B114" s="175"/>
      <c r="E114" s="150"/>
      <c r="F114" s="150"/>
      <c r="G114" s="150"/>
    </row>
    <row r="115">
      <c r="B115" s="175"/>
      <c r="E115" s="150"/>
      <c r="F115" s="150"/>
      <c r="G115" s="150"/>
    </row>
    <row r="116">
      <c r="B116" s="175"/>
      <c r="E116" s="150"/>
      <c r="F116" s="150"/>
      <c r="G116" s="150"/>
    </row>
    <row r="117">
      <c r="B117" s="175"/>
      <c r="E117" s="150"/>
      <c r="F117" s="150"/>
      <c r="G117" s="150"/>
    </row>
    <row r="118">
      <c r="B118" s="175"/>
      <c r="E118" s="150"/>
      <c r="F118" s="150"/>
      <c r="G118" s="150"/>
    </row>
    <row r="119">
      <c r="B119" s="175"/>
      <c r="E119" s="150"/>
      <c r="F119" s="150"/>
      <c r="G119" s="150"/>
    </row>
    <row r="120">
      <c r="B120" s="175"/>
      <c r="E120" s="150"/>
      <c r="F120" s="150"/>
      <c r="G120" s="150"/>
    </row>
    <row r="121">
      <c r="B121" s="175"/>
      <c r="E121" s="150"/>
      <c r="F121" s="150"/>
      <c r="G121" s="150"/>
    </row>
    <row r="122">
      <c r="B122" s="175"/>
      <c r="E122" s="150"/>
      <c r="F122" s="150"/>
      <c r="G122" s="150"/>
    </row>
    <row r="123">
      <c r="B123" s="175"/>
      <c r="E123" s="150"/>
      <c r="F123" s="150"/>
      <c r="G123" s="150"/>
    </row>
    <row r="124">
      <c r="B124" s="175"/>
      <c r="E124" s="150"/>
      <c r="F124" s="150"/>
      <c r="G124" s="150"/>
    </row>
    <row r="125">
      <c r="B125" s="175"/>
      <c r="E125" s="150"/>
      <c r="F125" s="150"/>
      <c r="G125" s="150"/>
    </row>
    <row r="126">
      <c r="B126" s="175"/>
      <c r="E126" s="150"/>
      <c r="F126" s="150"/>
      <c r="G126" s="150"/>
    </row>
    <row r="127">
      <c r="B127" s="175"/>
      <c r="E127" s="150"/>
      <c r="F127" s="150"/>
      <c r="G127" s="150"/>
    </row>
    <row r="128">
      <c r="B128" s="175"/>
      <c r="E128" s="150"/>
      <c r="F128" s="150"/>
      <c r="G128" s="150"/>
    </row>
    <row r="129">
      <c r="B129" s="175"/>
      <c r="E129" s="150"/>
      <c r="F129" s="150"/>
      <c r="G129" s="150"/>
    </row>
    <row r="130">
      <c r="B130" s="175"/>
      <c r="E130" s="150"/>
      <c r="F130" s="150"/>
      <c r="G130" s="150"/>
    </row>
    <row r="131">
      <c r="B131" s="175"/>
      <c r="E131" s="150"/>
      <c r="F131" s="150"/>
      <c r="G131" s="150"/>
    </row>
    <row r="132">
      <c r="B132" s="175"/>
      <c r="E132" s="150"/>
      <c r="F132" s="150"/>
      <c r="G132" s="150"/>
    </row>
    <row r="133">
      <c r="B133" s="175"/>
      <c r="E133" s="150"/>
      <c r="F133" s="150"/>
      <c r="G133" s="150"/>
    </row>
    <row r="134">
      <c r="B134" s="175"/>
      <c r="E134" s="150"/>
      <c r="F134" s="150"/>
      <c r="G134" s="150"/>
    </row>
    <row r="135">
      <c r="B135" s="175"/>
      <c r="E135" s="150"/>
      <c r="F135" s="150"/>
      <c r="G135" s="150"/>
    </row>
    <row r="136">
      <c r="B136" s="175"/>
      <c r="E136" s="150"/>
      <c r="F136" s="150"/>
      <c r="G136" s="150"/>
    </row>
    <row r="137">
      <c r="B137" s="175"/>
      <c r="E137" s="150"/>
      <c r="F137" s="150"/>
      <c r="G137" s="150"/>
    </row>
    <row r="138">
      <c r="B138" s="175"/>
      <c r="E138" s="150"/>
      <c r="F138" s="150"/>
      <c r="G138" s="150"/>
    </row>
    <row r="139">
      <c r="B139" s="175"/>
      <c r="E139" s="150"/>
      <c r="F139" s="150"/>
      <c r="G139" s="150"/>
    </row>
    <row r="140">
      <c r="B140" s="175"/>
      <c r="E140" s="150"/>
      <c r="F140" s="150"/>
      <c r="G140" s="150"/>
    </row>
    <row r="141">
      <c r="B141" s="175"/>
      <c r="E141" s="150"/>
      <c r="F141" s="150"/>
      <c r="G141" s="150"/>
    </row>
    <row r="142">
      <c r="B142" s="175"/>
      <c r="E142" s="150"/>
      <c r="F142" s="150"/>
      <c r="G142" s="150"/>
    </row>
    <row r="143">
      <c r="B143" s="175"/>
      <c r="E143" s="150"/>
      <c r="F143" s="150"/>
      <c r="G143" s="150"/>
    </row>
    <row r="144">
      <c r="B144" s="175"/>
      <c r="E144" s="150"/>
      <c r="F144" s="150"/>
      <c r="G144" s="150"/>
    </row>
    <row r="145">
      <c r="B145" s="175"/>
      <c r="E145" s="150"/>
      <c r="F145" s="150"/>
      <c r="G145" s="150"/>
    </row>
    <row r="146">
      <c r="B146" s="175"/>
      <c r="E146" s="150"/>
      <c r="F146" s="150"/>
      <c r="G146" s="150"/>
    </row>
    <row r="147">
      <c r="B147" s="175"/>
      <c r="E147" s="150"/>
      <c r="F147" s="150"/>
      <c r="G147" s="150"/>
    </row>
    <row r="148">
      <c r="B148" s="175"/>
      <c r="E148" s="150"/>
      <c r="F148" s="150"/>
      <c r="G148" s="150"/>
    </row>
    <row r="149">
      <c r="B149" s="175"/>
      <c r="E149" s="150"/>
      <c r="F149" s="150"/>
      <c r="G149" s="150"/>
    </row>
    <row r="150">
      <c r="B150" s="175"/>
      <c r="E150" s="150"/>
      <c r="F150" s="150"/>
      <c r="G150" s="150"/>
    </row>
    <row r="151">
      <c r="B151" s="175"/>
      <c r="E151" s="150"/>
      <c r="F151" s="150"/>
      <c r="G151" s="150"/>
    </row>
    <row r="152">
      <c r="B152" s="175"/>
      <c r="E152" s="150"/>
      <c r="F152" s="150"/>
      <c r="G152" s="150"/>
    </row>
    <row r="153">
      <c r="B153" s="175"/>
      <c r="E153" s="150"/>
      <c r="F153" s="150"/>
      <c r="G153" s="150"/>
    </row>
    <row r="154">
      <c r="B154" s="175"/>
      <c r="E154" s="150"/>
      <c r="F154" s="150"/>
      <c r="G154" s="150"/>
    </row>
    <row r="155">
      <c r="B155" s="175"/>
      <c r="E155" s="150"/>
      <c r="F155" s="150"/>
      <c r="G155" s="150"/>
    </row>
    <row r="156">
      <c r="B156" s="175"/>
      <c r="E156" s="150"/>
      <c r="F156" s="150"/>
      <c r="G156" s="150"/>
    </row>
    <row r="157">
      <c r="B157" s="175"/>
      <c r="E157" s="150"/>
      <c r="F157" s="150"/>
      <c r="G157" s="150"/>
    </row>
    <row r="158">
      <c r="B158" s="175"/>
      <c r="E158" s="150"/>
      <c r="F158" s="150"/>
      <c r="G158" s="150"/>
    </row>
    <row r="159">
      <c r="B159" s="175"/>
      <c r="E159" s="150"/>
      <c r="F159" s="150"/>
      <c r="G159" s="150"/>
    </row>
    <row r="160">
      <c r="B160" s="175"/>
      <c r="E160" s="150"/>
      <c r="F160" s="150"/>
      <c r="G160" s="150"/>
    </row>
    <row r="161">
      <c r="B161" s="175"/>
      <c r="E161" s="150"/>
      <c r="F161" s="150"/>
      <c r="G161" s="150"/>
    </row>
    <row r="162">
      <c r="B162" s="175"/>
      <c r="E162" s="150"/>
      <c r="F162" s="150"/>
      <c r="G162" s="150"/>
    </row>
    <row r="163">
      <c r="B163" s="175"/>
      <c r="E163" s="150"/>
      <c r="F163" s="150"/>
      <c r="G163" s="150"/>
    </row>
    <row r="164">
      <c r="B164" s="175"/>
      <c r="E164" s="150"/>
      <c r="F164" s="150"/>
      <c r="G164" s="150"/>
    </row>
    <row r="165">
      <c r="B165" s="175"/>
      <c r="E165" s="150"/>
      <c r="F165" s="150"/>
      <c r="G165" s="150"/>
    </row>
    <row r="166">
      <c r="B166" s="175"/>
      <c r="E166" s="150"/>
      <c r="F166" s="150"/>
      <c r="G166" s="150"/>
    </row>
    <row r="167">
      <c r="B167" s="175"/>
      <c r="E167" s="150"/>
      <c r="F167" s="150"/>
      <c r="G167" s="150"/>
    </row>
    <row r="168">
      <c r="B168" s="175"/>
      <c r="E168" s="150"/>
      <c r="F168" s="150"/>
      <c r="G168" s="150"/>
    </row>
    <row r="169">
      <c r="B169" s="175"/>
      <c r="E169" s="150"/>
      <c r="F169" s="150"/>
      <c r="G169" s="150"/>
    </row>
    <row r="170">
      <c r="B170" s="175"/>
      <c r="E170" s="150"/>
      <c r="F170" s="150"/>
      <c r="G170" s="150"/>
    </row>
    <row r="171">
      <c r="B171" s="175"/>
      <c r="E171" s="150"/>
      <c r="F171" s="150"/>
      <c r="G171" s="150"/>
    </row>
    <row r="172">
      <c r="B172" s="175"/>
      <c r="E172" s="150"/>
      <c r="F172" s="150"/>
      <c r="G172" s="150"/>
    </row>
    <row r="173">
      <c r="B173" s="175"/>
      <c r="E173" s="150"/>
      <c r="F173" s="150"/>
      <c r="G173" s="150"/>
    </row>
    <row r="174">
      <c r="B174" s="175"/>
      <c r="E174" s="150"/>
      <c r="F174" s="150"/>
      <c r="G174" s="150"/>
    </row>
    <row r="175">
      <c r="B175" s="175"/>
      <c r="E175" s="150"/>
      <c r="F175" s="150"/>
      <c r="G175" s="150"/>
    </row>
    <row r="176">
      <c r="B176" s="175"/>
      <c r="E176" s="150"/>
      <c r="F176" s="150"/>
      <c r="G176" s="150"/>
    </row>
    <row r="177">
      <c r="B177" s="175"/>
      <c r="E177" s="150"/>
      <c r="F177" s="150"/>
      <c r="G177" s="150"/>
    </row>
    <row r="178">
      <c r="B178" s="175"/>
      <c r="E178" s="150"/>
      <c r="F178" s="150"/>
      <c r="G178" s="150"/>
    </row>
    <row r="179">
      <c r="B179" s="175"/>
      <c r="E179" s="150"/>
      <c r="F179" s="150"/>
      <c r="G179" s="150"/>
    </row>
    <row r="180">
      <c r="B180" s="175"/>
      <c r="E180" s="150"/>
      <c r="F180" s="150"/>
      <c r="G180" s="150"/>
    </row>
    <row r="181">
      <c r="B181" s="175"/>
      <c r="E181" s="150"/>
      <c r="F181" s="150"/>
      <c r="G181" s="150"/>
    </row>
    <row r="182">
      <c r="B182" s="175"/>
      <c r="E182" s="150"/>
      <c r="F182" s="150"/>
      <c r="G182" s="150"/>
    </row>
    <row r="183">
      <c r="B183" s="175"/>
      <c r="E183" s="150"/>
      <c r="F183" s="150"/>
      <c r="G183" s="150"/>
    </row>
    <row r="184">
      <c r="B184" s="175"/>
      <c r="E184" s="150"/>
      <c r="F184" s="150"/>
      <c r="G184" s="150"/>
    </row>
    <row r="185">
      <c r="B185" s="175"/>
      <c r="E185" s="150"/>
      <c r="F185" s="150"/>
      <c r="G185" s="150"/>
    </row>
    <row r="186">
      <c r="B186" s="175"/>
      <c r="E186" s="150"/>
      <c r="F186" s="150"/>
      <c r="G186" s="150"/>
    </row>
    <row r="187">
      <c r="B187" s="175"/>
      <c r="E187" s="150"/>
      <c r="F187" s="150"/>
      <c r="G187" s="150"/>
    </row>
    <row r="188">
      <c r="B188" s="175"/>
      <c r="E188" s="150"/>
      <c r="F188" s="150"/>
      <c r="G188" s="150"/>
    </row>
    <row r="189">
      <c r="B189" s="175"/>
      <c r="E189" s="150"/>
      <c r="F189" s="150"/>
      <c r="G189" s="150"/>
    </row>
    <row r="190">
      <c r="B190" s="175"/>
      <c r="E190" s="150"/>
      <c r="F190" s="150"/>
      <c r="G190" s="150"/>
    </row>
    <row r="191">
      <c r="B191" s="175"/>
      <c r="E191" s="150"/>
      <c r="F191" s="150"/>
      <c r="G191" s="150"/>
    </row>
    <row r="192">
      <c r="B192" s="175"/>
      <c r="E192" s="150"/>
      <c r="F192" s="150"/>
      <c r="G192" s="150"/>
    </row>
    <row r="193">
      <c r="B193" s="175"/>
      <c r="E193" s="150"/>
      <c r="F193" s="150"/>
      <c r="G193" s="150"/>
    </row>
    <row r="194">
      <c r="B194" s="175"/>
      <c r="E194" s="150"/>
      <c r="F194" s="150"/>
      <c r="G194" s="150"/>
    </row>
    <row r="195">
      <c r="B195" s="175"/>
      <c r="E195" s="150"/>
      <c r="F195" s="150"/>
      <c r="G195" s="150"/>
    </row>
    <row r="196">
      <c r="B196" s="175"/>
      <c r="E196" s="150"/>
      <c r="F196" s="150"/>
      <c r="G196" s="150"/>
    </row>
    <row r="197">
      <c r="B197" s="175"/>
      <c r="E197" s="150"/>
      <c r="F197" s="150"/>
      <c r="G197" s="150"/>
    </row>
    <row r="198">
      <c r="B198" s="175"/>
      <c r="E198" s="150"/>
      <c r="F198" s="150"/>
      <c r="G198" s="150"/>
    </row>
    <row r="199">
      <c r="B199" s="175"/>
      <c r="E199" s="150"/>
      <c r="F199" s="150"/>
      <c r="G199" s="150"/>
    </row>
    <row r="200">
      <c r="B200" s="175"/>
      <c r="E200" s="150"/>
      <c r="F200" s="150"/>
      <c r="G200" s="150"/>
    </row>
    <row r="201">
      <c r="B201" s="175"/>
      <c r="E201" s="150"/>
      <c r="F201" s="150"/>
      <c r="G201" s="150"/>
    </row>
    <row r="202">
      <c r="B202" s="175"/>
      <c r="E202" s="150"/>
      <c r="F202" s="150"/>
      <c r="G202" s="150"/>
    </row>
    <row r="203">
      <c r="B203" s="175"/>
      <c r="E203" s="150"/>
      <c r="F203" s="150"/>
      <c r="G203" s="150"/>
    </row>
    <row r="204">
      <c r="B204" s="175"/>
      <c r="E204" s="150"/>
      <c r="F204" s="150"/>
      <c r="G204" s="150"/>
    </row>
    <row r="205">
      <c r="B205" s="175"/>
      <c r="E205" s="150"/>
      <c r="F205" s="150"/>
      <c r="G205" s="150"/>
    </row>
    <row r="206">
      <c r="B206" s="175"/>
      <c r="E206" s="150"/>
      <c r="F206" s="150"/>
      <c r="G206" s="150"/>
    </row>
    <row r="207">
      <c r="B207" s="175"/>
      <c r="E207" s="150"/>
      <c r="F207" s="150"/>
      <c r="G207" s="150"/>
    </row>
    <row r="208">
      <c r="B208" s="175"/>
      <c r="E208" s="150"/>
      <c r="F208" s="150"/>
      <c r="G208" s="150"/>
    </row>
    <row r="209">
      <c r="B209" s="175"/>
      <c r="E209" s="150"/>
      <c r="F209" s="150"/>
      <c r="G209" s="150"/>
    </row>
    <row r="210">
      <c r="B210" s="175"/>
      <c r="E210" s="150"/>
      <c r="F210" s="150"/>
      <c r="G210" s="150"/>
    </row>
    <row r="211">
      <c r="B211" s="175"/>
      <c r="E211" s="150"/>
      <c r="F211" s="150"/>
      <c r="G211" s="150"/>
    </row>
    <row r="212">
      <c r="B212" s="175"/>
      <c r="E212" s="150"/>
      <c r="F212" s="150"/>
      <c r="G212" s="150"/>
    </row>
    <row r="213">
      <c r="B213" s="175"/>
      <c r="E213" s="150"/>
      <c r="F213" s="150"/>
      <c r="G213" s="150"/>
    </row>
    <row r="214">
      <c r="B214" s="175"/>
      <c r="E214" s="150"/>
      <c r="F214" s="150"/>
      <c r="G214" s="150"/>
    </row>
    <row r="215">
      <c r="B215" s="175"/>
      <c r="E215" s="150"/>
      <c r="F215" s="150"/>
      <c r="G215" s="150"/>
    </row>
    <row r="216">
      <c r="B216" s="175"/>
      <c r="E216" s="150"/>
      <c r="F216" s="150"/>
      <c r="G216" s="150"/>
    </row>
    <row r="217">
      <c r="B217" s="175"/>
      <c r="E217" s="150"/>
      <c r="F217" s="150"/>
      <c r="G217" s="150"/>
    </row>
    <row r="218">
      <c r="B218" s="175"/>
      <c r="E218" s="150"/>
      <c r="F218" s="150"/>
      <c r="G218" s="150"/>
    </row>
    <row r="219">
      <c r="B219" s="175"/>
      <c r="E219" s="150"/>
      <c r="F219" s="150"/>
      <c r="G219" s="150"/>
    </row>
    <row r="220">
      <c r="B220" s="175"/>
      <c r="E220" s="150"/>
      <c r="F220" s="150"/>
      <c r="G220" s="150"/>
    </row>
    <row r="221">
      <c r="B221" s="175"/>
      <c r="E221" s="150"/>
      <c r="F221" s="150"/>
      <c r="G221" s="150"/>
    </row>
    <row r="222">
      <c r="B222" s="175"/>
      <c r="E222" s="150"/>
      <c r="F222" s="150"/>
      <c r="G222" s="150"/>
    </row>
    <row r="223">
      <c r="B223" s="175"/>
      <c r="E223" s="150"/>
      <c r="F223" s="150"/>
      <c r="G223" s="150"/>
    </row>
    <row r="224">
      <c r="B224" s="175"/>
      <c r="E224" s="150"/>
      <c r="F224" s="150"/>
      <c r="G224" s="150"/>
    </row>
    <row r="225">
      <c r="B225" s="175"/>
      <c r="E225" s="150"/>
      <c r="F225" s="150"/>
      <c r="G225" s="150"/>
    </row>
    <row r="226">
      <c r="B226" s="175"/>
      <c r="E226" s="150"/>
      <c r="F226" s="150"/>
      <c r="G226" s="150"/>
    </row>
    <row r="227">
      <c r="B227" s="175"/>
      <c r="E227" s="150"/>
      <c r="F227" s="150"/>
      <c r="G227" s="150"/>
    </row>
    <row r="228">
      <c r="B228" s="175"/>
      <c r="E228" s="150"/>
      <c r="F228" s="150"/>
      <c r="G228" s="150"/>
    </row>
    <row r="229">
      <c r="B229" s="175"/>
      <c r="E229" s="150"/>
      <c r="F229" s="150"/>
      <c r="G229" s="150"/>
    </row>
    <row r="230">
      <c r="B230" s="175"/>
      <c r="E230" s="150"/>
      <c r="F230" s="150"/>
      <c r="G230" s="150"/>
    </row>
    <row r="231">
      <c r="B231" s="175"/>
      <c r="E231" s="150"/>
      <c r="F231" s="150"/>
      <c r="G231" s="150"/>
    </row>
    <row r="232">
      <c r="B232" s="175"/>
      <c r="E232" s="150"/>
      <c r="F232" s="150"/>
      <c r="G232" s="150"/>
    </row>
    <row r="233">
      <c r="B233" s="175"/>
      <c r="E233" s="150"/>
      <c r="F233" s="150"/>
      <c r="G233" s="150"/>
    </row>
    <row r="234">
      <c r="B234" s="175"/>
      <c r="E234" s="150"/>
      <c r="F234" s="150"/>
      <c r="G234" s="150"/>
    </row>
    <row r="235">
      <c r="B235" s="175"/>
      <c r="E235" s="150"/>
      <c r="F235" s="150"/>
      <c r="G235" s="150"/>
    </row>
    <row r="236">
      <c r="B236" s="175"/>
      <c r="E236" s="150"/>
      <c r="F236" s="150"/>
      <c r="G236" s="150"/>
    </row>
    <row r="237">
      <c r="B237" s="175"/>
      <c r="E237" s="150"/>
      <c r="F237" s="150"/>
      <c r="G237" s="150"/>
    </row>
    <row r="238">
      <c r="B238" s="175"/>
      <c r="E238" s="150"/>
      <c r="F238" s="150"/>
      <c r="G238" s="150"/>
    </row>
    <row r="239">
      <c r="B239" s="175"/>
      <c r="E239" s="150"/>
      <c r="F239" s="150"/>
      <c r="G239" s="150"/>
    </row>
    <row r="240">
      <c r="B240" s="175"/>
      <c r="E240" s="150"/>
      <c r="F240" s="150"/>
      <c r="G240" s="150"/>
    </row>
    <row r="241">
      <c r="B241" s="175"/>
      <c r="E241" s="150"/>
      <c r="F241" s="150"/>
      <c r="G241" s="150"/>
    </row>
    <row r="242">
      <c r="B242" s="175"/>
      <c r="E242" s="150"/>
      <c r="F242" s="150"/>
      <c r="G242" s="150"/>
    </row>
    <row r="243">
      <c r="B243" s="175"/>
      <c r="E243" s="150"/>
      <c r="F243" s="150"/>
      <c r="G243" s="150"/>
    </row>
    <row r="244">
      <c r="B244" s="175"/>
      <c r="E244" s="150"/>
      <c r="F244" s="150"/>
      <c r="G244" s="150"/>
    </row>
    <row r="245">
      <c r="B245" s="175"/>
      <c r="E245" s="150"/>
      <c r="F245" s="150"/>
      <c r="G245" s="150"/>
    </row>
    <row r="246">
      <c r="B246" s="175"/>
      <c r="E246" s="150"/>
      <c r="F246" s="150"/>
      <c r="G246" s="150"/>
    </row>
    <row r="247">
      <c r="B247" s="175"/>
      <c r="E247" s="150"/>
      <c r="F247" s="150"/>
      <c r="G247" s="150"/>
    </row>
    <row r="248">
      <c r="B248" s="175"/>
      <c r="E248" s="150"/>
      <c r="F248" s="150"/>
      <c r="G248" s="150"/>
    </row>
    <row r="249">
      <c r="B249" s="175"/>
      <c r="E249" s="150"/>
      <c r="F249" s="150"/>
      <c r="G249" s="150"/>
    </row>
    <row r="250">
      <c r="B250" s="175"/>
      <c r="E250" s="150"/>
      <c r="F250" s="150"/>
      <c r="G250" s="150"/>
    </row>
    <row r="251">
      <c r="B251" s="175"/>
      <c r="E251" s="150"/>
      <c r="F251" s="150"/>
      <c r="G251" s="150"/>
    </row>
    <row r="252">
      <c r="B252" s="175"/>
      <c r="E252" s="150"/>
      <c r="F252" s="150"/>
      <c r="G252" s="150"/>
    </row>
    <row r="253">
      <c r="B253" s="175"/>
      <c r="E253" s="150"/>
      <c r="F253" s="150"/>
      <c r="G253" s="150"/>
    </row>
    <row r="254">
      <c r="B254" s="175"/>
      <c r="E254" s="150"/>
      <c r="F254" s="150"/>
      <c r="G254" s="150"/>
    </row>
    <row r="255">
      <c r="B255" s="175"/>
      <c r="E255" s="150"/>
      <c r="F255" s="150"/>
      <c r="G255" s="150"/>
    </row>
    <row r="256">
      <c r="B256" s="175"/>
      <c r="E256" s="150"/>
      <c r="F256" s="150"/>
      <c r="G256" s="150"/>
    </row>
    <row r="257">
      <c r="B257" s="175"/>
      <c r="E257" s="150"/>
      <c r="F257" s="150"/>
      <c r="G257" s="150"/>
    </row>
    <row r="258">
      <c r="B258" s="175"/>
      <c r="E258" s="150"/>
      <c r="F258" s="150"/>
      <c r="G258" s="150"/>
    </row>
    <row r="259">
      <c r="B259" s="175"/>
      <c r="E259" s="150"/>
      <c r="F259" s="150"/>
      <c r="G259" s="150"/>
    </row>
    <row r="260">
      <c r="B260" s="175"/>
      <c r="E260" s="150"/>
      <c r="F260" s="150"/>
      <c r="G260" s="150"/>
    </row>
    <row r="261">
      <c r="B261" s="175"/>
      <c r="E261" s="150"/>
      <c r="F261" s="150"/>
      <c r="G261" s="150"/>
    </row>
    <row r="262">
      <c r="B262" s="175"/>
      <c r="E262" s="150"/>
      <c r="F262" s="150"/>
      <c r="G262" s="150"/>
    </row>
    <row r="263">
      <c r="B263" s="175"/>
      <c r="E263" s="150"/>
      <c r="F263" s="150"/>
      <c r="G263" s="150"/>
    </row>
    <row r="264">
      <c r="B264" s="175"/>
      <c r="E264" s="150"/>
      <c r="F264" s="150"/>
      <c r="G264" s="150"/>
    </row>
    <row r="265">
      <c r="B265" s="175"/>
      <c r="E265" s="150"/>
      <c r="F265" s="150"/>
      <c r="G265" s="150"/>
    </row>
    <row r="266">
      <c r="B266" s="175"/>
      <c r="E266" s="150"/>
      <c r="F266" s="150"/>
      <c r="G266" s="150"/>
    </row>
    <row r="267">
      <c r="B267" s="175"/>
      <c r="E267" s="150"/>
      <c r="F267" s="150"/>
      <c r="G267" s="150"/>
    </row>
    <row r="268">
      <c r="B268" s="175"/>
      <c r="E268" s="150"/>
      <c r="F268" s="150"/>
      <c r="G268" s="150"/>
    </row>
    <row r="269">
      <c r="B269" s="175"/>
      <c r="E269" s="150"/>
      <c r="F269" s="150"/>
      <c r="G269" s="150"/>
    </row>
    <row r="270">
      <c r="B270" s="175"/>
      <c r="E270" s="150"/>
      <c r="F270" s="150"/>
      <c r="G270" s="150"/>
    </row>
    <row r="271">
      <c r="B271" s="175"/>
      <c r="E271" s="150"/>
      <c r="F271" s="150"/>
      <c r="G271" s="150"/>
    </row>
    <row r="272">
      <c r="B272" s="175"/>
      <c r="E272" s="150"/>
      <c r="F272" s="150"/>
      <c r="G272" s="150"/>
    </row>
    <row r="273">
      <c r="B273" s="175"/>
      <c r="E273" s="150"/>
      <c r="F273" s="150"/>
      <c r="G273" s="150"/>
    </row>
    <row r="274">
      <c r="B274" s="175"/>
      <c r="E274" s="150"/>
      <c r="F274" s="150"/>
      <c r="G274" s="150"/>
    </row>
    <row r="275">
      <c r="B275" s="175"/>
      <c r="E275" s="150"/>
      <c r="F275" s="150"/>
      <c r="G275" s="150"/>
    </row>
    <row r="276">
      <c r="B276" s="175"/>
      <c r="E276" s="150"/>
      <c r="F276" s="150"/>
      <c r="G276" s="150"/>
    </row>
    <row r="277">
      <c r="B277" s="175"/>
      <c r="E277" s="150"/>
      <c r="F277" s="150"/>
      <c r="G277" s="150"/>
    </row>
    <row r="278">
      <c r="B278" s="175"/>
      <c r="E278" s="150"/>
      <c r="F278" s="150"/>
      <c r="G278" s="150"/>
    </row>
    <row r="279">
      <c r="B279" s="175"/>
      <c r="E279" s="150"/>
      <c r="F279" s="150"/>
      <c r="G279" s="150"/>
    </row>
    <row r="280">
      <c r="B280" s="175"/>
      <c r="E280" s="150"/>
      <c r="F280" s="150"/>
      <c r="G280" s="150"/>
    </row>
    <row r="281">
      <c r="B281" s="175"/>
      <c r="E281" s="150"/>
      <c r="F281" s="150"/>
      <c r="G281" s="150"/>
    </row>
    <row r="282">
      <c r="B282" s="175"/>
      <c r="E282" s="150"/>
      <c r="F282" s="150"/>
      <c r="G282" s="150"/>
    </row>
    <row r="283">
      <c r="B283" s="175"/>
      <c r="E283" s="150"/>
      <c r="F283" s="150"/>
      <c r="G283" s="150"/>
    </row>
    <row r="284">
      <c r="B284" s="175"/>
      <c r="E284" s="150"/>
      <c r="F284" s="150"/>
      <c r="G284" s="150"/>
    </row>
    <row r="285">
      <c r="B285" s="175"/>
      <c r="E285" s="150"/>
      <c r="F285" s="150"/>
      <c r="G285" s="150"/>
    </row>
    <row r="286">
      <c r="B286" s="175"/>
      <c r="E286" s="150"/>
      <c r="F286" s="150"/>
      <c r="G286" s="150"/>
    </row>
    <row r="287">
      <c r="B287" s="175"/>
      <c r="E287" s="150"/>
      <c r="F287" s="150"/>
      <c r="G287" s="150"/>
    </row>
    <row r="288">
      <c r="B288" s="175"/>
      <c r="E288" s="150"/>
      <c r="F288" s="150"/>
      <c r="G288" s="150"/>
    </row>
    <row r="289">
      <c r="B289" s="175"/>
      <c r="E289" s="150"/>
      <c r="F289" s="150"/>
      <c r="G289" s="150"/>
    </row>
    <row r="290">
      <c r="B290" s="175"/>
      <c r="E290" s="150"/>
      <c r="F290" s="150"/>
      <c r="G290" s="150"/>
    </row>
    <row r="291">
      <c r="B291" s="175"/>
      <c r="E291" s="150"/>
      <c r="F291" s="150"/>
      <c r="G291" s="150"/>
    </row>
    <row r="292">
      <c r="B292" s="175"/>
      <c r="E292" s="150"/>
      <c r="F292" s="150"/>
      <c r="G292" s="150"/>
    </row>
    <row r="293">
      <c r="B293" s="175"/>
      <c r="E293" s="150"/>
      <c r="F293" s="150"/>
      <c r="G293" s="150"/>
    </row>
    <row r="294">
      <c r="B294" s="175"/>
      <c r="E294" s="150"/>
      <c r="F294" s="150"/>
      <c r="G294" s="150"/>
    </row>
    <row r="295">
      <c r="B295" s="175"/>
      <c r="E295" s="150"/>
      <c r="F295" s="150"/>
      <c r="G295" s="150"/>
    </row>
    <row r="296">
      <c r="B296" s="175"/>
      <c r="E296" s="150"/>
      <c r="F296" s="150"/>
      <c r="G296" s="150"/>
    </row>
    <row r="297">
      <c r="B297" s="175"/>
      <c r="E297" s="150"/>
      <c r="F297" s="150"/>
      <c r="G297" s="150"/>
    </row>
    <row r="298">
      <c r="B298" s="175"/>
      <c r="E298" s="150"/>
      <c r="F298" s="150"/>
      <c r="G298" s="150"/>
    </row>
    <row r="299">
      <c r="B299" s="175"/>
      <c r="E299" s="150"/>
      <c r="F299" s="150"/>
      <c r="G299" s="150"/>
    </row>
    <row r="300">
      <c r="B300" s="175"/>
      <c r="E300" s="150"/>
      <c r="F300" s="150"/>
      <c r="G300" s="150"/>
    </row>
    <row r="301">
      <c r="B301" s="175"/>
      <c r="E301" s="150"/>
      <c r="F301" s="150"/>
      <c r="G301" s="150"/>
    </row>
    <row r="302">
      <c r="B302" s="175"/>
      <c r="E302" s="150"/>
      <c r="F302" s="150"/>
      <c r="G302" s="150"/>
    </row>
    <row r="303">
      <c r="B303" s="175"/>
      <c r="E303" s="150"/>
      <c r="F303" s="150"/>
      <c r="G303" s="150"/>
    </row>
    <row r="304">
      <c r="B304" s="175"/>
      <c r="E304" s="150"/>
      <c r="F304" s="150"/>
      <c r="G304" s="150"/>
    </row>
    <row r="305">
      <c r="B305" s="175"/>
      <c r="E305" s="150"/>
      <c r="F305" s="150"/>
      <c r="G305" s="150"/>
    </row>
    <row r="306">
      <c r="B306" s="175"/>
      <c r="E306" s="150"/>
      <c r="F306" s="150"/>
      <c r="G306" s="150"/>
    </row>
    <row r="307">
      <c r="B307" s="175"/>
      <c r="E307" s="150"/>
      <c r="F307" s="150"/>
      <c r="G307" s="150"/>
    </row>
    <row r="308">
      <c r="B308" s="175"/>
      <c r="E308" s="150"/>
      <c r="F308" s="150"/>
      <c r="G308" s="150"/>
    </row>
    <row r="309">
      <c r="B309" s="175"/>
      <c r="E309" s="150"/>
      <c r="F309" s="150"/>
      <c r="G309" s="150"/>
    </row>
    <row r="310">
      <c r="B310" s="175"/>
      <c r="E310" s="150"/>
      <c r="F310" s="150"/>
      <c r="G310" s="150"/>
    </row>
    <row r="311">
      <c r="B311" s="175"/>
      <c r="E311" s="150"/>
      <c r="F311" s="150"/>
      <c r="G311" s="150"/>
    </row>
    <row r="312">
      <c r="B312" s="175"/>
      <c r="E312" s="150"/>
      <c r="F312" s="150"/>
      <c r="G312" s="150"/>
    </row>
    <row r="313">
      <c r="B313" s="175"/>
      <c r="E313" s="150"/>
      <c r="F313" s="150"/>
      <c r="G313" s="150"/>
    </row>
    <row r="314">
      <c r="B314" s="175"/>
      <c r="E314" s="150"/>
      <c r="F314" s="150"/>
      <c r="G314" s="150"/>
    </row>
    <row r="315">
      <c r="B315" s="175"/>
      <c r="E315" s="150"/>
      <c r="F315" s="150"/>
      <c r="G315" s="150"/>
    </row>
    <row r="316">
      <c r="B316" s="175"/>
      <c r="E316" s="150"/>
      <c r="F316" s="150"/>
      <c r="G316" s="150"/>
    </row>
    <row r="317">
      <c r="B317" s="175"/>
      <c r="E317" s="150"/>
      <c r="F317" s="150"/>
      <c r="G317" s="150"/>
    </row>
    <row r="318">
      <c r="B318" s="175"/>
      <c r="E318" s="150"/>
      <c r="F318" s="150"/>
      <c r="G318" s="150"/>
    </row>
    <row r="319">
      <c r="B319" s="175"/>
      <c r="E319" s="150"/>
      <c r="F319" s="150"/>
      <c r="G319" s="150"/>
    </row>
    <row r="320">
      <c r="B320" s="175"/>
      <c r="E320" s="150"/>
      <c r="F320" s="150"/>
      <c r="G320" s="150"/>
    </row>
    <row r="321">
      <c r="B321" s="175"/>
      <c r="E321" s="150"/>
      <c r="F321" s="150"/>
      <c r="G321" s="150"/>
    </row>
    <row r="322">
      <c r="B322" s="175"/>
      <c r="E322" s="150"/>
      <c r="F322" s="150"/>
      <c r="G322" s="150"/>
    </row>
    <row r="323">
      <c r="B323" s="175"/>
      <c r="E323" s="150"/>
      <c r="F323" s="150"/>
      <c r="G323" s="150"/>
    </row>
    <row r="324">
      <c r="B324" s="175"/>
      <c r="E324" s="150"/>
      <c r="F324" s="150"/>
      <c r="G324" s="150"/>
    </row>
    <row r="325">
      <c r="B325" s="175"/>
      <c r="E325" s="150"/>
      <c r="F325" s="150"/>
      <c r="G325" s="150"/>
    </row>
    <row r="326">
      <c r="B326" s="175"/>
      <c r="E326" s="150"/>
      <c r="F326" s="150"/>
      <c r="G326" s="150"/>
    </row>
    <row r="327">
      <c r="B327" s="175"/>
      <c r="E327" s="150"/>
      <c r="F327" s="150"/>
      <c r="G327" s="150"/>
    </row>
    <row r="328">
      <c r="B328" s="175"/>
      <c r="E328" s="150"/>
      <c r="F328" s="150"/>
      <c r="G328" s="150"/>
    </row>
    <row r="329">
      <c r="B329" s="175"/>
      <c r="E329" s="150"/>
      <c r="F329" s="150"/>
      <c r="G329" s="150"/>
    </row>
    <row r="330">
      <c r="B330" s="175"/>
      <c r="E330" s="150"/>
      <c r="F330" s="150"/>
      <c r="G330" s="150"/>
    </row>
    <row r="331">
      <c r="B331" s="175"/>
      <c r="E331" s="150"/>
      <c r="F331" s="150"/>
      <c r="G331" s="150"/>
    </row>
    <row r="332">
      <c r="B332" s="175"/>
      <c r="E332" s="150"/>
      <c r="F332" s="150"/>
      <c r="G332" s="150"/>
    </row>
    <row r="333">
      <c r="B333" s="175"/>
      <c r="E333" s="150"/>
      <c r="F333" s="150"/>
      <c r="G333" s="150"/>
    </row>
    <row r="334">
      <c r="B334" s="175"/>
      <c r="E334" s="150"/>
      <c r="F334" s="150"/>
      <c r="G334" s="150"/>
    </row>
    <row r="335">
      <c r="B335" s="175"/>
      <c r="E335" s="150"/>
      <c r="F335" s="150"/>
      <c r="G335" s="150"/>
    </row>
    <row r="336">
      <c r="B336" s="175"/>
      <c r="E336" s="150"/>
      <c r="F336" s="150"/>
      <c r="G336" s="150"/>
    </row>
    <row r="337">
      <c r="B337" s="175"/>
      <c r="E337" s="150"/>
      <c r="F337" s="150"/>
      <c r="G337" s="150"/>
    </row>
    <row r="338">
      <c r="B338" s="175"/>
      <c r="E338" s="150"/>
      <c r="F338" s="150"/>
      <c r="G338" s="150"/>
    </row>
    <row r="339">
      <c r="B339" s="175"/>
      <c r="E339" s="150"/>
      <c r="F339" s="150"/>
      <c r="G339" s="150"/>
    </row>
    <row r="340">
      <c r="B340" s="175"/>
      <c r="E340" s="150"/>
      <c r="F340" s="150"/>
      <c r="G340" s="150"/>
    </row>
    <row r="341">
      <c r="B341" s="175"/>
      <c r="E341" s="150"/>
      <c r="F341" s="150"/>
      <c r="G341" s="150"/>
    </row>
    <row r="342">
      <c r="B342" s="175"/>
      <c r="E342" s="150"/>
      <c r="F342" s="150"/>
      <c r="G342" s="150"/>
    </row>
    <row r="343">
      <c r="B343" s="175"/>
      <c r="E343" s="150"/>
      <c r="F343" s="150"/>
      <c r="G343" s="150"/>
    </row>
    <row r="344">
      <c r="B344" s="175"/>
      <c r="E344" s="150"/>
      <c r="F344" s="150"/>
      <c r="G344" s="150"/>
    </row>
    <row r="345">
      <c r="B345" s="175"/>
      <c r="E345" s="150"/>
      <c r="F345" s="150"/>
      <c r="G345" s="150"/>
    </row>
    <row r="346">
      <c r="B346" s="175"/>
      <c r="E346" s="150"/>
      <c r="F346" s="150"/>
      <c r="G346" s="150"/>
    </row>
    <row r="347">
      <c r="B347" s="175"/>
      <c r="E347" s="150"/>
      <c r="F347" s="150"/>
      <c r="G347" s="150"/>
    </row>
    <row r="348">
      <c r="B348" s="175"/>
      <c r="E348" s="150"/>
      <c r="F348" s="150"/>
      <c r="G348" s="150"/>
    </row>
    <row r="349">
      <c r="B349" s="175"/>
      <c r="E349" s="150"/>
      <c r="F349" s="150"/>
      <c r="G349" s="150"/>
    </row>
    <row r="350">
      <c r="B350" s="175"/>
      <c r="E350" s="150"/>
      <c r="F350" s="150"/>
      <c r="G350" s="150"/>
    </row>
    <row r="351">
      <c r="B351" s="175"/>
      <c r="E351" s="150"/>
      <c r="F351" s="150"/>
      <c r="G351" s="150"/>
    </row>
    <row r="352">
      <c r="B352" s="175"/>
      <c r="E352" s="150"/>
      <c r="F352" s="150"/>
      <c r="G352" s="150"/>
    </row>
    <row r="353">
      <c r="B353" s="175"/>
      <c r="E353" s="150"/>
      <c r="F353" s="150"/>
      <c r="G353" s="150"/>
    </row>
    <row r="354">
      <c r="B354" s="175"/>
      <c r="E354" s="150"/>
      <c r="F354" s="150"/>
      <c r="G354" s="150"/>
    </row>
    <row r="355">
      <c r="B355" s="175"/>
      <c r="E355" s="150"/>
      <c r="F355" s="150"/>
      <c r="G355" s="150"/>
    </row>
    <row r="356">
      <c r="B356" s="175"/>
      <c r="E356" s="150"/>
      <c r="F356" s="150"/>
      <c r="G356" s="150"/>
    </row>
    <row r="357">
      <c r="B357" s="175"/>
      <c r="E357" s="150"/>
      <c r="F357" s="150"/>
      <c r="G357" s="150"/>
    </row>
    <row r="358">
      <c r="B358" s="175"/>
      <c r="E358" s="150"/>
      <c r="F358" s="150"/>
      <c r="G358" s="150"/>
    </row>
    <row r="359">
      <c r="B359" s="175"/>
      <c r="E359" s="150"/>
      <c r="F359" s="150"/>
      <c r="G359" s="150"/>
    </row>
    <row r="360">
      <c r="B360" s="175"/>
      <c r="E360" s="150"/>
      <c r="F360" s="150"/>
      <c r="G360" s="150"/>
    </row>
    <row r="361">
      <c r="B361" s="175"/>
      <c r="E361" s="150"/>
      <c r="F361" s="150"/>
      <c r="G361" s="150"/>
    </row>
    <row r="362">
      <c r="B362" s="175"/>
      <c r="E362" s="150"/>
      <c r="F362" s="150"/>
      <c r="G362" s="150"/>
    </row>
    <row r="363">
      <c r="B363" s="175"/>
      <c r="E363" s="150"/>
      <c r="F363" s="150"/>
      <c r="G363" s="150"/>
    </row>
    <row r="364">
      <c r="B364" s="175"/>
      <c r="E364" s="150"/>
      <c r="F364" s="150"/>
      <c r="G364" s="150"/>
    </row>
    <row r="365">
      <c r="B365" s="175"/>
      <c r="E365" s="150"/>
      <c r="F365" s="150"/>
      <c r="G365" s="150"/>
    </row>
    <row r="366">
      <c r="B366" s="175"/>
      <c r="E366" s="150"/>
      <c r="F366" s="150"/>
      <c r="G366" s="150"/>
    </row>
    <row r="367">
      <c r="B367" s="175"/>
      <c r="E367" s="150"/>
      <c r="F367" s="150"/>
      <c r="G367" s="150"/>
    </row>
    <row r="368">
      <c r="B368" s="175"/>
      <c r="E368" s="150"/>
      <c r="F368" s="150"/>
      <c r="G368" s="150"/>
    </row>
    <row r="369">
      <c r="B369" s="175"/>
      <c r="E369" s="150"/>
      <c r="F369" s="150"/>
      <c r="G369" s="150"/>
    </row>
    <row r="370">
      <c r="B370" s="175"/>
      <c r="E370" s="150"/>
      <c r="F370" s="150"/>
      <c r="G370" s="150"/>
    </row>
    <row r="371">
      <c r="B371" s="175"/>
      <c r="E371" s="150"/>
      <c r="F371" s="150"/>
      <c r="G371" s="150"/>
    </row>
    <row r="372">
      <c r="B372" s="175"/>
      <c r="E372" s="150"/>
      <c r="F372" s="150"/>
      <c r="G372" s="150"/>
    </row>
    <row r="373">
      <c r="B373" s="175"/>
      <c r="E373" s="150"/>
      <c r="F373" s="150"/>
      <c r="G373" s="150"/>
    </row>
    <row r="374">
      <c r="B374" s="175"/>
      <c r="E374" s="150"/>
      <c r="F374" s="150"/>
      <c r="G374" s="150"/>
    </row>
    <row r="375">
      <c r="B375" s="175"/>
      <c r="E375" s="150"/>
      <c r="F375" s="150"/>
      <c r="G375" s="150"/>
    </row>
    <row r="376">
      <c r="B376" s="175"/>
      <c r="E376" s="150"/>
      <c r="F376" s="150"/>
      <c r="G376" s="150"/>
    </row>
    <row r="377">
      <c r="B377" s="175"/>
      <c r="E377" s="150"/>
      <c r="F377" s="150"/>
      <c r="G377" s="150"/>
    </row>
    <row r="378">
      <c r="B378" s="175"/>
      <c r="E378" s="150"/>
      <c r="F378" s="150"/>
      <c r="G378" s="150"/>
    </row>
    <row r="379">
      <c r="B379" s="175"/>
      <c r="E379" s="150"/>
      <c r="F379" s="150"/>
      <c r="G379" s="150"/>
    </row>
    <row r="380">
      <c r="B380" s="175"/>
      <c r="E380" s="150"/>
      <c r="F380" s="150"/>
      <c r="G380" s="150"/>
    </row>
    <row r="381">
      <c r="B381" s="175"/>
      <c r="E381" s="150"/>
      <c r="F381" s="150"/>
      <c r="G381" s="150"/>
    </row>
    <row r="382">
      <c r="B382" s="175"/>
      <c r="E382" s="150"/>
      <c r="F382" s="150"/>
      <c r="G382" s="150"/>
    </row>
    <row r="383">
      <c r="B383" s="175"/>
      <c r="E383" s="150"/>
      <c r="F383" s="150"/>
      <c r="G383" s="150"/>
    </row>
    <row r="384">
      <c r="B384" s="175"/>
      <c r="E384" s="150"/>
      <c r="F384" s="150"/>
      <c r="G384" s="150"/>
    </row>
    <row r="385">
      <c r="B385" s="175"/>
      <c r="E385" s="150"/>
      <c r="F385" s="150"/>
      <c r="G385" s="150"/>
    </row>
    <row r="386">
      <c r="B386" s="175"/>
      <c r="E386" s="150"/>
      <c r="F386" s="150"/>
      <c r="G386" s="150"/>
    </row>
    <row r="387">
      <c r="B387" s="175"/>
      <c r="E387" s="150"/>
      <c r="F387" s="150"/>
      <c r="G387" s="150"/>
    </row>
    <row r="388">
      <c r="B388" s="175"/>
      <c r="E388" s="150"/>
      <c r="F388" s="150"/>
      <c r="G388" s="150"/>
    </row>
    <row r="389">
      <c r="B389" s="175"/>
      <c r="E389" s="150"/>
      <c r="F389" s="150"/>
      <c r="G389" s="150"/>
    </row>
    <row r="390">
      <c r="B390" s="175"/>
      <c r="E390" s="150"/>
      <c r="F390" s="150"/>
      <c r="G390" s="150"/>
    </row>
    <row r="391">
      <c r="B391" s="175"/>
      <c r="E391" s="150"/>
      <c r="F391" s="150"/>
      <c r="G391" s="150"/>
    </row>
    <row r="392">
      <c r="B392" s="175"/>
      <c r="E392" s="150"/>
      <c r="F392" s="150"/>
      <c r="G392" s="150"/>
    </row>
    <row r="393">
      <c r="B393" s="175"/>
      <c r="E393" s="150"/>
      <c r="F393" s="150"/>
      <c r="G393" s="150"/>
    </row>
    <row r="394">
      <c r="B394" s="175"/>
      <c r="E394" s="150"/>
      <c r="F394" s="150"/>
      <c r="G394" s="150"/>
    </row>
    <row r="395">
      <c r="B395" s="175"/>
      <c r="E395" s="150"/>
      <c r="F395" s="150"/>
      <c r="G395" s="150"/>
    </row>
    <row r="396">
      <c r="B396" s="175"/>
      <c r="E396" s="150"/>
      <c r="F396" s="150"/>
      <c r="G396" s="150"/>
    </row>
    <row r="397">
      <c r="B397" s="175"/>
      <c r="E397" s="150"/>
      <c r="F397" s="150"/>
      <c r="G397" s="150"/>
    </row>
    <row r="398">
      <c r="B398" s="175"/>
      <c r="E398" s="150"/>
      <c r="F398" s="150"/>
      <c r="G398" s="150"/>
    </row>
    <row r="399">
      <c r="B399" s="175"/>
      <c r="E399" s="150"/>
      <c r="F399" s="150"/>
      <c r="G399" s="150"/>
    </row>
    <row r="400">
      <c r="B400" s="175"/>
      <c r="E400" s="150"/>
      <c r="F400" s="150"/>
      <c r="G400" s="150"/>
    </row>
    <row r="401">
      <c r="B401" s="175"/>
      <c r="E401" s="150"/>
      <c r="F401" s="150"/>
      <c r="G401" s="150"/>
    </row>
    <row r="402">
      <c r="B402" s="175"/>
      <c r="E402" s="150"/>
      <c r="F402" s="150"/>
      <c r="G402" s="150"/>
    </row>
    <row r="403">
      <c r="B403" s="175"/>
      <c r="E403" s="150"/>
      <c r="F403" s="150"/>
      <c r="G403" s="150"/>
    </row>
    <row r="404">
      <c r="B404" s="175"/>
      <c r="E404" s="150"/>
      <c r="F404" s="150"/>
      <c r="G404" s="150"/>
    </row>
    <row r="405">
      <c r="B405" s="175"/>
      <c r="E405" s="150"/>
      <c r="F405" s="150"/>
      <c r="G405" s="150"/>
    </row>
    <row r="406">
      <c r="B406" s="175"/>
      <c r="E406" s="150"/>
      <c r="F406" s="150"/>
      <c r="G406" s="150"/>
    </row>
    <row r="407">
      <c r="B407" s="175"/>
      <c r="E407" s="150"/>
      <c r="F407" s="150"/>
      <c r="G407" s="150"/>
    </row>
    <row r="408">
      <c r="B408" s="175"/>
      <c r="E408" s="150"/>
      <c r="F408" s="150"/>
      <c r="G408" s="150"/>
    </row>
    <row r="409">
      <c r="B409" s="175"/>
      <c r="E409" s="150"/>
      <c r="F409" s="150"/>
      <c r="G409" s="150"/>
    </row>
    <row r="410">
      <c r="B410" s="175"/>
      <c r="E410" s="150"/>
      <c r="F410" s="150"/>
      <c r="G410" s="150"/>
    </row>
    <row r="411">
      <c r="B411" s="175"/>
      <c r="E411" s="150"/>
      <c r="F411" s="150"/>
      <c r="G411" s="150"/>
    </row>
    <row r="412">
      <c r="B412" s="175"/>
      <c r="E412" s="150"/>
      <c r="F412" s="150"/>
      <c r="G412" s="150"/>
    </row>
    <row r="413">
      <c r="B413" s="175"/>
      <c r="E413" s="150"/>
      <c r="F413" s="150"/>
      <c r="G413" s="150"/>
    </row>
    <row r="414">
      <c r="B414" s="175"/>
      <c r="E414" s="150"/>
      <c r="F414" s="150"/>
      <c r="G414" s="150"/>
    </row>
    <row r="415">
      <c r="B415" s="175"/>
      <c r="E415" s="150"/>
      <c r="F415" s="150"/>
      <c r="G415" s="150"/>
    </row>
    <row r="416">
      <c r="B416" s="175"/>
      <c r="E416" s="150"/>
      <c r="F416" s="150"/>
      <c r="G416" s="150"/>
    </row>
    <row r="417">
      <c r="B417" s="175"/>
      <c r="E417" s="150"/>
      <c r="F417" s="150"/>
      <c r="G417" s="150"/>
    </row>
    <row r="418">
      <c r="B418" s="175"/>
      <c r="E418" s="150"/>
      <c r="F418" s="150"/>
      <c r="G418" s="150"/>
    </row>
    <row r="419">
      <c r="B419" s="175"/>
      <c r="E419" s="150"/>
      <c r="F419" s="150"/>
      <c r="G419" s="150"/>
    </row>
    <row r="420">
      <c r="B420" s="175"/>
      <c r="E420" s="150"/>
      <c r="F420" s="150"/>
      <c r="G420" s="150"/>
    </row>
    <row r="421">
      <c r="B421" s="175"/>
      <c r="E421" s="150"/>
      <c r="F421" s="150"/>
      <c r="G421" s="150"/>
    </row>
    <row r="422">
      <c r="B422" s="175"/>
      <c r="E422" s="150"/>
      <c r="F422" s="150"/>
      <c r="G422" s="150"/>
    </row>
    <row r="423">
      <c r="B423" s="175"/>
      <c r="E423" s="150"/>
      <c r="F423" s="150"/>
      <c r="G423" s="150"/>
    </row>
    <row r="424">
      <c r="B424" s="175"/>
      <c r="E424" s="150"/>
      <c r="F424" s="150"/>
      <c r="G424" s="150"/>
    </row>
    <row r="425">
      <c r="B425" s="175"/>
      <c r="E425" s="150"/>
      <c r="F425" s="150"/>
      <c r="G425" s="150"/>
    </row>
    <row r="426">
      <c r="B426" s="175"/>
      <c r="E426" s="150"/>
      <c r="F426" s="150"/>
      <c r="G426" s="150"/>
    </row>
    <row r="427">
      <c r="B427" s="175"/>
      <c r="E427" s="150"/>
      <c r="F427" s="150"/>
      <c r="G427" s="150"/>
    </row>
    <row r="428">
      <c r="B428" s="175"/>
      <c r="E428" s="150"/>
      <c r="F428" s="150"/>
      <c r="G428" s="150"/>
    </row>
    <row r="429">
      <c r="B429" s="175"/>
      <c r="E429" s="150"/>
      <c r="F429" s="150"/>
      <c r="G429" s="150"/>
    </row>
    <row r="430">
      <c r="B430" s="175"/>
      <c r="E430" s="150"/>
      <c r="F430" s="150"/>
      <c r="G430" s="150"/>
    </row>
    <row r="431">
      <c r="B431" s="175"/>
      <c r="E431" s="150"/>
      <c r="F431" s="150"/>
      <c r="G431" s="150"/>
    </row>
    <row r="432">
      <c r="B432" s="175"/>
      <c r="E432" s="150"/>
      <c r="F432" s="150"/>
      <c r="G432" s="150"/>
    </row>
    <row r="433">
      <c r="B433" s="175"/>
      <c r="E433" s="150"/>
      <c r="F433" s="150"/>
      <c r="G433" s="150"/>
    </row>
    <row r="434">
      <c r="B434" s="175"/>
      <c r="E434" s="150"/>
      <c r="F434" s="150"/>
      <c r="G434" s="150"/>
    </row>
    <row r="435">
      <c r="B435" s="175"/>
      <c r="E435" s="150"/>
      <c r="F435" s="150"/>
      <c r="G435" s="150"/>
    </row>
    <row r="436">
      <c r="B436" s="175"/>
      <c r="E436" s="150"/>
      <c r="F436" s="150"/>
      <c r="G436" s="150"/>
    </row>
    <row r="437">
      <c r="B437" s="175"/>
      <c r="E437" s="150"/>
      <c r="F437" s="150"/>
      <c r="G437" s="150"/>
    </row>
    <row r="438">
      <c r="B438" s="175"/>
      <c r="E438" s="150"/>
      <c r="F438" s="150"/>
      <c r="G438" s="150"/>
    </row>
    <row r="439">
      <c r="B439" s="175"/>
      <c r="E439" s="150"/>
      <c r="F439" s="150"/>
      <c r="G439" s="150"/>
    </row>
    <row r="440">
      <c r="B440" s="175"/>
      <c r="E440" s="150"/>
      <c r="F440" s="150"/>
      <c r="G440" s="150"/>
    </row>
    <row r="441">
      <c r="B441" s="175"/>
      <c r="E441" s="150"/>
      <c r="F441" s="150"/>
      <c r="G441" s="150"/>
    </row>
    <row r="442">
      <c r="B442" s="175"/>
      <c r="E442" s="150"/>
      <c r="F442" s="150"/>
      <c r="G442" s="150"/>
    </row>
    <row r="443">
      <c r="B443" s="175"/>
      <c r="E443" s="150"/>
      <c r="F443" s="150"/>
      <c r="G443" s="150"/>
    </row>
    <row r="444">
      <c r="B444" s="175"/>
      <c r="E444" s="150"/>
      <c r="F444" s="150"/>
      <c r="G444" s="150"/>
    </row>
    <row r="445">
      <c r="B445" s="175"/>
      <c r="E445" s="150"/>
      <c r="F445" s="150"/>
      <c r="G445" s="150"/>
    </row>
    <row r="446">
      <c r="B446" s="175"/>
      <c r="E446" s="150"/>
      <c r="F446" s="150"/>
      <c r="G446" s="150"/>
    </row>
    <row r="447">
      <c r="B447" s="175"/>
      <c r="E447" s="150"/>
      <c r="F447" s="150"/>
      <c r="G447" s="150"/>
    </row>
    <row r="448">
      <c r="B448" s="175"/>
      <c r="E448" s="150"/>
      <c r="F448" s="150"/>
      <c r="G448" s="150"/>
    </row>
    <row r="449">
      <c r="B449" s="175"/>
      <c r="E449" s="150"/>
      <c r="F449" s="150"/>
      <c r="G449" s="150"/>
    </row>
    <row r="450">
      <c r="B450" s="175"/>
      <c r="E450" s="150"/>
      <c r="F450" s="150"/>
      <c r="G450" s="150"/>
    </row>
    <row r="451">
      <c r="B451" s="175"/>
      <c r="E451" s="150"/>
      <c r="F451" s="150"/>
      <c r="G451" s="150"/>
    </row>
    <row r="452">
      <c r="B452" s="175"/>
      <c r="E452" s="150"/>
      <c r="F452" s="150"/>
      <c r="G452" s="150"/>
    </row>
    <row r="453">
      <c r="B453" s="175"/>
      <c r="E453" s="150"/>
      <c r="F453" s="150"/>
      <c r="G453" s="150"/>
    </row>
    <row r="454">
      <c r="B454" s="175"/>
      <c r="E454" s="150"/>
      <c r="F454" s="150"/>
      <c r="G454" s="150"/>
    </row>
    <row r="455">
      <c r="B455" s="175"/>
      <c r="E455" s="150"/>
      <c r="F455" s="150"/>
      <c r="G455" s="150"/>
    </row>
    <row r="456">
      <c r="B456" s="175"/>
      <c r="E456" s="150"/>
      <c r="F456" s="150"/>
      <c r="G456" s="150"/>
    </row>
    <row r="457">
      <c r="B457" s="175"/>
      <c r="E457" s="150"/>
      <c r="F457" s="150"/>
      <c r="G457" s="150"/>
    </row>
    <row r="458">
      <c r="B458" s="175"/>
      <c r="E458" s="150"/>
      <c r="F458" s="150"/>
      <c r="G458" s="150"/>
    </row>
    <row r="459">
      <c r="B459" s="175"/>
      <c r="E459" s="150"/>
      <c r="F459" s="150"/>
      <c r="G459" s="150"/>
    </row>
    <row r="460">
      <c r="B460" s="175"/>
      <c r="E460" s="150"/>
      <c r="F460" s="150"/>
      <c r="G460" s="150"/>
    </row>
    <row r="461">
      <c r="B461" s="175"/>
      <c r="E461" s="150"/>
      <c r="F461" s="150"/>
      <c r="G461" s="150"/>
    </row>
    <row r="462">
      <c r="B462" s="175"/>
      <c r="E462" s="150"/>
      <c r="F462" s="150"/>
      <c r="G462" s="150"/>
    </row>
    <row r="463">
      <c r="B463" s="175"/>
      <c r="E463" s="150"/>
      <c r="F463" s="150"/>
      <c r="G463" s="150"/>
    </row>
    <row r="464">
      <c r="B464" s="175"/>
      <c r="E464" s="150"/>
      <c r="F464" s="150"/>
      <c r="G464" s="150"/>
    </row>
    <row r="465">
      <c r="B465" s="175"/>
      <c r="E465" s="150"/>
      <c r="F465" s="150"/>
      <c r="G465" s="150"/>
    </row>
    <row r="466">
      <c r="B466" s="175"/>
      <c r="E466" s="150"/>
      <c r="F466" s="150"/>
      <c r="G466" s="150"/>
    </row>
    <row r="467">
      <c r="B467" s="175"/>
      <c r="E467" s="150"/>
      <c r="F467" s="150"/>
      <c r="G467" s="150"/>
    </row>
    <row r="468">
      <c r="B468" s="175"/>
      <c r="E468" s="150"/>
      <c r="F468" s="150"/>
      <c r="G468" s="150"/>
    </row>
    <row r="469">
      <c r="B469" s="175"/>
      <c r="E469" s="150"/>
      <c r="F469" s="150"/>
      <c r="G469" s="150"/>
    </row>
    <row r="470">
      <c r="B470" s="175"/>
      <c r="E470" s="150"/>
      <c r="F470" s="150"/>
      <c r="G470" s="150"/>
    </row>
    <row r="471">
      <c r="B471" s="175"/>
      <c r="E471" s="150"/>
      <c r="F471" s="150"/>
      <c r="G471" s="150"/>
    </row>
    <row r="472">
      <c r="B472" s="175"/>
      <c r="E472" s="150"/>
      <c r="F472" s="150"/>
      <c r="G472" s="150"/>
    </row>
    <row r="473">
      <c r="B473" s="175"/>
      <c r="E473" s="150"/>
      <c r="F473" s="150"/>
      <c r="G473" s="150"/>
    </row>
    <row r="474">
      <c r="B474" s="175"/>
      <c r="E474" s="150"/>
      <c r="F474" s="150"/>
      <c r="G474" s="150"/>
    </row>
    <row r="475">
      <c r="B475" s="175"/>
      <c r="E475" s="150"/>
      <c r="F475" s="150"/>
      <c r="G475" s="150"/>
    </row>
    <row r="476">
      <c r="B476" s="175"/>
      <c r="E476" s="150"/>
      <c r="F476" s="150"/>
      <c r="G476" s="150"/>
    </row>
    <row r="477">
      <c r="B477" s="175"/>
      <c r="E477" s="150"/>
      <c r="F477" s="150"/>
      <c r="G477" s="150"/>
    </row>
    <row r="478">
      <c r="B478" s="175"/>
      <c r="E478" s="150"/>
      <c r="F478" s="150"/>
      <c r="G478" s="150"/>
    </row>
    <row r="479">
      <c r="B479" s="175"/>
      <c r="E479" s="150"/>
      <c r="F479" s="150"/>
      <c r="G479" s="150"/>
    </row>
    <row r="480">
      <c r="B480" s="175"/>
      <c r="E480" s="150"/>
      <c r="F480" s="150"/>
      <c r="G480" s="150"/>
    </row>
    <row r="481">
      <c r="B481" s="175"/>
      <c r="E481" s="150"/>
      <c r="F481" s="150"/>
      <c r="G481" s="150"/>
    </row>
    <row r="482">
      <c r="B482" s="175"/>
      <c r="E482" s="150"/>
      <c r="F482" s="150"/>
      <c r="G482" s="150"/>
    </row>
    <row r="483">
      <c r="B483" s="175"/>
      <c r="E483" s="150"/>
      <c r="F483" s="150"/>
      <c r="G483" s="150"/>
    </row>
    <row r="484">
      <c r="B484" s="175"/>
      <c r="E484" s="150"/>
      <c r="F484" s="150"/>
      <c r="G484" s="150"/>
    </row>
    <row r="485">
      <c r="B485" s="175"/>
      <c r="E485" s="150"/>
      <c r="F485" s="150"/>
      <c r="G485" s="150"/>
    </row>
    <row r="486">
      <c r="B486" s="175"/>
      <c r="E486" s="150"/>
      <c r="F486" s="150"/>
      <c r="G486" s="150"/>
    </row>
    <row r="487">
      <c r="B487" s="175"/>
      <c r="E487" s="150"/>
      <c r="F487" s="150"/>
      <c r="G487" s="150"/>
    </row>
    <row r="488">
      <c r="B488" s="175"/>
      <c r="E488" s="150"/>
      <c r="F488" s="150"/>
      <c r="G488" s="150"/>
    </row>
    <row r="489">
      <c r="B489" s="175"/>
      <c r="E489" s="150"/>
      <c r="F489" s="150"/>
      <c r="G489" s="150"/>
    </row>
    <row r="490">
      <c r="B490" s="175"/>
      <c r="E490" s="150"/>
      <c r="F490" s="150"/>
      <c r="G490" s="150"/>
    </row>
    <row r="491">
      <c r="B491" s="175"/>
      <c r="E491" s="150"/>
      <c r="F491" s="150"/>
      <c r="G491" s="150"/>
    </row>
    <row r="492">
      <c r="B492" s="175"/>
      <c r="E492" s="150"/>
      <c r="F492" s="150"/>
      <c r="G492" s="150"/>
    </row>
    <row r="493">
      <c r="B493" s="175"/>
      <c r="E493" s="150"/>
      <c r="F493" s="150"/>
      <c r="G493" s="150"/>
    </row>
    <row r="494">
      <c r="B494" s="175"/>
      <c r="E494" s="150"/>
      <c r="F494" s="150"/>
      <c r="G494" s="150"/>
    </row>
    <row r="495">
      <c r="B495" s="175"/>
      <c r="E495" s="150"/>
      <c r="F495" s="150"/>
      <c r="G495" s="150"/>
    </row>
    <row r="496">
      <c r="B496" s="175"/>
      <c r="E496" s="150"/>
      <c r="F496" s="150"/>
      <c r="G496" s="150"/>
    </row>
    <row r="497">
      <c r="B497" s="175"/>
      <c r="E497" s="150"/>
      <c r="F497" s="150"/>
      <c r="G497" s="150"/>
    </row>
    <row r="498">
      <c r="B498" s="175"/>
      <c r="E498" s="150"/>
      <c r="F498" s="150"/>
      <c r="G498" s="150"/>
    </row>
    <row r="499">
      <c r="B499" s="175"/>
      <c r="E499" s="150"/>
      <c r="F499" s="150"/>
      <c r="G499" s="150"/>
    </row>
    <row r="500">
      <c r="B500" s="175"/>
      <c r="E500" s="150"/>
      <c r="F500" s="150"/>
      <c r="G500" s="150"/>
    </row>
    <row r="501">
      <c r="B501" s="175"/>
      <c r="E501" s="150"/>
      <c r="F501" s="150"/>
      <c r="G501" s="150"/>
    </row>
    <row r="502">
      <c r="B502" s="175"/>
      <c r="E502" s="150"/>
      <c r="F502" s="150"/>
      <c r="G502" s="150"/>
    </row>
    <row r="503">
      <c r="B503" s="175"/>
      <c r="E503" s="150"/>
      <c r="F503" s="150"/>
      <c r="G503" s="150"/>
    </row>
    <row r="504">
      <c r="B504" s="175"/>
      <c r="E504" s="150"/>
      <c r="F504" s="150"/>
      <c r="G504" s="150"/>
    </row>
    <row r="505">
      <c r="B505" s="175"/>
      <c r="E505" s="150"/>
      <c r="F505" s="150"/>
      <c r="G505" s="150"/>
    </row>
    <row r="506">
      <c r="B506" s="175"/>
      <c r="E506" s="150"/>
      <c r="F506" s="150"/>
      <c r="G506" s="150"/>
    </row>
    <row r="507">
      <c r="B507" s="175"/>
      <c r="E507" s="150"/>
      <c r="F507" s="150"/>
      <c r="G507" s="150"/>
    </row>
    <row r="508">
      <c r="B508" s="175"/>
      <c r="E508" s="150"/>
      <c r="F508" s="150"/>
      <c r="G508" s="150"/>
    </row>
    <row r="509">
      <c r="B509" s="175"/>
      <c r="E509" s="150"/>
      <c r="F509" s="150"/>
      <c r="G509" s="150"/>
    </row>
    <row r="510">
      <c r="B510" s="175"/>
      <c r="E510" s="150"/>
      <c r="F510" s="150"/>
      <c r="G510" s="150"/>
    </row>
    <row r="511">
      <c r="B511" s="175"/>
      <c r="E511" s="150"/>
      <c r="F511" s="150"/>
      <c r="G511" s="150"/>
    </row>
    <row r="512">
      <c r="B512" s="175"/>
      <c r="E512" s="150"/>
      <c r="F512" s="150"/>
      <c r="G512" s="150"/>
    </row>
    <row r="513">
      <c r="B513" s="175"/>
      <c r="E513" s="150"/>
      <c r="F513" s="150"/>
      <c r="G513" s="150"/>
    </row>
    <row r="514">
      <c r="B514" s="175"/>
      <c r="E514" s="150"/>
      <c r="F514" s="150"/>
      <c r="G514" s="150"/>
    </row>
    <row r="515">
      <c r="B515" s="175"/>
      <c r="E515" s="150"/>
      <c r="F515" s="150"/>
      <c r="G515" s="150"/>
    </row>
    <row r="516">
      <c r="B516" s="175"/>
      <c r="E516" s="150"/>
      <c r="F516" s="150"/>
      <c r="G516" s="150"/>
    </row>
    <row r="517">
      <c r="B517" s="175"/>
      <c r="E517" s="150"/>
      <c r="F517" s="150"/>
      <c r="G517" s="150"/>
    </row>
    <row r="518">
      <c r="B518" s="175"/>
      <c r="E518" s="150"/>
      <c r="F518" s="150"/>
      <c r="G518" s="150"/>
    </row>
    <row r="519">
      <c r="B519" s="175"/>
      <c r="E519" s="150"/>
      <c r="F519" s="150"/>
      <c r="G519" s="150"/>
    </row>
    <row r="520">
      <c r="B520" s="175"/>
      <c r="E520" s="150"/>
      <c r="F520" s="150"/>
      <c r="G520" s="150"/>
    </row>
    <row r="521">
      <c r="B521" s="175"/>
      <c r="E521" s="150"/>
      <c r="F521" s="150"/>
      <c r="G521" s="150"/>
    </row>
    <row r="522">
      <c r="B522" s="175"/>
      <c r="E522" s="150"/>
      <c r="F522" s="150"/>
      <c r="G522" s="150"/>
    </row>
    <row r="523">
      <c r="B523" s="175"/>
      <c r="E523" s="150"/>
      <c r="F523" s="150"/>
      <c r="G523" s="150"/>
    </row>
    <row r="524">
      <c r="B524" s="175"/>
      <c r="E524" s="150"/>
      <c r="F524" s="150"/>
      <c r="G524" s="150"/>
    </row>
    <row r="525">
      <c r="B525" s="175"/>
      <c r="E525" s="150"/>
      <c r="F525" s="150"/>
      <c r="G525" s="150"/>
    </row>
    <row r="526">
      <c r="B526" s="175"/>
      <c r="E526" s="150"/>
      <c r="F526" s="150"/>
      <c r="G526" s="150"/>
    </row>
    <row r="527">
      <c r="B527" s="175"/>
      <c r="E527" s="150"/>
      <c r="F527" s="150"/>
      <c r="G527" s="150"/>
    </row>
    <row r="528">
      <c r="B528" s="175"/>
      <c r="E528" s="150"/>
      <c r="F528" s="150"/>
      <c r="G528" s="150"/>
    </row>
    <row r="529">
      <c r="B529" s="175"/>
      <c r="E529" s="150"/>
      <c r="F529" s="150"/>
      <c r="G529" s="150"/>
    </row>
    <row r="530">
      <c r="B530" s="175"/>
      <c r="E530" s="150"/>
      <c r="F530" s="150"/>
      <c r="G530" s="150"/>
    </row>
    <row r="531">
      <c r="B531" s="175"/>
      <c r="E531" s="150"/>
      <c r="F531" s="150"/>
      <c r="G531" s="150"/>
    </row>
    <row r="532">
      <c r="B532" s="175"/>
      <c r="E532" s="150"/>
      <c r="F532" s="150"/>
      <c r="G532" s="150"/>
    </row>
    <row r="533">
      <c r="B533" s="175"/>
      <c r="E533" s="150"/>
      <c r="F533" s="150"/>
      <c r="G533" s="150"/>
    </row>
    <row r="534">
      <c r="B534" s="175"/>
      <c r="E534" s="150"/>
      <c r="F534" s="150"/>
      <c r="G534" s="150"/>
    </row>
    <row r="535">
      <c r="B535" s="175"/>
      <c r="E535" s="150"/>
      <c r="F535" s="150"/>
      <c r="G535" s="150"/>
    </row>
    <row r="536">
      <c r="B536" s="175"/>
      <c r="E536" s="150"/>
      <c r="F536" s="150"/>
      <c r="G536" s="150"/>
    </row>
    <row r="537">
      <c r="B537" s="175"/>
      <c r="E537" s="150"/>
      <c r="F537" s="150"/>
      <c r="G537" s="150"/>
    </row>
    <row r="538">
      <c r="B538" s="175"/>
      <c r="E538" s="150"/>
      <c r="F538" s="150"/>
      <c r="G538" s="150"/>
    </row>
    <row r="539">
      <c r="B539" s="175"/>
      <c r="E539" s="150"/>
      <c r="F539" s="150"/>
      <c r="G539" s="150"/>
    </row>
    <row r="540">
      <c r="B540" s="175"/>
      <c r="E540" s="150"/>
      <c r="F540" s="150"/>
      <c r="G540" s="150"/>
    </row>
    <row r="541">
      <c r="B541" s="175"/>
      <c r="E541" s="150"/>
      <c r="F541" s="150"/>
      <c r="G541" s="150"/>
    </row>
    <row r="542">
      <c r="B542" s="175"/>
      <c r="E542" s="150"/>
      <c r="F542" s="150"/>
      <c r="G542" s="150"/>
    </row>
    <row r="543">
      <c r="B543" s="175"/>
      <c r="E543" s="150"/>
      <c r="F543" s="150"/>
      <c r="G543" s="150"/>
    </row>
    <row r="544">
      <c r="B544" s="175"/>
      <c r="E544" s="150"/>
      <c r="F544" s="150"/>
      <c r="G544" s="150"/>
    </row>
    <row r="545">
      <c r="B545" s="175"/>
      <c r="E545" s="150"/>
      <c r="F545" s="150"/>
      <c r="G545" s="150"/>
    </row>
    <row r="546">
      <c r="B546" s="175"/>
      <c r="E546" s="150"/>
      <c r="F546" s="150"/>
      <c r="G546" s="150"/>
    </row>
    <row r="547">
      <c r="B547" s="175"/>
      <c r="E547" s="150"/>
      <c r="F547" s="150"/>
      <c r="G547" s="150"/>
    </row>
    <row r="548">
      <c r="B548" s="175"/>
      <c r="E548" s="150"/>
      <c r="F548" s="150"/>
      <c r="G548" s="150"/>
    </row>
    <row r="549">
      <c r="B549" s="175"/>
      <c r="E549" s="150"/>
      <c r="F549" s="150"/>
      <c r="G549" s="150"/>
    </row>
    <row r="550">
      <c r="B550" s="175"/>
      <c r="E550" s="150"/>
      <c r="F550" s="150"/>
      <c r="G550" s="150"/>
    </row>
    <row r="551">
      <c r="B551" s="175"/>
      <c r="E551" s="150"/>
      <c r="F551" s="150"/>
      <c r="G551" s="150"/>
    </row>
    <row r="552">
      <c r="B552" s="175"/>
      <c r="E552" s="150"/>
      <c r="F552" s="150"/>
      <c r="G552" s="150"/>
    </row>
    <row r="553">
      <c r="B553" s="175"/>
      <c r="E553" s="150"/>
      <c r="F553" s="150"/>
      <c r="G553" s="150"/>
    </row>
    <row r="554">
      <c r="B554" s="175"/>
      <c r="E554" s="150"/>
      <c r="F554" s="150"/>
      <c r="G554" s="150"/>
    </row>
    <row r="555">
      <c r="B555" s="175"/>
      <c r="E555" s="150"/>
      <c r="F555" s="150"/>
      <c r="G555" s="150"/>
    </row>
    <row r="556">
      <c r="B556" s="175"/>
      <c r="E556" s="150"/>
      <c r="F556" s="150"/>
      <c r="G556" s="150"/>
    </row>
    <row r="557">
      <c r="B557" s="175"/>
      <c r="E557" s="150"/>
      <c r="F557" s="150"/>
      <c r="G557" s="150"/>
    </row>
    <row r="558">
      <c r="B558" s="175"/>
      <c r="E558" s="150"/>
      <c r="F558" s="150"/>
      <c r="G558" s="150"/>
    </row>
    <row r="559">
      <c r="B559" s="175"/>
      <c r="E559" s="150"/>
      <c r="F559" s="150"/>
      <c r="G559" s="150"/>
    </row>
    <row r="560">
      <c r="B560" s="175"/>
      <c r="E560" s="150"/>
      <c r="F560" s="150"/>
      <c r="G560" s="150"/>
    </row>
    <row r="561">
      <c r="B561" s="175"/>
      <c r="E561" s="150"/>
      <c r="F561" s="150"/>
      <c r="G561" s="150"/>
    </row>
    <row r="562">
      <c r="B562" s="175"/>
      <c r="E562" s="150"/>
      <c r="F562" s="150"/>
      <c r="G562" s="150"/>
    </row>
    <row r="563">
      <c r="B563" s="175"/>
      <c r="E563" s="150"/>
      <c r="F563" s="150"/>
      <c r="G563" s="150"/>
    </row>
    <row r="564">
      <c r="B564" s="175"/>
      <c r="E564" s="150"/>
      <c r="F564" s="150"/>
      <c r="G564" s="150"/>
    </row>
    <row r="565">
      <c r="B565" s="175"/>
      <c r="E565" s="150"/>
      <c r="F565" s="150"/>
      <c r="G565" s="150"/>
    </row>
    <row r="566">
      <c r="B566" s="175"/>
      <c r="E566" s="150"/>
      <c r="F566" s="150"/>
      <c r="G566" s="150"/>
    </row>
    <row r="567">
      <c r="B567" s="175"/>
      <c r="E567" s="150"/>
      <c r="F567" s="150"/>
      <c r="G567" s="150"/>
    </row>
    <row r="568">
      <c r="B568" s="175"/>
      <c r="E568" s="150"/>
      <c r="F568" s="150"/>
      <c r="G568" s="150"/>
    </row>
    <row r="569">
      <c r="B569" s="175"/>
      <c r="E569" s="150"/>
      <c r="F569" s="150"/>
      <c r="G569" s="150"/>
    </row>
    <row r="570">
      <c r="B570" s="175"/>
      <c r="E570" s="150"/>
      <c r="F570" s="150"/>
      <c r="G570" s="150"/>
    </row>
    <row r="571">
      <c r="B571" s="175"/>
      <c r="E571" s="150"/>
      <c r="F571" s="150"/>
      <c r="G571" s="150"/>
    </row>
    <row r="572">
      <c r="B572" s="175"/>
      <c r="E572" s="150"/>
      <c r="F572" s="150"/>
      <c r="G572" s="150"/>
    </row>
    <row r="573">
      <c r="B573" s="175"/>
      <c r="E573" s="150"/>
      <c r="F573" s="150"/>
      <c r="G573" s="150"/>
    </row>
    <row r="574">
      <c r="B574" s="175"/>
      <c r="E574" s="150"/>
      <c r="F574" s="150"/>
      <c r="G574" s="150"/>
    </row>
    <row r="575">
      <c r="B575" s="175"/>
      <c r="E575" s="150"/>
      <c r="F575" s="150"/>
      <c r="G575" s="150"/>
    </row>
    <row r="576">
      <c r="B576" s="175"/>
      <c r="E576" s="150"/>
      <c r="F576" s="150"/>
      <c r="G576" s="150"/>
    </row>
    <row r="577">
      <c r="B577" s="175"/>
      <c r="E577" s="150"/>
      <c r="F577" s="150"/>
      <c r="G577" s="150"/>
    </row>
    <row r="578">
      <c r="B578" s="175"/>
      <c r="E578" s="150"/>
      <c r="F578" s="150"/>
      <c r="G578" s="150"/>
    </row>
    <row r="579">
      <c r="B579" s="175"/>
      <c r="E579" s="150"/>
      <c r="F579" s="150"/>
      <c r="G579" s="150"/>
    </row>
    <row r="580">
      <c r="B580" s="175"/>
      <c r="E580" s="150"/>
      <c r="F580" s="150"/>
      <c r="G580" s="150"/>
    </row>
    <row r="581">
      <c r="B581" s="175"/>
      <c r="E581" s="150"/>
      <c r="F581" s="150"/>
      <c r="G581" s="150"/>
    </row>
    <row r="582">
      <c r="B582" s="175"/>
      <c r="E582" s="150"/>
      <c r="F582" s="150"/>
      <c r="G582" s="150"/>
    </row>
    <row r="583">
      <c r="B583" s="175"/>
      <c r="E583" s="150"/>
      <c r="F583" s="150"/>
      <c r="G583" s="150"/>
    </row>
    <row r="584">
      <c r="B584" s="175"/>
      <c r="E584" s="150"/>
      <c r="F584" s="150"/>
      <c r="G584" s="150"/>
    </row>
    <row r="585">
      <c r="B585" s="175"/>
      <c r="E585" s="150"/>
      <c r="F585" s="150"/>
      <c r="G585" s="150"/>
    </row>
    <row r="586">
      <c r="B586" s="175"/>
      <c r="E586" s="150"/>
      <c r="F586" s="150"/>
      <c r="G586" s="150"/>
    </row>
    <row r="587">
      <c r="B587" s="175"/>
      <c r="E587" s="150"/>
      <c r="F587" s="150"/>
      <c r="G587" s="150"/>
    </row>
    <row r="588">
      <c r="B588" s="175"/>
      <c r="E588" s="150"/>
      <c r="F588" s="150"/>
      <c r="G588" s="150"/>
    </row>
    <row r="589">
      <c r="B589" s="175"/>
      <c r="E589" s="150"/>
      <c r="F589" s="150"/>
      <c r="G589" s="150"/>
    </row>
    <row r="590">
      <c r="B590" s="175"/>
      <c r="E590" s="150"/>
      <c r="F590" s="150"/>
      <c r="G590" s="150"/>
    </row>
    <row r="591">
      <c r="B591" s="175"/>
      <c r="E591" s="150"/>
      <c r="F591" s="150"/>
      <c r="G591" s="150"/>
    </row>
    <row r="592">
      <c r="B592" s="175"/>
      <c r="E592" s="150"/>
      <c r="F592" s="150"/>
      <c r="G592" s="150"/>
    </row>
    <row r="593">
      <c r="B593" s="175"/>
      <c r="E593" s="150"/>
      <c r="F593" s="150"/>
      <c r="G593" s="150"/>
    </row>
    <row r="594">
      <c r="B594" s="175"/>
      <c r="E594" s="150"/>
      <c r="F594" s="150"/>
      <c r="G594" s="150"/>
    </row>
    <row r="595">
      <c r="B595" s="175"/>
      <c r="E595" s="150"/>
      <c r="F595" s="150"/>
      <c r="G595" s="150"/>
    </row>
    <row r="596">
      <c r="B596" s="175"/>
      <c r="E596" s="150"/>
      <c r="F596" s="150"/>
      <c r="G596" s="150"/>
    </row>
    <row r="597">
      <c r="B597" s="175"/>
      <c r="E597" s="150"/>
      <c r="F597" s="150"/>
      <c r="G597" s="150"/>
    </row>
    <row r="598">
      <c r="B598" s="175"/>
      <c r="E598" s="150"/>
      <c r="F598" s="150"/>
      <c r="G598" s="150"/>
    </row>
    <row r="599">
      <c r="B599" s="175"/>
      <c r="E599" s="150"/>
      <c r="F599" s="150"/>
      <c r="G599" s="150"/>
    </row>
    <row r="600">
      <c r="B600" s="175"/>
      <c r="E600" s="150"/>
      <c r="F600" s="150"/>
      <c r="G600" s="150"/>
    </row>
    <row r="601">
      <c r="B601" s="175"/>
      <c r="E601" s="150"/>
      <c r="F601" s="150"/>
      <c r="G601" s="150"/>
    </row>
    <row r="602">
      <c r="B602" s="175"/>
      <c r="E602" s="150"/>
      <c r="F602" s="150"/>
      <c r="G602" s="150"/>
    </row>
    <row r="603">
      <c r="B603" s="175"/>
      <c r="E603" s="150"/>
      <c r="F603" s="150"/>
      <c r="G603" s="150"/>
    </row>
    <row r="604">
      <c r="B604" s="175"/>
      <c r="E604" s="150"/>
      <c r="F604" s="150"/>
      <c r="G604" s="150"/>
    </row>
    <row r="605">
      <c r="B605" s="175"/>
      <c r="E605" s="150"/>
      <c r="F605" s="150"/>
      <c r="G605" s="150"/>
    </row>
    <row r="606">
      <c r="B606" s="175"/>
      <c r="E606" s="150"/>
      <c r="F606" s="150"/>
      <c r="G606" s="150"/>
    </row>
    <row r="607">
      <c r="B607" s="175"/>
      <c r="E607" s="150"/>
      <c r="F607" s="150"/>
      <c r="G607" s="150"/>
    </row>
    <row r="608">
      <c r="B608" s="175"/>
      <c r="E608" s="150"/>
      <c r="F608" s="150"/>
      <c r="G608" s="150"/>
    </row>
    <row r="609">
      <c r="B609" s="175"/>
      <c r="E609" s="150"/>
      <c r="F609" s="150"/>
      <c r="G609" s="150"/>
    </row>
    <row r="610">
      <c r="B610" s="175"/>
      <c r="E610" s="150"/>
      <c r="F610" s="150"/>
      <c r="G610" s="150"/>
    </row>
    <row r="611">
      <c r="B611" s="175"/>
      <c r="E611" s="150"/>
      <c r="F611" s="150"/>
      <c r="G611" s="150"/>
    </row>
    <row r="612">
      <c r="B612" s="175"/>
      <c r="E612" s="150"/>
      <c r="F612" s="150"/>
      <c r="G612" s="150"/>
    </row>
    <row r="613">
      <c r="B613" s="175"/>
      <c r="E613" s="150"/>
      <c r="F613" s="150"/>
      <c r="G613" s="150"/>
    </row>
    <row r="614">
      <c r="B614" s="175"/>
      <c r="E614" s="150"/>
      <c r="F614" s="150"/>
      <c r="G614" s="150"/>
    </row>
    <row r="615">
      <c r="B615" s="175"/>
      <c r="E615" s="150"/>
      <c r="F615" s="150"/>
      <c r="G615" s="150"/>
    </row>
    <row r="616">
      <c r="B616" s="175"/>
      <c r="E616" s="150"/>
      <c r="F616" s="150"/>
      <c r="G616" s="150"/>
    </row>
    <row r="617">
      <c r="B617" s="175"/>
      <c r="E617" s="150"/>
      <c r="F617" s="150"/>
      <c r="G617" s="150"/>
    </row>
    <row r="618">
      <c r="B618" s="175"/>
      <c r="E618" s="150"/>
      <c r="F618" s="150"/>
      <c r="G618" s="150"/>
    </row>
    <row r="619">
      <c r="B619" s="175"/>
      <c r="E619" s="150"/>
      <c r="F619" s="150"/>
      <c r="G619" s="150"/>
    </row>
    <row r="620">
      <c r="B620" s="175"/>
      <c r="E620" s="150"/>
      <c r="F620" s="150"/>
      <c r="G620" s="150"/>
    </row>
    <row r="621">
      <c r="B621" s="175"/>
      <c r="E621" s="150"/>
      <c r="F621" s="150"/>
      <c r="G621" s="150"/>
    </row>
    <row r="622">
      <c r="B622" s="175"/>
      <c r="E622" s="150"/>
      <c r="F622" s="150"/>
      <c r="G622" s="150"/>
    </row>
    <row r="623">
      <c r="B623" s="175"/>
      <c r="E623" s="150"/>
      <c r="F623" s="150"/>
      <c r="G623" s="150"/>
    </row>
    <row r="624">
      <c r="B624" s="175"/>
      <c r="E624" s="150"/>
      <c r="F624" s="150"/>
      <c r="G624" s="150"/>
    </row>
    <row r="625">
      <c r="B625" s="175"/>
      <c r="E625" s="150"/>
      <c r="F625" s="150"/>
      <c r="G625" s="150"/>
    </row>
    <row r="626">
      <c r="B626" s="175"/>
      <c r="E626" s="150"/>
      <c r="F626" s="150"/>
      <c r="G626" s="150"/>
    </row>
    <row r="627">
      <c r="B627" s="175"/>
      <c r="E627" s="150"/>
      <c r="F627" s="150"/>
      <c r="G627" s="150"/>
    </row>
    <row r="628">
      <c r="B628" s="175"/>
      <c r="E628" s="150"/>
      <c r="F628" s="150"/>
      <c r="G628" s="150"/>
    </row>
    <row r="629">
      <c r="B629" s="175"/>
      <c r="E629" s="150"/>
      <c r="F629" s="150"/>
      <c r="G629" s="150"/>
    </row>
    <row r="630">
      <c r="B630" s="175"/>
      <c r="E630" s="150"/>
      <c r="F630" s="150"/>
      <c r="G630" s="150"/>
    </row>
    <row r="631">
      <c r="B631" s="175"/>
      <c r="E631" s="150"/>
      <c r="F631" s="150"/>
      <c r="G631" s="150"/>
    </row>
    <row r="632">
      <c r="B632" s="175"/>
      <c r="E632" s="150"/>
      <c r="F632" s="150"/>
      <c r="G632" s="150"/>
    </row>
    <row r="633">
      <c r="B633" s="175"/>
      <c r="E633" s="150"/>
      <c r="F633" s="150"/>
      <c r="G633" s="150"/>
    </row>
    <row r="634">
      <c r="B634" s="175"/>
      <c r="E634" s="150"/>
      <c r="F634" s="150"/>
      <c r="G634" s="150"/>
    </row>
    <row r="635">
      <c r="B635" s="175"/>
      <c r="E635" s="150"/>
      <c r="F635" s="150"/>
      <c r="G635" s="150"/>
    </row>
    <row r="636">
      <c r="B636" s="175"/>
      <c r="E636" s="150"/>
      <c r="F636" s="150"/>
      <c r="G636" s="150"/>
    </row>
    <row r="637">
      <c r="B637" s="175"/>
      <c r="E637" s="150"/>
      <c r="F637" s="150"/>
      <c r="G637" s="150"/>
    </row>
    <row r="638">
      <c r="B638" s="175"/>
      <c r="E638" s="150"/>
      <c r="F638" s="150"/>
      <c r="G638" s="150"/>
    </row>
    <row r="639">
      <c r="B639" s="175"/>
      <c r="E639" s="150"/>
      <c r="F639" s="150"/>
      <c r="G639" s="150"/>
    </row>
    <row r="640">
      <c r="B640" s="175"/>
      <c r="E640" s="150"/>
      <c r="F640" s="150"/>
      <c r="G640" s="150"/>
    </row>
    <row r="641">
      <c r="B641" s="175"/>
      <c r="E641" s="150"/>
      <c r="F641" s="150"/>
      <c r="G641" s="150"/>
    </row>
    <row r="642">
      <c r="B642" s="175"/>
      <c r="E642" s="150"/>
      <c r="F642" s="150"/>
      <c r="G642" s="150"/>
    </row>
    <row r="643">
      <c r="B643" s="175"/>
      <c r="E643" s="150"/>
      <c r="F643" s="150"/>
      <c r="G643" s="150"/>
    </row>
    <row r="644">
      <c r="B644" s="175"/>
      <c r="E644" s="150"/>
      <c r="F644" s="150"/>
      <c r="G644" s="150"/>
    </row>
    <row r="645">
      <c r="B645" s="175"/>
      <c r="E645" s="150"/>
      <c r="F645" s="150"/>
      <c r="G645" s="150"/>
    </row>
    <row r="646">
      <c r="B646" s="175"/>
      <c r="E646" s="150"/>
      <c r="F646" s="150"/>
      <c r="G646" s="150"/>
    </row>
    <row r="647">
      <c r="B647" s="175"/>
      <c r="E647" s="150"/>
      <c r="F647" s="150"/>
      <c r="G647" s="150"/>
    </row>
    <row r="648">
      <c r="B648" s="175"/>
      <c r="E648" s="150"/>
      <c r="F648" s="150"/>
      <c r="G648" s="150"/>
    </row>
    <row r="649">
      <c r="B649" s="175"/>
      <c r="E649" s="150"/>
      <c r="F649" s="150"/>
      <c r="G649" s="150"/>
    </row>
    <row r="650">
      <c r="B650" s="175"/>
      <c r="E650" s="150"/>
      <c r="F650" s="150"/>
      <c r="G650" s="150"/>
    </row>
    <row r="651">
      <c r="B651" s="175"/>
      <c r="E651" s="150"/>
      <c r="F651" s="150"/>
      <c r="G651" s="150"/>
    </row>
    <row r="652">
      <c r="B652" s="175"/>
      <c r="E652" s="150"/>
      <c r="F652" s="150"/>
      <c r="G652" s="150"/>
    </row>
    <row r="653">
      <c r="B653" s="175"/>
      <c r="E653" s="150"/>
      <c r="F653" s="150"/>
      <c r="G653" s="150"/>
    </row>
    <row r="654">
      <c r="B654" s="175"/>
      <c r="E654" s="150"/>
      <c r="F654" s="150"/>
      <c r="G654" s="150"/>
    </row>
    <row r="655">
      <c r="B655" s="175"/>
      <c r="E655" s="150"/>
      <c r="F655" s="150"/>
      <c r="G655" s="150"/>
    </row>
    <row r="656">
      <c r="B656" s="175"/>
      <c r="E656" s="150"/>
      <c r="F656" s="150"/>
      <c r="G656" s="150"/>
    </row>
    <row r="657">
      <c r="B657" s="175"/>
      <c r="E657" s="150"/>
      <c r="F657" s="150"/>
      <c r="G657" s="150"/>
    </row>
    <row r="658">
      <c r="B658" s="175"/>
      <c r="E658" s="150"/>
      <c r="F658" s="150"/>
      <c r="G658" s="150"/>
    </row>
    <row r="659">
      <c r="B659" s="175"/>
      <c r="E659" s="150"/>
      <c r="F659" s="150"/>
      <c r="G659" s="150"/>
    </row>
    <row r="660">
      <c r="B660" s="175"/>
      <c r="E660" s="150"/>
      <c r="F660" s="150"/>
      <c r="G660" s="150"/>
    </row>
    <row r="661">
      <c r="B661" s="175"/>
      <c r="E661" s="150"/>
      <c r="F661" s="150"/>
      <c r="G661" s="150"/>
    </row>
    <row r="662">
      <c r="B662" s="175"/>
      <c r="E662" s="150"/>
      <c r="F662" s="150"/>
      <c r="G662" s="150"/>
    </row>
    <row r="663">
      <c r="B663" s="175"/>
      <c r="E663" s="150"/>
      <c r="F663" s="150"/>
      <c r="G663" s="150"/>
    </row>
    <row r="664">
      <c r="B664" s="175"/>
      <c r="E664" s="150"/>
      <c r="F664" s="150"/>
      <c r="G664" s="150"/>
    </row>
    <row r="665">
      <c r="B665" s="175"/>
      <c r="E665" s="150"/>
      <c r="F665" s="150"/>
      <c r="G665" s="150"/>
    </row>
    <row r="666">
      <c r="B666" s="175"/>
      <c r="E666" s="150"/>
      <c r="F666" s="150"/>
      <c r="G666" s="150"/>
    </row>
    <row r="667">
      <c r="B667" s="175"/>
      <c r="E667" s="150"/>
      <c r="F667" s="150"/>
      <c r="G667" s="150"/>
    </row>
    <row r="668">
      <c r="B668" s="175"/>
      <c r="E668" s="150"/>
      <c r="F668" s="150"/>
      <c r="G668" s="150"/>
    </row>
    <row r="669">
      <c r="B669" s="175"/>
      <c r="E669" s="150"/>
      <c r="F669" s="150"/>
      <c r="G669" s="150"/>
    </row>
    <row r="670">
      <c r="B670" s="175"/>
      <c r="E670" s="150"/>
      <c r="F670" s="150"/>
      <c r="G670" s="150"/>
    </row>
    <row r="671">
      <c r="B671" s="175"/>
      <c r="E671" s="150"/>
      <c r="F671" s="150"/>
      <c r="G671" s="150"/>
    </row>
    <row r="672">
      <c r="B672" s="175"/>
      <c r="E672" s="150"/>
      <c r="F672" s="150"/>
      <c r="G672" s="150"/>
    </row>
    <row r="673">
      <c r="B673" s="175"/>
      <c r="E673" s="150"/>
      <c r="F673" s="150"/>
      <c r="G673" s="150"/>
    </row>
    <row r="674">
      <c r="B674" s="175"/>
      <c r="E674" s="150"/>
      <c r="F674" s="150"/>
      <c r="G674" s="150"/>
    </row>
    <row r="675">
      <c r="B675" s="175"/>
      <c r="E675" s="150"/>
      <c r="F675" s="150"/>
      <c r="G675" s="150"/>
    </row>
    <row r="676">
      <c r="B676" s="175"/>
      <c r="E676" s="150"/>
      <c r="F676" s="150"/>
      <c r="G676" s="150"/>
    </row>
    <row r="677">
      <c r="B677" s="175"/>
      <c r="E677" s="150"/>
      <c r="F677" s="150"/>
      <c r="G677" s="150"/>
    </row>
    <row r="678">
      <c r="B678" s="175"/>
      <c r="E678" s="150"/>
      <c r="F678" s="150"/>
      <c r="G678" s="150"/>
    </row>
    <row r="679">
      <c r="B679" s="175"/>
      <c r="E679" s="150"/>
      <c r="F679" s="150"/>
      <c r="G679" s="150"/>
    </row>
    <row r="680">
      <c r="B680" s="175"/>
      <c r="E680" s="150"/>
      <c r="F680" s="150"/>
      <c r="G680" s="150"/>
    </row>
    <row r="681">
      <c r="B681" s="175"/>
      <c r="E681" s="150"/>
      <c r="F681" s="150"/>
      <c r="G681" s="150"/>
    </row>
    <row r="682">
      <c r="B682" s="175"/>
      <c r="E682" s="150"/>
      <c r="F682" s="150"/>
      <c r="G682" s="150"/>
    </row>
    <row r="683">
      <c r="B683" s="175"/>
      <c r="E683" s="150"/>
      <c r="F683" s="150"/>
      <c r="G683" s="150"/>
    </row>
    <row r="684">
      <c r="B684" s="175"/>
      <c r="E684" s="150"/>
      <c r="F684" s="150"/>
      <c r="G684" s="150"/>
    </row>
    <row r="685">
      <c r="B685" s="175"/>
      <c r="E685" s="150"/>
      <c r="F685" s="150"/>
      <c r="G685" s="150"/>
    </row>
    <row r="686">
      <c r="B686" s="175"/>
      <c r="E686" s="150"/>
      <c r="F686" s="150"/>
      <c r="G686" s="150"/>
    </row>
    <row r="687">
      <c r="B687" s="175"/>
      <c r="E687" s="150"/>
      <c r="F687" s="150"/>
      <c r="G687" s="150"/>
    </row>
    <row r="688">
      <c r="B688" s="175"/>
      <c r="E688" s="150"/>
      <c r="F688" s="150"/>
      <c r="G688" s="150"/>
    </row>
    <row r="689">
      <c r="B689" s="175"/>
      <c r="E689" s="150"/>
      <c r="F689" s="150"/>
      <c r="G689" s="150"/>
    </row>
    <row r="690">
      <c r="B690" s="175"/>
      <c r="E690" s="150"/>
      <c r="F690" s="150"/>
      <c r="G690" s="150"/>
    </row>
    <row r="691">
      <c r="B691" s="175"/>
      <c r="E691" s="150"/>
      <c r="F691" s="150"/>
      <c r="G691" s="150"/>
    </row>
    <row r="692">
      <c r="B692" s="175"/>
      <c r="E692" s="150"/>
      <c r="F692" s="150"/>
      <c r="G692" s="150"/>
    </row>
    <row r="693">
      <c r="B693" s="175"/>
      <c r="E693" s="150"/>
      <c r="F693" s="150"/>
      <c r="G693" s="150"/>
    </row>
    <row r="694">
      <c r="B694" s="175"/>
      <c r="E694" s="150"/>
      <c r="F694" s="150"/>
      <c r="G694" s="150"/>
    </row>
    <row r="695">
      <c r="B695" s="175"/>
      <c r="E695" s="150"/>
      <c r="F695" s="150"/>
      <c r="G695" s="150"/>
    </row>
    <row r="696">
      <c r="B696" s="175"/>
      <c r="E696" s="150"/>
      <c r="F696" s="150"/>
      <c r="G696" s="150"/>
    </row>
    <row r="697">
      <c r="B697" s="175"/>
      <c r="E697" s="150"/>
      <c r="F697" s="150"/>
      <c r="G697" s="150"/>
    </row>
    <row r="698">
      <c r="B698" s="175"/>
      <c r="E698" s="150"/>
      <c r="F698" s="150"/>
      <c r="G698" s="150"/>
    </row>
    <row r="699">
      <c r="B699" s="175"/>
      <c r="E699" s="150"/>
      <c r="F699" s="150"/>
      <c r="G699" s="150"/>
    </row>
    <row r="700">
      <c r="B700" s="175"/>
      <c r="E700" s="150"/>
      <c r="F700" s="150"/>
      <c r="G700" s="150"/>
    </row>
    <row r="701">
      <c r="B701" s="175"/>
      <c r="E701" s="150"/>
      <c r="F701" s="150"/>
      <c r="G701" s="150"/>
    </row>
    <row r="702">
      <c r="B702" s="175"/>
      <c r="E702" s="150"/>
      <c r="F702" s="150"/>
      <c r="G702" s="150"/>
    </row>
    <row r="703">
      <c r="B703" s="175"/>
      <c r="E703" s="150"/>
      <c r="F703" s="150"/>
      <c r="G703" s="150"/>
    </row>
    <row r="704">
      <c r="B704" s="175"/>
      <c r="E704" s="150"/>
      <c r="F704" s="150"/>
      <c r="G704" s="150"/>
    </row>
    <row r="705">
      <c r="B705" s="175"/>
      <c r="E705" s="150"/>
      <c r="F705" s="150"/>
      <c r="G705" s="150"/>
    </row>
    <row r="706">
      <c r="B706" s="175"/>
      <c r="E706" s="150"/>
      <c r="F706" s="150"/>
      <c r="G706" s="150"/>
    </row>
    <row r="707">
      <c r="B707" s="175"/>
      <c r="E707" s="150"/>
      <c r="F707" s="150"/>
      <c r="G707" s="150"/>
    </row>
    <row r="708">
      <c r="B708" s="175"/>
      <c r="E708" s="150"/>
      <c r="F708" s="150"/>
      <c r="G708" s="150"/>
    </row>
    <row r="709">
      <c r="B709" s="175"/>
      <c r="E709" s="150"/>
      <c r="F709" s="150"/>
      <c r="G709" s="150"/>
    </row>
    <row r="710">
      <c r="B710" s="175"/>
      <c r="E710" s="150"/>
      <c r="F710" s="150"/>
      <c r="G710" s="150"/>
    </row>
    <row r="711">
      <c r="B711" s="175"/>
      <c r="E711" s="150"/>
      <c r="F711" s="150"/>
      <c r="G711" s="150"/>
    </row>
    <row r="712">
      <c r="B712" s="175"/>
      <c r="E712" s="150"/>
      <c r="F712" s="150"/>
      <c r="G712" s="150"/>
    </row>
    <row r="713">
      <c r="B713" s="175"/>
      <c r="E713" s="150"/>
      <c r="F713" s="150"/>
      <c r="G713" s="150"/>
    </row>
    <row r="714">
      <c r="B714" s="175"/>
      <c r="E714" s="150"/>
      <c r="F714" s="150"/>
      <c r="G714" s="150"/>
    </row>
    <row r="715">
      <c r="B715" s="175"/>
      <c r="E715" s="150"/>
      <c r="F715" s="150"/>
      <c r="G715" s="150"/>
    </row>
    <row r="716">
      <c r="B716" s="175"/>
      <c r="E716" s="150"/>
      <c r="F716" s="150"/>
      <c r="G716" s="150"/>
    </row>
    <row r="717">
      <c r="B717" s="175"/>
      <c r="E717" s="150"/>
      <c r="F717" s="150"/>
      <c r="G717" s="150"/>
    </row>
    <row r="718">
      <c r="B718" s="175"/>
      <c r="E718" s="150"/>
      <c r="F718" s="150"/>
      <c r="G718" s="150"/>
    </row>
    <row r="719">
      <c r="B719" s="175"/>
      <c r="E719" s="150"/>
      <c r="F719" s="150"/>
      <c r="G719" s="150"/>
    </row>
    <row r="720">
      <c r="B720" s="175"/>
      <c r="E720" s="150"/>
      <c r="F720" s="150"/>
      <c r="G720" s="150"/>
    </row>
    <row r="721">
      <c r="B721" s="175"/>
      <c r="E721" s="150"/>
      <c r="F721" s="150"/>
      <c r="G721" s="150"/>
    </row>
    <row r="722">
      <c r="B722" s="175"/>
      <c r="E722" s="150"/>
      <c r="F722" s="150"/>
      <c r="G722" s="150"/>
    </row>
    <row r="723">
      <c r="B723" s="175"/>
      <c r="E723" s="150"/>
      <c r="F723" s="150"/>
      <c r="G723" s="150"/>
    </row>
    <row r="724">
      <c r="B724" s="175"/>
      <c r="E724" s="150"/>
      <c r="F724" s="150"/>
      <c r="G724" s="150"/>
    </row>
    <row r="725">
      <c r="B725" s="175"/>
      <c r="E725" s="150"/>
      <c r="F725" s="150"/>
      <c r="G725" s="150"/>
    </row>
    <row r="726">
      <c r="B726" s="175"/>
      <c r="E726" s="150"/>
      <c r="F726" s="150"/>
      <c r="G726" s="150"/>
    </row>
    <row r="727">
      <c r="B727" s="175"/>
      <c r="E727" s="150"/>
      <c r="F727" s="150"/>
      <c r="G727" s="150"/>
    </row>
    <row r="728">
      <c r="B728" s="175"/>
      <c r="E728" s="150"/>
      <c r="F728" s="150"/>
      <c r="G728" s="150"/>
    </row>
    <row r="729">
      <c r="B729" s="175"/>
      <c r="E729" s="150"/>
      <c r="F729" s="150"/>
      <c r="G729" s="150"/>
    </row>
    <row r="730">
      <c r="B730" s="175"/>
      <c r="E730" s="150"/>
      <c r="F730" s="150"/>
      <c r="G730" s="150"/>
    </row>
    <row r="731">
      <c r="B731" s="175"/>
      <c r="E731" s="150"/>
      <c r="F731" s="150"/>
      <c r="G731" s="150"/>
    </row>
    <row r="732">
      <c r="B732" s="175"/>
      <c r="E732" s="150"/>
      <c r="F732" s="150"/>
      <c r="G732" s="150"/>
    </row>
    <row r="733">
      <c r="B733" s="175"/>
      <c r="E733" s="150"/>
      <c r="F733" s="150"/>
      <c r="G733" s="150"/>
    </row>
    <row r="734">
      <c r="B734" s="175"/>
      <c r="E734" s="150"/>
      <c r="F734" s="150"/>
      <c r="G734" s="150"/>
    </row>
    <row r="735">
      <c r="B735" s="175"/>
      <c r="E735" s="150"/>
      <c r="F735" s="150"/>
      <c r="G735" s="150"/>
    </row>
    <row r="736">
      <c r="B736" s="175"/>
      <c r="E736" s="150"/>
      <c r="F736" s="150"/>
      <c r="G736" s="150"/>
    </row>
    <row r="737">
      <c r="B737" s="175"/>
      <c r="E737" s="150"/>
      <c r="F737" s="150"/>
      <c r="G737" s="150"/>
    </row>
    <row r="738">
      <c r="B738" s="175"/>
      <c r="E738" s="150"/>
      <c r="F738" s="150"/>
      <c r="G738" s="150"/>
    </row>
    <row r="739">
      <c r="B739" s="175"/>
      <c r="E739" s="150"/>
      <c r="F739" s="150"/>
      <c r="G739" s="150"/>
    </row>
    <row r="740">
      <c r="B740" s="175"/>
      <c r="E740" s="150"/>
      <c r="F740" s="150"/>
      <c r="G740" s="150"/>
    </row>
    <row r="741">
      <c r="B741" s="175"/>
      <c r="E741" s="150"/>
      <c r="F741" s="150"/>
      <c r="G741" s="150"/>
    </row>
    <row r="742">
      <c r="B742" s="175"/>
      <c r="E742" s="150"/>
      <c r="F742" s="150"/>
      <c r="G742" s="150"/>
    </row>
    <row r="743">
      <c r="B743" s="175"/>
      <c r="E743" s="150"/>
      <c r="F743" s="150"/>
      <c r="G743" s="150"/>
    </row>
    <row r="744">
      <c r="B744" s="175"/>
      <c r="E744" s="150"/>
      <c r="F744" s="150"/>
      <c r="G744" s="150"/>
    </row>
    <row r="745">
      <c r="B745" s="175"/>
      <c r="E745" s="150"/>
      <c r="F745" s="150"/>
      <c r="G745" s="150"/>
    </row>
    <row r="746">
      <c r="B746" s="175"/>
      <c r="E746" s="150"/>
      <c r="F746" s="150"/>
      <c r="G746" s="150"/>
    </row>
    <row r="747">
      <c r="B747" s="175"/>
      <c r="E747" s="150"/>
      <c r="F747" s="150"/>
      <c r="G747" s="150"/>
    </row>
    <row r="748">
      <c r="B748" s="175"/>
      <c r="E748" s="150"/>
      <c r="F748" s="150"/>
      <c r="G748" s="150"/>
    </row>
    <row r="749">
      <c r="B749" s="175"/>
      <c r="E749" s="150"/>
      <c r="F749" s="150"/>
      <c r="G749" s="150"/>
    </row>
    <row r="750">
      <c r="B750" s="175"/>
      <c r="E750" s="150"/>
      <c r="F750" s="150"/>
      <c r="G750" s="150"/>
    </row>
    <row r="751">
      <c r="B751" s="175"/>
      <c r="E751" s="150"/>
      <c r="F751" s="150"/>
      <c r="G751" s="150"/>
    </row>
    <row r="752">
      <c r="B752" s="175"/>
      <c r="E752" s="150"/>
      <c r="F752" s="150"/>
      <c r="G752" s="150"/>
    </row>
    <row r="753">
      <c r="B753" s="175"/>
      <c r="E753" s="150"/>
      <c r="F753" s="150"/>
      <c r="G753" s="150"/>
    </row>
    <row r="754">
      <c r="B754" s="175"/>
      <c r="E754" s="150"/>
      <c r="F754" s="150"/>
      <c r="G754" s="150"/>
    </row>
    <row r="755">
      <c r="B755" s="175"/>
      <c r="E755" s="150"/>
      <c r="F755" s="150"/>
      <c r="G755" s="150"/>
    </row>
    <row r="756">
      <c r="B756" s="175"/>
      <c r="E756" s="150"/>
      <c r="F756" s="150"/>
      <c r="G756" s="150"/>
    </row>
    <row r="757">
      <c r="B757" s="175"/>
      <c r="E757" s="150"/>
      <c r="F757" s="150"/>
      <c r="G757" s="150"/>
    </row>
    <row r="758">
      <c r="B758" s="175"/>
      <c r="E758" s="150"/>
      <c r="F758" s="150"/>
      <c r="G758" s="150"/>
    </row>
    <row r="759">
      <c r="B759" s="175"/>
      <c r="E759" s="150"/>
      <c r="F759" s="150"/>
      <c r="G759" s="150"/>
    </row>
    <row r="760">
      <c r="B760" s="175"/>
      <c r="E760" s="150"/>
      <c r="F760" s="150"/>
      <c r="G760" s="150"/>
    </row>
    <row r="761">
      <c r="B761" s="175"/>
      <c r="E761" s="150"/>
      <c r="F761" s="150"/>
      <c r="G761" s="150"/>
    </row>
    <row r="762">
      <c r="B762" s="175"/>
      <c r="E762" s="150"/>
      <c r="F762" s="150"/>
      <c r="G762" s="150"/>
    </row>
    <row r="763">
      <c r="B763" s="175"/>
      <c r="E763" s="150"/>
      <c r="F763" s="150"/>
      <c r="G763" s="150"/>
    </row>
    <row r="764">
      <c r="B764" s="175"/>
      <c r="E764" s="150"/>
      <c r="F764" s="150"/>
      <c r="G764" s="150"/>
    </row>
    <row r="765">
      <c r="B765" s="175"/>
      <c r="E765" s="150"/>
      <c r="F765" s="150"/>
      <c r="G765" s="150"/>
    </row>
    <row r="766">
      <c r="B766" s="175"/>
      <c r="E766" s="150"/>
      <c r="F766" s="150"/>
      <c r="G766" s="150"/>
    </row>
    <row r="767">
      <c r="B767" s="175"/>
      <c r="E767" s="150"/>
      <c r="F767" s="150"/>
      <c r="G767" s="150"/>
    </row>
    <row r="768">
      <c r="B768" s="175"/>
      <c r="E768" s="150"/>
      <c r="F768" s="150"/>
      <c r="G768" s="150"/>
    </row>
    <row r="769">
      <c r="B769" s="175"/>
      <c r="E769" s="150"/>
      <c r="F769" s="150"/>
      <c r="G769" s="150"/>
    </row>
    <row r="770">
      <c r="B770" s="175"/>
      <c r="E770" s="150"/>
      <c r="F770" s="150"/>
      <c r="G770" s="150"/>
    </row>
    <row r="771">
      <c r="B771" s="175"/>
      <c r="E771" s="150"/>
      <c r="F771" s="150"/>
      <c r="G771" s="150"/>
    </row>
    <row r="772">
      <c r="B772" s="175"/>
      <c r="E772" s="150"/>
      <c r="F772" s="150"/>
      <c r="G772" s="150"/>
    </row>
    <row r="773">
      <c r="B773" s="175"/>
      <c r="E773" s="150"/>
      <c r="F773" s="150"/>
      <c r="G773" s="150"/>
    </row>
    <row r="774">
      <c r="B774" s="175"/>
      <c r="E774" s="150"/>
      <c r="F774" s="150"/>
      <c r="G774" s="150"/>
    </row>
    <row r="775">
      <c r="B775" s="175"/>
      <c r="E775" s="150"/>
      <c r="F775" s="150"/>
      <c r="G775" s="150"/>
    </row>
    <row r="776">
      <c r="B776" s="175"/>
      <c r="E776" s="150"/>
      <c r="F776" s="150"/>
      <c r="G776" s="150"/>
    </row>
    <row r="777">
      <c r="B777" s="175"/>
      <c r="E777" s="150"/>
      <c r="F777" s="150"/>
      <c r="G777" s="150"/>
    </row>
    <row r="778">
      <c r="B778" s="175"/>
      <c r="E778" s="150"/>
      <c r="F778" s="150"/>
      <c r="G778" s="150"/>
    </row>
    <row r="779">
      <c r="B779" s="175"/>
      <c r="E779" s="150"/>
      <c r="F779" s="150"/>
      <c r="G779" s="150"/>
    </row>
    <row r="780">
      <c r="B780" s="175"/>
      <c r="E780" s="150"/>
      <c r="F780" s="150"/>
      <c r="G780" s="150"/>
    </row>
    <row r="781">
      <c r="B781" s="175"/>
      <c r="E781" s="150"/>
      <c r="F781" s="150"/>
      <c r="G781" s="150"/>
    </row>
    <row r="782">
      <c r="B782" s="175"/>
      <c r="E782" s="150"/>
      <c r="F782" s="150"/>
      <c r="G782" s="150"/>
    </row>
    <row r="783">
      <c r="B783" s="175"/>
      <c r="E783" s="150"/>
      <c r="F783" s="150"/>
      <c r="G783" s="150"/>
    </row>
    <row r="784">
      <c r="B784" s="175"/>
      <c r="E784" s="150"/>
      <c r="F784" s="150"/>
      <c r="G784" s="150"/>
    </row>
    <row r="785">
      <c r="B785" s="175"/>
      <c r="E785" s="150"/>
      <c r="F785" s="150"/>
      <c r="G785" s="150"/>
    </row>
    <row r="786">
      <c r="B786" s="175"/>
      <c r="E786" s="150"/>
      <c r="F786" s="150"/>
      <c r="G786" s="150"/>
    </row>
    <row r="787">
      <c r="B787" s="175"/>
      <c r="E787" s="150"/>
      <c r="F787" s="150"/>
      <c r="G787" s="150"/>
    </row>
    <row r="788">
      <c r="B788" s="175"/>
      <c r="E788" s="150"/>
      <c r="F788" s="150"/>
      <c r="G788" s="150"/>
    </row>
    <row r="789">
      <c r="B789" s="175"/>
      <c r="E789" s="150"/>
      <c r="F789" s="150"/>
      <c r="G789" s="150"/>
    </row>
    <row r="790">
      <c r="B790" s="175"/>
      <c r="E790" s="150"/>
      <c r="F790" s="150"/>
      <c r="G790" s="150"/>
    </row>
    <row r="791">
      <c r="B791" s="175"/>
      <c r="E791" s="150"/>
      <c r="F791" s="150"/>
      <c r="G791" s="150"/>
    </row>
    <row r="792">
      <c r="B792" s="175"/>
      <c r="E792" s="150"/>
      <c r="F792" s="150"/>
      <c r="G792" s="150"/>
    </row>
    <row r="793">
      <c r="B793" s="175"/>
      <c r="E793" s="150"/>
      <c r="F793" s="150"/>
      <c r="G793" s="150"/>
    </row>
    <row r="794">
      <c r="B794" s="175"/>
      <c r="E794" s="150"/>
      <c r="F794" s="150"/>
      <c r="G794" s="150"/>
    </row>
    <row r="795">
      <c r="B795" s="175"/>
      <c r="E795" s="150"/>
      <c r="F795" s="150"/>
      <c r="G795" s="150"/>
    </row>
    <row r="796">
      <c r="B796" s="175"/>
      <c r="E796" s="150"/>
      <c r="F796" s="150"/>
      <c r="G796" s="150"/>
    </row>
    <row r="797">
      <c r="B797" s="175"/>
      <c r="E797" s="150"/>
      <c r="F797" s="150"/>
      <c r="G797" s="150"/>
    </row>
    <row r="798">
      <c r="B798" s="175"/>
      <c r="E798" s="150"/>
      <c r="F798" s="150"/>
      <c r="G798" s="150"/>
    </row>
    <row r="799">
      <c r="B799" s="175"/>
      <c r="E799" s="150"/>
      <c r="F799" s="150"/>
      <c r="G799" s="150"/>
    </row>
    <row r="800">
      <c r="B800" s="175"/>
      <c r="E800" s="150"/>
      <c r="F800" s="150"/>
      <c r="G800" s="150"/>
    </row>
    <row r="801">
      <c r="B801" s="175"/>
      <c r="E801" s="150"/>
      <c r="F801" s="150"/>
      <c r="G801" s="150"/>
    </row>
    <row r="802">
      <c r="B802" s="175"/>
      <c r="E802" s="150"/>
      <c r="F802" s="150"/>
      <c r="G802" s="150"/>
    </row>
    <row r="803">
      <c r="B803" s="175"/>
      <c r="E803" s="150"/>
      <c r="F803" s="150"/>
      <c r="G803" s="150"/>
    </row>
    <row r="804">
      <c r="B804" s="175"/>
      <c r="E804" s="150"/>
      <c r="F804" s="150"/>
      <c r="G804" s="150"/>
    </row>
    <row r="805">
      <c r="B805" s="175"/>
      <c r="E805" s="150"/>
      <c r="F805" s="150"/>
      <c r="G805" s="150"/>
    </row>
    <row r="806">
      <c r="B806" s="175"/>
      <c r="E806" s="150"/>
      <c r="F806" s="150"/>
      <c r="G806" s="150"/>
    </row>
    <row r="807">
      <c r="B807" s="175"/>
      <c r="E807" s="150"/>
      <c r="F807" s="150"/>
      <c r="G807" s="150"/>
    </row>
    <row r="808">
      <c r="B808" s="175"/>
      <c r="E808" s="150"/>
      <c r="F808" s="150"/>
      <c r="G808" s="150"/>
    </row>
    <row r="809">
      <c r="B809" s="175"/>
      <c r="E809" s="150"/>
      <c r="F809" s="150"/>
      <c r="G809" s="150"/>
    </row>
    <row r="810">
      <c r="B810" s="175"/>
      <c r="E810" s="150"/>
      <c r="F810" s="150"/>
      <c r="G810" s="150"/>
    </row>
    <row r="811">
      <c r="B811" s="175"/>
      <c r="E811" s="150"/>
      <c r="F811" s="150"/>
      <c r="G811" s="150"/>
    </row>
    <row r="812">
      <c r="B812" s="175"/>
      <c r="E812" s="150"/>
      <c r="F812" s="150"/>
      <c r="G812" s="150"/>
    </row>
    <row r="813">
      <c r="B813" s="175"/>
      <c r="E813" s="150"/>
      <c r="F813" s="150"/>
      <c r="G813" s="150"/>
    </row>
    <row r="814">
      <c r="B814" s="175"/>
      <c r="E814" s="150"/>
      <c r="F814" s="150"/>
      <c r="G814" s="150"/>
    </row>
    <row r="815">
      <c r="B815" s="175"/>
      <c r="E815" s="150"/>
      <c r="F815" s="150"/>
      <c r="G815" s="150"/>
    </row>
    <row r="816">
      <c r="B816" s="175"/>
      <c r="E816" s="150"/>
      <c r="F816" s="150"/>
      <c r="G816" s="150"/>
    </row>
    <row r="817">
      <c r="B817" s="175"/>
      <c r="E817" s="150"/>
      <c r="F817" s="150"/>
      <c r="G817" s="150"/>
    </row>
    <row r="818">
      <c r="B818" s="175"/>
      <c r="E818" s="150"/>
      <c r="F818" s="150"/>
      <c r="G818" s="150"/>
    </row>
    <row r="819">
      <c r="B819" s="175"/>
      <c r="E819" s="150"/>
      <c r="F819" s="150"/>
      <c r="G819" s="150"/>
    </row>
    <row r="820">
      <c r="B820" s="175"/>
      <c r="E820" s="150"/>
      <c r="F820" s="150"/>
      <c r="G820" s="150"/>
    </row>
    <row r="821">
      <c r="B821" s="175"/>
      <c r="E821" s="150"/>
      <c r="F821" s="150"/>
      <c r="G821" s="150"/>
    </row>
    <row r="822">
      <c r="B822" s="175"/>
      <c r="E822" s="150"/>
      <c r="F822" s="150"/>
      <c r="G822" s="150"/>
    </row>
    <row r="823">
      <c r="B823" s="175"/>
      <c r="E823" s="150"/>
      <c r="F823" s="150"/>
      <c r="G823" s="150"/>
    </row>
    <row r="824">
      <c r="B824" s="175"/>
      <c r="E824" s="150"/>
      <c r="F824" s="150"/>
      <c r="G824" s="150"/>
    </row>
    <row r="825">
      <c r="B825" s="175"/>
      <c r="E825" s="150"/>
      <c r="F825" s="150"/>
      <c r="G825" s="150"/>
    </row>
    <row r="826">
      <c r="B826" s="175"/>
      <c r="E826" s="150"/>
      <c r="F826" s="150"/>
      <c r="G826" s="150"/>
    </row>
    <row r="827">
      <c r="B827" s="175"/>
      <c r="E827" s="150"/>
      <c r="F827" s="150"/>
      <c r="G827" s="150"/>
    </row>
    <row r="828">
      <c r="B828" s="175"/>
      <c r="E828" s="150"/>
      <c r="F828" s="150"/>
      <c r="G828" s="150"/>
    </row>
    <row r="829">
      <c r="B829" s="175"/>
      <c r="E829" s="150"/>
      <c r="F829" s="150"/>
      <c r="G829" s="150"/>
    </row>
    <row r="830">
      <c r="B830" s="175"/>
      <c r="E830" s="150"/>
      <c r="F830" s="150"/>
      <c r="G830" s="150"/>
    </row>
    <row r="831">
      <c r="B831" s="175"/>
      <c r="E831" s="150"/>
      <c r="F831" s="150"/>
      <c r="G831" s="150"/>
    </row>
    <row r="832">
      <c r="B832" s="175"/>
      <c r="E832" s="150"/>
      <c r="F832" s="150"/>
      <c r="G832" s="150"/>
    </row>
    <row r="833">
      <c r="B833" s="175"/>
      <c r="E833" s="150"/>
      <c r="F833" s="150"/>
      <c r="G833" s="150"/>
    </row>
    <row r="834">
      <c r="B834" s="175"/>
      <c r="E834" s="150"/>
      <c r="F834" s="150"/>
      <c r="G834" s="150"/>
    </row>
    <row r="835">
      <c r="B835" s="175"/>
      <c r="E835" s="150"/>
      <c r="F835" s="150"/>
      <c r="G835" s="150"/>
    </row>
    <row r="836">
      <c r="B836" s="175"/>
      <c r="E836" s="150"/>
      <c r="F836" s="150"/>
      <c r="G836" s="150"/>
    </row>
    <row r="837">
      <c r="B837" s="175"/>
      <c r="E837" s="150"/>
      <c r="F837" s="150"/>
      <c r="G837" s="150"/>
    </row>
    <row r="838">
      <c r="B838" s="175"/>
      <c r="E838" s="150"/>
      <c r="F838" s="150"/>
      <c r="G838" s="150"/>
    </row>
    <row r="839">
      <c r="B839" s="175"/>
      <c r="E839" s="150"/>
      <c r="F839" s="150"/>
      <c r="G839" s="150"/>
    </row>
    <row r="840">
      <c r="B840" s="175"/>
      <c r="E840" s="150"/>
      <c r="F840" s="150"/>
      <c r="G840" s="150"/>
    </row>
    <row r="841">
      <c r="B841" s="175"/>
      <c r="E841" s="150"/>
      <c r="F841" s="150"/>
      <c r="G841" s="150"/>
    </row>
    <row r="842">
      <c r="B842" s="175"/>
      <c r="E842" s="150"/>
      <c r="F842" s="150"/>
      <c r="G842" s="150"/>
    </row>
    <row r="843">
      <c r="B843" s="175"/>
      <c r="E843" s="150"/>
      <c r="F843" s="150"/>
      <c r="G843" s="150"/>
    </row>
    <row r="844">
      <c r="B844" s="175"/>
      <c r="E844" s="150"/>
      <c r="F844" s="150"/>
      <c r="G844" s="150"/>
    </row>
    <row r="845">
      <c r="B845" s="175"/>
      <c r="E845" s="150"/>
      <c r="F845" s="150"/>
      <c r="G845" s="150"/>
    </row>
    <row r="846">
      <c r="B846" s="175"/>
      <c r="E846" s="150"/>
      <c r="F846" s="150"/>
      <c r="G846" s="150"/>
    </row>
    <row r="847">
      <c r="B847" s="175"/>
      <c r="E847" s="150"/>
      <c r="F847" s="150"/>
      <c r="G847" s="150"/>
    </row>
    <row r="848">
      <c r="B848" s="175"/>
      <c r="E848" s="150"/>
      <c r="F848" s="150"/>
      <c r="G848" s="150"/>
    </row>
    <row r="849">
      <c r="B849" s="175"/>
      <c r="E849" s="150"/>
      <c r="F849" s="150"/>
      <c r="G849" s="150"/>
    </row>
    <row r="850">
      <c r="B850" s="175"/>
      <c r="E850" s="150"/>
      <c r="F850" s="150"/>
      <c r="G850" s="150"/>
    </row>
    <row r="851">
      <c r="B851" s="175"/>
      <c r="E851" s="150"/>
      <c r="F851" s="150"/>
      <c r="G851" s="150"/>
    </row>
    <row r="852">
      <c r="B852" s="175"/>
      <c r="E852" s="150"/>
      <c r="F852" s="150"/>
      <c r="G852" s="150"/>
    </row>
    <row r="853">
      <c r="B853" s="175"/>
      <c r="E853" s="150"/>
      <c r="F853" s="150"/>
      <c r="G853" s="150"/>
    </row>
    <row r="854">
      <c r="B854" s="175"/>
      <c r="E854" s="150"/>
      <c r="F854" s="150"/>
      <c r="G854" s="150"/>
    </row>
    <row r="855">
      <c r="B855" s="175"/>
      <c r="E855" s="150"/>
      <c r="F855" s="150"/>
      <c r="G855" s="150"/>
    </row>
    <row r="856">
      <c r="B856" s="175"/>
      <c r="E856" s="150"/>
      <c r="F856" s="150"/>
      <c r="G856" s="150"/>
    </row>
    <row r="857">
      <c r="B857" s="175"/>
      <c r="E857" s="150"/>
      <c r="F857" s="150"/>
      <c r="G857" s="150"/>
    </row>
    <row r="858">
      <c r="B858" s="175"/>
      <c r="E858" s="150"/>
      <c r="F858" s="150"/>
      <c r="G858" s="150"/>
    </row>
    <row r="859">
      <c r="B859" s="175"/>
      <c r="E859" s="150"/>
      <c r="F859" s="150"/>
      <c r="G859" s="150"/>
    </row>
    <row r="860">
      <c r="B860" s="175"/>
      <c r="E860" s="150"/>
      <c r="F860" s="150"/>
      <c r="G860" s="150"/>
    </row>
    <row r="861">
      <c r="B861" s="175"/>
      <c r="E861" s="150"/>
      <c r="F861" s="150"/>
      <c r="G861" s="150"/>
    </row>
    <row r="862">
      <c r="B862" s="175"/>
      <c r="E862" s="150"/>
      <c r="F862" s="150"/>
      <c r="G862" s="150"/>
    </row>
    <row r="863">
      <c r="B863" s="175"/>
      <c r="E863" s="150"/>
      <c r="F863" s="150"/>
      <c r="G863" s="150"/>
    </row>
    <row r="864">
      <c r="B864" s="175"/>
      <c r="E864" s="150"/>
      <c r="F864" s="150"/>
      <c r="G864" s="150"/>
    </row>
    <row r="865">
      <c r="B865" s="175"/>
      <c r="E865" s="150"/>
      <c r="F865" s="150"/>
      <c r="G865" s="150"/>
    </row>
    <row r="866">
      <c r="B866" s="175"/>
      <c r="E866" s="150"/>
      <c r="F866" s="150"/>
      <c r="G866" s="150"/>
    </row>
    <row r="867">
      <c r="B867" s="175"/>
      <c r="E867" s="150"/>
      <c r="F867" s="150"/>
      <c r="G867" s="150"/>
    </row>
    <row r="868">
      <c r="B868" s="175"/>
      <c r="E868" s="150"/>
      <c r="F868" s="150"/>
      <c r="G868" s="150"/>
    </row>
    <row r="869">
      <c r="B869" s="175"/>
      <c r="E869" s="150"/>
      <c r="F869" s="150"/>
      <c r="G869" s="150"/>
    </row>
    <row r="870">
      <c r="B870" s="175"/>
      <c r="E870" s="150"/>
      <c r="F870" s="150"/>
      <c r="G870" s="150"/>
    </row>
    <row r="871">
      <c r="B871" s="175"/>
      <c r="E871" s="150"/>
      <c r="F871" s="150"/>
      <c r="G871" s="150"/>
    </row>
    <row r="872">
      <c r="B872" s="175"/>
      <c r="E872" s="150"/>
      <c r="F872" s="150"/>
      <c r="G872" s="150"/>
    </row>
    <row r="873">
      <c r="B873" s="175"/>
      <c r="E873" s="150"/>
      <c r="F873" s="150"/>
      <c r="G873" s="150"/>
    </row>
    <row r="874">
      <c r="B874" s="175"/>
      <c r="E874" s="150"/>
      <c r="F874" s="150"/>
      <c r="G874" s="150"/>
    </row>
    <row r="875">
      <c r="B875" s="175"/>
      <c r="E875" s="150"/>
      <c r="F875" s="150"/>
      <c r="G875" s="150"/>
    </row>
    <row r="876">
      <c r="B876" s="175"/>
      <c r="E876" s="150"/>
      <c r="F876" s="150"/>
      <c r="G876" s="150"/>
    </row>
    <row r="877">
      <c r="B877" s="175"/>
      <c r="E877" s="150"/>
      <c r="F877" s="150"/>
      <c r="G877" s="150"/>
    </row>
    <row r="878">
      <c r="B878" s="175"/>
      <c r="E878" s="150"/>
      <c r="F878" s="150"/>
      <c r="G878" s="150"/>
    </row>
    <row r="879">
      <c r="B879" s="175"/>
      <c r="E879" s="150"/>
      <c r="F879" s="150"/>
      <c r="G879" s="150"/>
    </row>
    <row r="880">
      <c r="B880" s="175"/>
      <c r="E880" s="150"/>
      <c r="F880" s="150"/>
      <c r="G880" s="150"/>
    </row>
    <row r="881">
      <c r="B881" s="175"/>
      <c r="E881" s="150"/>
      <c r="F881" s="150"/>
      <c r="G881" s="150"/>
    </row>
    <row r="882">
      <c r="B882" s="175"/>
      <c r="E882" s="150"/>
      <c r="F882" s="150"/>
      <c r="G882" s="150"/>
    </row>
    <row r="883">
      <c r="B883" s="175"/>
      <c r="E883" s="150"/>
      <c r="F883" s="150"/>
      <c r="G883" s="150"/>
    </row>
    <row r="884">
      <c r="B884" s="175"/>
      <c r="E884" s="150"/>
      <c r="F884" s="150"/>
      <c r="G884" s="150"/>
    </row>
    <row r="885">
      <c r="B885" s="175"/>
      <c r="E885" s="150"/>
      <c r="F885" s="150"/>
      <c r="G885" s="150"/>
    </row>
    <row r="886">
      <c r="B886" s="175"/>
      <c r="E886" s="150"/>
      <c r="F886" s="150"/>
      <c r="G886" s="150"/>
    </row>
    <row r="887">
      <c r="B887" s="175"/>
      <c r="E887" s="150"/>
      <c r="F887" s="150"/>
      <c r="G887" s="150"/>
    </row>
    <row r="888">
      <c r="B888" s="175"/>
      <c r="E888" s="150"/>
      <c r="F888" s="150"/>
      <c r="G888" s="150"/>
    </row>
    <row r="889">
      <c r="B889" s="175"/>
      <c r="E889" s="150"/>
      <c r="F889" s="150"/>
      <c r="G889" s="150"/>
    </row>
    <row r="890">
      <c r="B890" s="175"/>
      <c r="E890" s="150"/>
      <c r="F890" s="150"/>
      <c r="G890" s="150"/>
    </row>
    <row r="891">
      <c r="B891" s="175"/>
      <c r="E891" s="150"/>
      <c r="F891" s="150"/>
      <c r="G891" s="150"/>
    </row>
    <row r="892">
      <c r="B892" s="175"/>
      <c r="E892" s="150"/>
      <c r="F892" s="150"/>
      <c r="G892" s="150"/>
    </row>
    <row r="893">
      <c r="B893" s="175"/>
      <c r="E893" s="150"/>
      <c r="F893" s="150"/>
      <c r="G893" s="150"/>
    </row>
    <row r="894">
      <c r="B894" s="175"/>
      <c r="E894" s="150"/>
      <c r="F894" s="150"/>
      <c r="G894" s="150"/>
    </row>
    <row r="895">
      <c r="B895" s="175"/>
      <c r="E895" s="150"/>
      <c r="F895" s="150"/>
      <c r="G895" s="150"/>
    </row>
    <row r="896">
      <c r="B896" s="175"/>
      <c r="E896" s="150"/>
      <c r="F896" s="150"/>
      <c r="G896" s="150"/>
    </row>
    <row r="897">
      <c r="B897" s="175"/>
      <c r="E897" s="150"/>
      <c r="F897" s="150"/>
      <c r="G897" s="150"/>
    </row>
    <row r="898">
      <c r="B898" s="175"/>
      <c r="E898" s="150"/>
      <c r="F898" s="150"/>
      <c r="G898" s="150"/>
    </row>
    <row r="899">
      <c r="B899" s="175"/>
      <c r="E899" s="150"/>
      <c r="F899" s="150"/>
      <c r="G899" s="150"/>
    </row>
    <row r="900">
      <c r="B900" s="175"/>
      <c r="E900" s="150"/>
      <c r="F900" s="150"/>
      <c r="G900" s="150"/>
    </row>
    <row r="901">
      <c r="B901" s="175"/>
      <c r="E901" s="150"/>
      <c r="F901" s="150"/>
      <c r="G901" s="150"/>
    </row>
    <row r="902">
      <c r="B902" s="175"/>
      <c r="E902" s="150"/>
      <c r="F902" s="150"/>
      <c r="G902" s="150"/>
    </row>
    <row r="903">
      <c r="B903" s="175"/>
      <c r="E903" s="150"/>
      <c r="F903" s="150"/>
      <c r="G903" s="150"/>
    </row>
    <row r="904">
      <c r="B904" s="175"/>
      <c r="E904" s="150"/>
      <c r="F904" s="150"/>
      <c r="G904" s="150"/>
    </row>
    <row r="905">
      <c r="B905" s="175"/>
      <c r="E905" s="150"/>
      <c r="F905" s="150"/>
      <c r="G905" s="150"/>
    </row>
    <row r="906">
      <c r="B906" s="175"/>
      <c r="E906" s="150"/>
      <c r="F906" s="150"/>
      <c r="G906" s="150"/>
    </row>
    <row r="907">
      <c r="B907" s="175"/>
      <c r="E907" s="150"/>
      <c r="F907" s="150"/>
      <c r="G907" s="150"/>
    </row>
    <row r="908">
      <c r="B908" s="175"/>
      <c r="E908" s="150"/>
      <c r="F908" s="150"/>
      <c r="G908" s="150"/>
    </row>
    <row r="909">
      <c r="B909" s="175"/>
      <c r="E909" s="150"/>
      <c r="F909" s="150"/>
      <c r="G909" s="150"/>
    </row>
    <row r="910">
      <c r="B910" s="175"/>
      <c r="E910" s="150"/>
      <c r="F910" s="150"/>
      <c r="G910" s="150"/>
    </row>
    <row r="911">
      <c r="B911" s="175"/>
      <c r="E911" s="150"/>
      <c r="F911" s="150"/>
      <c r="G911" s="150"/>
    </row>
    <row r="912">
      <c r="B912" s="175"/>
      <c r="E912" s="150"/>
      <c r="F912" s="150"/>
      <c r="G912" s="150"/>
    </row>
    <row r="913">
      <c r="B913" s="175"/>
      <c r="E913" s="150"/>
      <c r="F913" s="150"/>
      <c r="G913" s="150"/>
    </row>
    <row r="914">
      <c r="B914" s="175"/>
      <c r="E914" s="150"/>
      <c r="F914" s="150"/>
      <c r="G914" s="150"/>
    </row>
    <row r="915">
      <c r="B915" s="175"/>
      <c r="E915" s="150"/>
      <c r="F915" s="150"/>
      <c r="G915" s="150"/>
    </row>
    <row r="916">
      <c r="B916" s="175"/>
      <c r="E916" s="150"/>
      <c r="F916" s="150"/>
      <c r="G916" s="150"/>
    </row>
    <row r="917">
      <c r="B917" s="175"/>
      <c r="E917" s="150"/>
      <c r="F917" s="150"/>
      <c r="G917" s="150"/>
    </row>
    <row r="918">
      <c r="B918" s="175"/>
      <c r="E918" s="150"/>
      <c r="F918" s="150"/>
      <c r="G918" s="150"/>
    </row>
    <row r="919">
      <c r="B919" s="175"/>
      <c r="E919" s="150"/>
      <c r="F919" s="150"/>
      <c r="G919" s="150"/>
    </row>
    <row r="920">
      <c r="B920" s="175"/>
      <c r="E920" s="150"/>
      <c r="F920" s="150"/>
      <c r="G920" s="150"/>
    </row>
    <row r="921">
      <c r="B921" s="175"/>
      <c r="E921" s="150"/>
      <c r="F921" s="150"/>
      <c r="G921" s="150"/>
    </row>
    <row r="922">
      <c r="B922" s="175"/>
      <c r="E922" s="150"/>
      <c r="F922" s="150"/>
      <c r="G922" s="150"/>
    </row>
    <row r="923">
      <c r="B923" s="175"/>
      <c r="E923" s="150"/>
      <c r="F923" s="150"/>
      <c r="G923" s="150"/>
    </row>
    <row r="924">
      <c r="B924" s="175"/>
      <c r="E924" s="150"/>
      <c r="F924" s="150"/>
      <c r="G924" s="150"/>
    </row>
    <row r="925">
      <c r="B925" s="175"/>
      <c r="E925" s="150"/>
      <c r="F925" s="150"/>
      <c r="G925" s="150"/>
    </row>
    <row r="926">
      <c r="B926" s="175"/>
      <c r="E926" s="150"/>
      <c r="F926" s="150"/>
      <c r="G926" s="150"/>
    </row>
    <row r="927">
      <c r="B927" s="175"/>
      <c r="E927" s="150"/>
      <c r="F927" s="150"/>
      <c r="G927" s="150"/>
    </row>
    <row r="928">
      <c r="B928" s="175"/>
      <c r="E928" s="150"/>
      <c r="F928" s="150"/>
      <c r="G928" s="150"/>
    </row>
    <row r="929">
      <c r="B929" s="175"/>
      <c r="E929" s="150"/>
      <c r="F929" s="150"/>
      <c r="G929" s="150"/>
    </row>
    <row r="930">
      <c r="B930" s="175"/>
      <c r="E930" s="150"/>
      <c r="F930" s="150"/>
      <c r="G930" s="150"/>
    </row>
    <row r="931">
      <c r="B931" s="175"/>
      <c r="E931" s="150"/>
      <c r="F931" s="150"/>
      <c r="G931" s="150"/>
    </row>
    <row r="932">
      <c r="B932" s="175"/>
      <c r="E932" s="150"/>
      <c r="F932" s="150"/>
      <c r="G932" s="150"/>
    </row>
    <row r="933">
      <c r="B933" s="175"/>
      <c r="E933" s="150"/>
      <c r="F933" s="150"/>
      <c r="G933" s="150"/>
    </row>
    <row r="934">
      <c r="B934" s="175"/>
      <c r="E934" s="150"/>
      <c r="F934" s="150"/>
      <c r="G934" s="150"/>
    </row>
    <row r="935">
      <c r="B935" s="175"/>
      <c r="E935" s="150"/>
      <c r="F935" s="150"/>
      <c r="G935" s="150"/>
    </row>
    <row r="936">
      <c r="B936" s="175"/>
      <c r="E936" s="150"/>
      <c r="F936" s="150"/>
      <c r="G936" s="150"/>
    </row>
    <row r="937">
      <c r="B937" s="175"/>
      <c r="E937" s="150"/>
      <c r="F937" s="150"/>
      <c r="G937" s="150"/>
    </row>
    <row r="938">
      <c r="B938" s="175"/>
      <c r="E938" s="150"/>
      <c r="F938" s="150"/>
      <c r="G938" s="150"/>
    </row>
    <row r="939">
      <c r="B939" s="175"/>
      <c r="E939" s="150"/>
      <c r="F939" s="150"/>
      <c r="G939" s="150"/>
    </row>
    <row r="940">
      <c r="B940" s="175"/>
      <c r="E940" s="150"/>
      <c r="F940" s="150"/>
      <c r="G940" s="150"/>
    </row>
    <row r="941">
      <c r="B941" s="175"/>
      <c r="E941" s="150"/>
      <c r="F941" s="150"/>
      <c r="G941" s="150"/>
    </row>
    <row r="942">
      <c r="B942" s="175"/>
      <c r="E942" s="150"/>
      <c r="F942" s="150"/>
      <c r="G942" s="150"/>
    </row>
    <row r="943">
      <c r="B943" s="175"/>
      <c r="E943" s="150"/>
      <c r="F943" s="150"/>
      <c r="G943" s="150"/>
    </row>
    <row r="944">
      <c r="B944" s="175"/>
      <c r="E944" s="150"/>
      <c r="F944" s="150"/>
      <c r="G944" s="150"/>
    </row>
    <row r="945">
      <c r="B945" s="175"/>
      <c r="E945" s="150"/>
      <c r="F945" s="150"/>
      <c r="G945" s="150"/>
    </row>
    <row r="946">
      <c r="B946" s="175"/>
      <c r="E946" s="150"/>
      <c r="F946" s="150"/>
      <c r="G946" s="150"/>
    </row>
    <row r="947">
      <c r="B947" s="175"/>
      <c r="E947" s="150"/>
      <c r="F947" s="150"/>
      <c r="G947" s="150"/>
    </row>
    <row r="948">
      <c r="B948" s="175"/>
      <c r="E948" s="150"/>
      <c r="F948" s="150"/>
      <c r="G948" s="150"/>
    </row>
    <row r="949">
      <c r="B949" s="175"/>
      <c r="E949" s="150"/>
      <c r="F949" s="150"/>
      <c r="G949" s="150"/>
    </row>
    <row r="950">
      <c r="B950" s="175"/>
      <c r="E950" s="150"/>
      <c r="F950" s="150"/>
      <c r="G950" s="150"/>
    </row>
    <row r="951">
      <c r="B951" s="175"/>
      <c r="E951" s="150"/>
      <c r="F951" s="150"/>
      <c r="G951" s="150"/>
    </row>
    <row r="952">
      <c r="B952" s="175"/>
      <c r="E952" s="150"/>
      <c r="F952" s="150"/>
      <c r="G952" s="150"/>
    </row>
    <row r="953">
      <c r="B953" s="175"/>
      <c r="E953" s="150"/>
      <c r="F953" s="150"/>
      <c r="G953" s="150"/>
    </row>
    <row r="954">
      <c r="B954" s="175"/>
      <c r="E954" s="150"/>
      <c r="F954" s="150"/>
      <c r="G954" s="150"/>
    </row>
    <row r="955">
      <c r="B955" s="175"/>
      <c r="E955" s="150"/>
      <c r="F955" s="150"/>
      <c r="G955" s="150"/>
    </row>
    <row r="956">
      <c r="B956" s="175"/>
      <c r="E956" s="150"/>
      <c r="F956" s="150"/>
      <c r="G956" s="150"/>
    </row>
    <row r="957">
      <c r="B957" s="175"/>
      <c r="E957" s="150"/>
      <c r="F957" s="150"/>
      <c r="G957" s="150"/>
    </row>
    <row r="958">
      <c r="B958" s="175"/>
      <c r="E958" s="150"/>
      <c r="F958" s="150"/>
      <c r="G958" s="150"/>
    </row>
    <row r="959">
      <c r="B959" s="175"/>
      <c r="E959" s="150"/>
      <c r="F959" s="150"/>
      <c r="G959" s="150"/>
    </row>
    <row r="960">
      <c r="B960" s="175"/>
      <c r="E960" s="150"/>
      <c r="F960" s="150"/>
      <c r="G960" s="150"/>
    </row>
    <row r="961">
      <c r="B961" s="175"/>
      <c r="E961" s="150"/>
      <c r="F961" s="150"/>
      <c r="G961" s="150"/>
    </row>
    <row r="962">
      <c r="B962" s="175"/>
      <c r="E962" s="150"/>
      <c r="F962" s="150"/>
      <c r="G962" s="150"/>
    </row>
    <row r="963">
      <c r="B963" s="175"/>
      <c r="E963" s="150"/>
      <c r="F963" s="150"/>
      <c r="G963" s="150"/>
    </row>
    <row r="964">
      <c r="B964" s="175"/>
      <c r="E964" s="150"/>
      <c r="F964" s="150"/>
      <c r="G964" s="150"/>
    </row>
    <row r="965">
      <c r="B965" s="175"/>
      <c r="E965" s="150"/>
      <c r="F965" s="150"/>
      <c r="G965" s="150"/>
    </row>
    <row r="966">
      <c r="B966" s="175"/>
      <c r="E966" s="150"/>
      <c r="F966" s="150"/>
      <c r="G966" s="150"/>
    </row>
    <row r="967">
      <c r="B967" s="175"/>
      <c r="E967" s="150"/>
      <c r="F967" s="150"/>
      <c r="G967" s="150"/>
    </row>
    <row r="968">
      <c r="B968" s="175"/>
      <c r="E968" s="150"/>
      <c r="F968" s="150"/>
      <c r="G968" s="150"/>
    </row>
    <row r="969">
      <c r="B969" s="175"/>
      <c r="E969" s="150"/>
      <c r="F969" s="150"/>
      <c r="G969" s="150"/>
    </row>
    <row r="970">
      <c r="B970" s="175"/>
      <c r="E970" s="150"/>
      <c r="F970" s="150"/>
      <c r="G970" s="150"/>
    </row>
    <row r="971">
      <c r="B971" s="175"/>
      <c r="E971" s="150"/>
      <c r="F971" s="150"/>
      <c r="G971" s="150"/>
    </row>
    <row r="972">
      <c r="B972" s="175"/>
      <c r="E972" s="150"/>
      <c r="F972" s="150"/>
      <c r="G972" s="150"/>
    </row>
    <row r="973">
      <c r="B973" s="175"/>
      <c r="E973" s="150"/>
      <c r="F973" s="150"/>
      <c r="G973" s="150"/>
    </row>
    <row r="974">
      <c r="B974" s="175"/>
      <c r="E974" s="150"/>
      <c r="F974" s="150"/>
      <c r="G974" s="150"/>
    </row>
    <row r="975">
      <c r="B975" s="175"/>
      <c r="E975" s="150"/>
      <c r="F975" s="150"/>
      <c r="G975" s="150"/>
    </row>
    <row r="976">
      <c r="B976" s="175"/>
      <c r="E976" s="150"/>
      <c r="F976" s="150"/>
      <c r="G976" s="150"/>
    </row>
    <row r="977">
      <c r="B977" s="175"/>
      <c r="E977" s="150"/>
      <c r="F977" s="150"/>
      <c r="G977" s="150"/>
    </row>
    <row r="978">
      <c r="B978" s="175"/>
      <c r="E978" s="150"/>
      <c r="F978" s="150"/>
      <c r="G978" s="150"/>
    </row>
    <row r="979">
      <c r="B979" s="175"/>
      <c r="E979" s="150"/>
      <c r="F979" s="150"/>
      <c r="G979" s="150"/>
    </row>
    <row r="980">
      <c r="B980" s="175"/>
      <c r="E980" s="150"/>
      <c r="F980" s="150"/>
      <c r="G980" s="150"/>
    </row>
    <row r="981">
      <c r="B981" s="175"/>
      <c r="E981" s="150"/>
      <c r="F981" s="150"/>
      <c r="G981" s="150"/>
    </row>
    <row r="982">
      <c r="B982" s="175"/>
      <c r="E982" s="150"/>
      <c r="F982" s="150"/>
      <c r="G982" s="150"/>
    </row>
    <row r="983">
      <c r="B983" s="175"/>
      <c r="E983" s="150"/>
      <c r="F983" s="150"/>
      <c r="G983" s="150"/>
    </row>
    <row r="984">
      <c r="B984" s="175"/>
      <c r="E984" s="150"/>
      <c r="F984" s="150"/>
      <c r="G984" s="150"/>
    </row>
    <row r="985">
      <c r="B985" s="175"/>
      <c r="E985" s="150"/>
      <c r="F985" s="150"/>
      <c r="G985" s="150"/>
    </row>
    <row r="986">
      <c r="B986" s="175"/>
      <c r="E986" s="150"/>
      <c r="F986" s="150"/>
      <c r="G986" s="150"/>
    </row>
    <row r="987">
      <c r="B987" s="175"/>
      <c r="E987" s="150"/>
      <c r="F987" s="150"/>
      <c r="G987" s="150"/>
    </row>
    <row r="988">
      <c r="B988" s="175"/>
      <c r="E988" s="150"/>
      <c r="F988" s="150"/>
      <c r="G988" s="150"/>
    </row>
    <row r="989">
      <c r="B989" s="175"/>
      <c r="E989" s="150"/>
      <c r="F989" s="150"/>
      <c r="G989" s="150"/>
    </row>
    <row r="990">
      <c r="B990" s="175"/>
      <c r="E990" s="150"/>
      <c r="F990" s="150"/>
      <c r="G990" s="150"/>
    </row>
    <row r="991">
      <c r="B991" s="175"/>
      <c r="E991" s="150"/>
      <c r="F991" s="150"/>
      <c r="G991" s="150"/>
    </row>
    <row r="992">
      <c r="B992" s="175"/>
      <c r="E992" s="150"/>
      <c r="F992" s="150"/>
      <c r="G992" s="150"/>
    </row>
    <row r="993">
      <c r="B993" s="175"/>
      <c r="E993" s="150"/>
      <c r="F993" s="150"/>
      <c r="G993" s="150"/>
    </row>
    <row r="994">
      <c r="B994" s="175"/>
      <c r="E994" s="150"/>
      <c r="F994" s="150"/>
      <c r="G994" s="150"/>
    </row>
    <row r="995">
      <c r="B995" s="175"/>
      <c r="E995" s="150"/>
      <c r="F995" s="150"/>
      <c r="G995" s="150"/>
    </row>
    <row r="996">
      <c r="B996" s="175"/>
      <c r="E996" s="150"/>
      <c r="F996" s="150"/>
      <c r="G996" s="150"/>
    </row>
    <row r="997">
      <c r="B997" s="175"/>
      <c r="E997" s="150"/>
      <c r="F997" s="150"/>
      <c r="G997" s="150"/>
    </row>
    <row r="998">
      <c r="B998" s="175"/>
      <c r="E998" s="150"/>
      <c r="F998" s="150"/>
      <c r="G998" s="150"/>
    </row>
    <row r="999">
      <c r="B999" s="175"/>
      <c r="E999" s="150"/>
      <c r="F999" s="150"/>
      <c r="G999" s="150"/>
    </row>
    <row r="1000">
      <c r="B1000" s="175"/>
      <c r="E1000" s="150"/>
      <c r="F1000" s="150"/>
      <c r="G1000" s="150"/>
    </row>
    <row r="1001">
      <c r="B1001" s="175"/>
      <c r="E1001" s="150"/>
      <c r="F1001" s="150"/>
      <c r="G1001" s="150"/>
    </row>
    <row r="1002">
      <c r="B1002" s="175"/>
      <c r="E1002" s="150"/>
      <c r="F1002" s="150"/>
      <c r="G1002" s="150"/>
    </row>
    <row r="1003">
      <c r="B1003" s="175"/>
      <c r="E1003" s="150"/>
      <c r="F1003" s="150"/>
      <c r="G1003" s="150"/>
    </row>
    <row r="1004">
      <c r="B1004" s="175"/>
      <c r="E1004" s="150"/>
      <c r="F1004" s="150"/>
      <c r="G1004" s="150"/>
    </row>
    <row r="1005">
      <c r="B1005" s="175"/>
      <c r="E1005" s="150"/>
      <c r="F1005" s="150"/>
      <c r="G1005" s="150"/>
    </row>
    <row r="1006">
      <c r="B1006" s="175"/>
      <c r="E1006" s="150"/>
      <c r="F1006" s="150"/>
      <c r="G1006" s="150"/>
    </row>
    <row r="1007">
      <c r="B1007" s="175"/>
      <c r="E1007" s="150"/>
      <c r="F1007" s="150"/>
      <c r="G1007" s="150"/>
    </row>
    <row r="1008">
      <c r="B1008" s="175"/>
      <c r="E1008" s="150"/>
      <c r="F1008" s="150"/>
      <c r="G1008" s="150"/>
    </row>
    <row r="1009">
      <c r="B1009" s="175"/>
      <c r="E1009" s="150"/>
      <c r="F1009" s="150"/>
      <c r="G1009" s="150"/>
    </row>
  </sheetData>
  <conditionalFormatting sqref="D1:D1009 C18">
    <cfRule type="cellIs" dxfId="9" priority="1" operator="equal">
      <formula>"Did not include"</formula>
    </cfRule>
  </conditionalFormatting>
  <dataValidations>
    <dataValidation type="list" allowBlank="1" showErrorMessage="1" sqref="E2:E101">
      <formula1>"Referral,Waitlisted,Recertification ,Need more info,Existing Client - Delivery Request,Update client info"</formula1>
    </dataValidation>
    <dataValidation type="list" allowBlank="1" showErrorMessage="1" sqref="H2:H101">
      <formula1>"Completed,Pending"</formula1>
    </dataValidation>
  </dataValidations>
  <drawing r:id="rId1"/>
</worksheet>
</file>